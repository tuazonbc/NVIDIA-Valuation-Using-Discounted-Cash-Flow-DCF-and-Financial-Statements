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3"/>
  <workbookPr/>
  <mc:AlternateContent xmlns:mc="http://schemas.openxmlformats.org/markup-compatibility/2006">
    <mc:Choice Requires="x15">
      <x15ac:absPath xmlns:x15ac="http://schemas.microsoft.com/office/spreadsheetml/2010/11/ac" url="https://ualberta-my.sharepoint.com/personal/btuazon_ualberta_ca/Documents/"/>
    </mc:Choice>
  </mc:AlternateContent>
  <xr:revisionPtr revIDLastSave="0" documentId="8_{6C95D02F-FA6C-4FB3-91D4-08971A3F90F1}" xr6:coauthVersionLast="47" xr6:coauthVersionMax="47" xr10:uidLastSave="{00000000-0000-0000-0000-000000000000}"/>
  <bookViews>
    <workbookView xWindow="-120" yWindow="-120" windowWidth="29040" windowHeight="15720" tabRatio="829" xr2:uid="{00000000-000D-0000-FFFF-FFFF00000000}"/>
  </bookViews>
  <sheets>
    <sheet name="Cover Page" sheetId="17" r:id="rId1"/>
    <sheet name="Revenue Streams" sheetId="11" r:id="rId2"/>
    <sheet name="Income Statement" sheetId="7" r:id="rId3"/>
    <sheet name="Balance Sheet" sheetId="8" r:id="rId4"/>
    <sheet name="Cash Flow Statement" sheetId="12" r:id="rId5"/>
    <sheet name="Working Capital" sheetId="13" r:id="rId6"/>
    <sheet name="Debt" sheetId="14" r:id="rId7"/>
    <sheet name="Fixed Assets" sheetId="16" r:id="rId8"/>
    <sheet name="WACC" sheetId="2" r:id="rId9"/>
    <sheet name="DCF Valuation" sheetId="1" r:id="rId10"/>
  </sheets>
  <definedNames>
    <definedName name="ExternalData_3" localSheetId="3" hidden="1">'Balance Sheet'!#REF!</definedName>
    <definedName name="ExternalData_3" localSheetId="2" hidden="1">'Income Statement'!#REF!</definedName>
    <definedName name="ExternalData_4" localSheetId="2" hidden="1">'Income Statement'!#REF!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006  Page 3   2_06001978-1fae-4e26-8a8f-157ea72d1522" name="Table006  Page 3   2" connection="Query - Q2 IS 2023"/>
          <x15:modelTable id="Table010  Page 5   2_f23a301e-8563-4ecf-9ba9-6eb47886d0fc" name="Table010  Page 5   2" connection="Query - Q2 BS 2023"/>
          <x15:modelTable id="Table006  Page 3_9fc54943-1e4f-460e-afea-6c48c1398c12" name="Table006  Page 3" connection="Query - Q3 IS 2023"/>
          <x15:modelTable id="Table011  Page 5_fefdc890-e6d0-404a-96e6-5a982f374b31" name="Table011  Page 5" connection="Query - Q3 BS 2023"/>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3" i="17" l="1"/>
  <c r="C20" i="17"/>
  <c r="C10" i="17"/>
  <c r="C23" i="17"/>
  <c r="C22" i="17"/>
  <c r="C21" i="17"/>
  <c r="C18" i="17"/>
  <c r="D43" i="1"/>
  <c r="Y77" i="1"/>
  <c r="F21" i="2"/>
  <c r="F10" i="2"/>
  <c r="R30" i="11"/>
  <c r="E84" i="1"/>
  <c r="E83" i="1"/>
  <c r="Y78" i="1"/>
  <c r="X78" i="1"/>
  <c r="Z77" i="1"/>
  <c r="Z78" i="1" s="1"/>
  <c r="AH25" i="1"/>
  <c r="AI25" i="1"/>
  <c r="AH24" i="1"/>
  <c r="AI24" i="1"/>
  <c r="AG26" i="1"/>
  <c r="AG23" i="1"/>
  <c r="AG24" i="1"/>
  <c r="AI13" i="1"/>
  <c r="AH13" i="1"/>
  <c r="AG13" i="1"/>
  <c r="AG16" i="1"/>
  <c r="AG19" i="1"/>
  <c r="X26" i="1"/>
  <c r="X25" i="1"/>
  <c r="L26" i="1"/>
  <c r="AG50" i="1"/>
  <c r="AF50" i="1"/>
  <c r="AE50" i="1"/>
  <c r="Y50" i="1"/>
  <c r="AA25" i="1"/>
  <c r="V10" i="1"/>
  <c r="X11" i="1"/>
  <c r="AA77" i="1" l="1"/>
  <c r="AA78" i="1" s="1"/>
  <c r="F11" i="2"/>
  <c r="N41" i="2"/>
  <c r="F16" i="2" s="1"/>
  <c r="AB77" i="1" l="1"/>
  <c r="AB78" i="1" s="1"/>
  <c r="AH49" i="1"/>
  <c r="AG49" i="1"/>
  <c r="AI49" i="1"/>
  <c r="AH50" i="1"/>
  <c r="AH71" i="1"/>
  <c r="AI71" i="1"/>
  <c r="AH72" i="1"/>
  <c r="AI72" i="1"/>
  <c r="AH69" i="1"/>
  <c r="AI69" i="1"/>
  <c r="AH68" i="1"/>
  <c r="AI68" i="1"/>
  <c r="AI55" i="1"/>
  <c r="AH55" i="1"/>
  <c r="AH54" i="1" s="1"/>
  <c r="AH56" i="1"/>
  <c r="AI56" i="1"/>
  <c r="AH58" i="1"/>
  <c r="AI58" i="1"/>
  <c r="AH61" i="1"/>
  <c r="AI61" i="1"/>
  <c r="AH65" i="1"/>
  <c r="AI65" i="1"/>
  <c r="AH66" i="1"/>
  <c r="AI66" i="1"/>
  <c r="AH52" i="1"/>
  <c r="AI52" i="1"/>
  <c r="AI50" i="1"/>
  <c r="AF49" i="1"/>
  <c r="AH11" i="1"/>
  <c r="AI11" i="1"/>
  <c r="AH32" i="1"/>
  <c r="AI32" i="1"/>
  <c r="AH33" i="1"/>
  <c r="AI33" i="1"/>
  <c r="AH29" i="1"/>
  <c r="AI29" i="1"/>
  <c r="AH26" i="1"/>
  <c r="AI26" i="1"/>
  <c r="AG11" i="1"/>
  <c r="Z55" i="1"/>
  <c r="Y55" i="1"/>
  <c r="X55" i="1"/>
  <c r="AA55" i="1"/>
  <c r="AB55" i="1"/>
  <c r="AC55" i="1"/>
  <c r="AD55" i="1"/>
  <c r="AE55" i="1"/>
  <c r="AF55" i="1"/>
  <c r="AG55" i="1"/>
  <c r="O33" i="2"/>
  <c r="Y61" i="1"/>
  <c r="X61" i="1"/>
  <c r="Y56" i="1"/>
  <c r="AF52" i="1"/>
  <c r="Z52" i="1"/>
  <c r="AA52" i="1"/>
  <c r="AB52" i="1"/>
  <c r="AC52" i="1"/>
  <c r="AD52" i="1"/>
  <c r="AE52" i="1"/>
  <c r="AG52" i="1"/>
  <c r="Y52" i="1"/>
  <c r="Z50" i="1"/>
  <c r="Y49" i="1"/>
  <c r="Z49" i="1"/>
  <c r="AA49" i="1"/>
  <c r="AB49" i="1"/>
  <c r="AC49" i="1"/>
  <c r="AD49" i="1"/>
  <c r="AE49" i="1"/>
  <c r="X49" i="1"/>
  <c r="X16" i="1"/>
  <c r="V7" i="13"/>
  <c r="X19" i="1"/>
  <c r="W16" i="1"/>
  <c r="W54" i="1" s="1"/>
  <c r="X13" i="1"/>
  <c r="AB58" i="1"/>
  <c r="AA56" i="1"/>
  <c r="W10" i="1"/>
  <c r="W48" i="1" s="1"/>
  <c r="U8" i="16"/>
  <c r="W25" i="1"/>
  <c r="W23" i="1"/>
  <c r="W65" i="1" s="1"/>
  <c r="P22" i="16"/>
  <c r="Q22" i="16"/>
  <c r="Y25" i="1" s="1"/>
  <c r="R22" i="16"/>
  <c r="Z25" i="1" s="1"/>
  <c r="S22" i="16"/>
  <c r="T22" i="16"/>
  <c r="U22" i="16"/>
  <c r="P23" i="16"/>
  <c r="Q23" i="16"/>
  <c r="R23" i="16"/>
  <c r="S23" i="16"/>
  <c r="T23" i="16"/>
  <c r="U23" i="16"/>
  <c r="U19" i="16"/>
  <c r="P19" i="16"/>
  <c r="Q19" i="16"/>
  <c r="R19" i="16"/>
  <c r="S19" i="16"/>
  <c r="T19" i="16"/>
  <c r="O19" i="16"/>
  <c r="P12" i="16"/>
  <c r="Q12" i="16"/>
  <c r="R12" i="16"/>
  <c r="S12" i="16"/>
  <c r="T12" i="16"/>
  <c r="U12" i="16"/>
  <c r="V8" i="16" s="1"/>
  <c r="O12" i="16"/>
  <c r="R25" i="1"/>
  <c r="Q25" i="1"/>
  <c r="P25" i="1"/>
  <c r="O25" i="1"/>
  <c r="R23" i="1"/>
  <c r="R65" i="1" s="1"/>
  <c r="S23" i="1"/>
  <c r="T23" i="1"/>
  <c r="T65" i="1" s="1"/>
  <c r="U23" i="1"/>
  <c r="U65" i="1" s="1"/>
  <c r="V23" i="1"/>
  <c r="S25" i="1"/>
  <c r="T25" i="1"/>
  <c r="U25" i="1"/>
  <c r="V25" i="1"/>
  <c r="R28" i="1"/>
  <c r="S28" i="1"/>
  <c r="S68" i="1" s="1"/>
  <c r="T28" i="1"/>
  <c r="T68" i="1" s="1"/>
  <c r="U28" i="1"/>
  <c r="U68" i="1" s="1"/>
  <c r="V28" i="1"/>
  <c r="V68" i="1" s="1"/>
  <c r="W28" i="1"/>
  <c r="Q23" i="1"/>
  <c r="W19" i="1"/>
  <c r="W20" i="1" s="1"/>
  <c r="R19" i="1"/>
  <c r="R20" i="1" s="1"/>
  <c r="S19" i="1"/>
  <c r="S20" i="1" s="1"/>
  <c r="T19" i="1"/>
  <c r="T20" i="1" s="1"/>
  <c r="U19" i="1"/>
  <c r="U20" i="1" s="1"/>
  <c r="V19" i="1"/>
  <c r="V20" i="1" s="1"/>
  <c r="R16" i="1"/>
  <c r="R54" i="1" s="1"/>
  <c r="S16" i="1"/>
  <c r="T16" i="1"/>
  <c r="T54" i="1" s="1"/>
  <c r="U16" i="1"/>
  <c r="V16" i="1"/>
  <c r="R13" i="1"/>
  <c r="S13" i="1"/>
  <c r="T13" i="1"/>
  <c r="U13" i="1"/>
  <c r="V13" i="1"/>
  <c r="W13" i="1"/>
  <c r="Q13" i="1"/>
  <c r="R10" i="1"/>
  <c r="S10" i="1"/>
  <c r="T10" i="1"/>
  <c r="U10" i="1"/>
  <c r="V48" i="1"/>
  <c r="Q10" i="1"/>
  <c r="O10" i="1"/>
  <c r="P10" i="1"/>
  <c r="Q28" i="1"/>
  <c r="P8" i="16"/>
  <c r="Q8" i="16"/>
  <c r="R8" i="16"/>
  <c r="S8" i="16"/>
  <c r="T8" i="16"/>
  <c r="O8" i="16"/>
  <c r="N8" i="16"/>
  <c r="U8" i="13"/>
  <c r="T6" i="14"/>
  <c r="T11" i="14"/>
  <c r="U8" i="14"/>
  <c r="G6" i="14"/>
  <c r="E6" i="14"/>
  <c r="F6" i="14"/>
  <c r="H6" i="14"/>
  <c r="I6" i="14"/>
  <c r="J6" i="14"/>
  <c r="K6" i="14"/>
  <c r="L6" i="14"/>
  <c r="M6" i="14"/>
  <c r="N6" i="14"/>
  <c r="O6" i="14"/>
  <c r="P6" i="14"/>
  <c r="Q6" i="14"/>
  <c r="R6" i="14"/>
  <c r="S6" i="14"/>
  <c r="U6" i="14"/>
  <c r="D6" i="14"/>
  <c r="K11" i="14"/>
  <c r="P11" i="14"/>
  <c r="Q11" i="14"/>
  <c r="R11" i="14"/>
  <c r="S11" i="14"/>
  <c r="U11" i="14"/>
  <c r="U10" i="14"/>
  <c r="P10" i="14"/>
  <c r="Q10" i="14"/>
  <c r="R10" i="14"/>
  <c r="S10" i="14"/>
  <c r="T10" i="14"/>
  <c r="P8" i="14"/>
  <c r="Q8" i="14"/>
  <c r="R8" i="14"/>
  <c r="S8" i="14"/>
  <c r="T8" i="14"/>
  <c r="E10" i="14"/>
  <c r="D10" i="14"/>
  <c r="Q14" i="13"/>
  <c r="Q24" i="13" s="1"/>
  <c r="R14" i="13"/>
  <c r="R24" i="13" s="1"/>
  <c r="S14" i="13"/>
  <c r="S24" i="13" s="1"/>
  <c r="T14" i="13"/>
  <c r="T24" i="13" s="1"/>
  <c r="U14" i="13"/>
  <c r="U24" i="13" s="1"/>
  <c r="V14" i="13"/>
  <c r="V24" i="13" s="1"/>
  <c r="Q13" i="13"/>
  <c r="R13" i="13"/>
  <c r="S13" i="13"/>
  <c r="T13" i="13"/>
  <c r="U13" i="13"/>
  <c r="V13" i="13"/>
  <c r="Q7" i="13"/>
  <c r="R7" i="13"/>
  <c r="S7" i="13"/>
  <c r="T7" i="13"/>
  <c r="U7" i="13"/>
  <c r="Q8" i="13"/>
  <c r="R8" i="13"/>
  <c r="S8" i="13"/>
  <c r="T8" i="13"/>
  <c r="V8" i="13"/>
  <c r="U9" i="13"/>
  <c r="V9" i="13"/>
  <c r="Q9" i="13"/>
  <c r="R9" i="13"/>
  <c r="S9" i="13"/>
  <c r="T9" i="13"/>
  <c r="J7" i="13"/>
  <c r="P7" i="13"/>
  <c r="AC77" i="1" l="1"/>
  <c r="AC78" i="1" s="1"/>
  <c r="W24" i="1"/>
  <c r="U11" i="16" s="1"/>
  <c r="S21" i="16"/>
  <c r="S20" i="16" s="1"/>
  <c r="R21" i="16"/>
  <c r="R20" i="16" s="1"/>
  <c r="P21" i="16"/>
  <c r="P20" i="16" s="1"/>
  <c r="T21" i="16"/>
  <c r="T25" i="16" s="1"/>
  <c r="U21" i="16"/>
  <c r="U20" i="16" s="1"/>
  <c r="Q21" i="16"/>
  <c r="U12" i="14"/>
  <c r="V14" i="1"/>
  <c r="W14" i="1"/>
  <c r="X48" i="1"/>
  <c r="X54" i="1" s="1"/>
  <c r="P7" i="14"/>
  <c r="U7" i="14"/>
  <c r="V6" i="14"/>
  <c r="V19" i="16"/>
  <c r="AC25" i="1"/>
  <c r="AB25" i="1"/>
  <c r="S14" i="1"/>
  <c r="S17" i="1"/>
  <c r="S55" i="1" s="1"/>
  <c r="X17" i="1"/>
  <c r="AC11" i="1"/>
  <c r="Y11" i="1"/>
  <c r="AF11" i="1"/>
  <c r="AE11" i="1"/>
  <c r="AD11" i="1"/>
  <c r="AB11" i="1"/>
  <c r="AA11" i="1"/>
  <c r="Z11" i="1"/>
  <c r="Q22" i="13"/>
  <c r="V24" i="1"/>
  <c r="T11" i="16" s="1"/>
  <c r="V17" i="1"/>
  <c r="V55" i="1" s="1"/>
  <c r="W26" i="1"/>
  <c r="W66" i="1" s="1"/>
  <c r="U11" i="1"/>
  <c r="U49" i="1" s="1"/>
  <c r="T11" i="1"/>
  <c r="T49" i="1" s="1"/>
  <c r="S11" i="1"/>
  <c r="S49" i="1" s="1"/>
  <c r="U24" i="1"/>
  <c r="S11" i="16" s="1"/>
  <c r="U17" i="1"/>
  <c r="U55" i="1" s="1"/>
  <c r="Q24" i="1"/>
  <c r="R29" i="1"/>
  <c r="R69" i="1" s="1"/>
  <c r="Q11" i="1"/>
  <c r="T14" i="1"/>
  <c r="Q14" i="1"/>
  <c r="T17" i="1"/>
  <c r="T55" i="1" s="1"/>
  <c r="Q48" i="1"/>
  <c r="V29" i="1"/>
  <c r="V69" i="1" s="1"/>
  <c r="V15" i="13"/>
  <c r="Q20" i="13"/>
  <c r="R11" i="1"/>
  <c r="R49" i="1" s="1"/>
  <c r="U14" i="1"/>
  <c r="W29" i="1"/>
  <c r="W69" i="1" s="1"/>
  <c r="R26" i="1"/>
  <c r="R66" i="1" s="1"/>
  <c r="V26" i="1"/>
  <c r="V66" i="1" s="1"/>
  <c r="U48" i="1"/>
  <c r="U29" i="1"/>
  <c r="U69" i="1" s="1"/>
  <c r="W11" i="1"/>
  <c r="W49" i="1" s="1"/>
  <c r="T48" i="1"/>
  <c r="V54" i="1"/>
  <c r="R68" i="1"/>
  <c r="V65" i="1"/>
  <c r="S48" i="1"/>
  <c r="U54" i="1"/>
  <c r="U26" i="1"/>
  <c r="U66" i="1" s="1"/>
  <c r="R14" i="1"/>
  <c r="R17" i="1"/>
  <c r="R55" i="1" s="1"/>
  <c r="T29" i="1"/>
  <c r="T69" i="1" s="1"/>
  <c r="S26" i="1"/>
  <c r="S66" i="1" s="1"/>
  <c r="R48" i="1"/>
  <c r="V11" i="1"/>
  <c r="V49" i="1" s="1"/>
  <c r="S29" i="1"/>
  <c r="S69" i="1" s="1"/>
  <c r="S54" i="1"/>
  <c r="W68" i="1"/>
  <c r="S65" i="1"/>
  <c r="W17" i="1"/>
  <c r="W55" i="1" s="1"/>
  <c r="V10" i="13"/>
  <c r="T10" i="13"/>
  <c r="T24" i="1"/>
  <c r="R11" i="16" s="1"/>
  <c r="Z24" i="1" s="1"/>
  <c r="Z23" i="1" s="1"/>
  <c r="Z26" i="1" s="1"/>
  <c r="R24" i="1"/>
  <c r="P11" i="16" s="1"/>
  <c r="X24" i="1" s="1"/>
  <c r="X23" i="1" s="1"/>
  <c r="S24" i="1"/>
  <c r="Q11" i="16" s="1"/>
  <c r="Y24" i="1" s="1"/>
  <c r="Y23" i="1" s="1"/>
  <c r="Y26" i="1" s="1"/>
  <c r="T26" i="1"/>
  <c r="T66" i="1" s="1"/>
  <c r="U10" i="13"/>
  <c r="U15" i="13"/>
  <c r="R15" i="13"/>
  <c r="Q15" i="13"/>
  <c r="R10" i="13"/>
  <c r="Q12" i="14"/>
  <c r="T12" i="14"/>
  <c r="E12" i="14"/>
  <c r="P12" i="14"/>
  <c r="S12" i="14"/>
  <c r="Q7" i="14"/>
  <c r="R12" i="14"/>
  <c r="T7" i="14"/>
  <c r="S7" i="14"/>
  <c r="R7" i="14"/>
  <c r="S10" i="13"/>
  <c r="T15" i="13"/>
  <c r="Q10" i="13"/>
  <c r="S15" i="13"/>
  <c r="AD77" i="1" l="1"/>
  <c r="AD78" i="1" s="1"/>
  <c r="R25" i="16"/>
  <c r="P25" i="16"/>
  <c r="S25" i="16"/>
  <c r="U25" i="16"/>
  <c r="T20" i="16"/>
  <c r="Q20" i="16"/>
  <c r="Q25" i="16"/>
  <c r="Z14" i="1"/>
  <c r="Z13" i="1" s="1"/>
  <c r="Z16" i="1" s="1"/>
  <c r="V8" i="14"/>
  <c r="W6" i="14" s="1"/>
  <c r="Y14" i="1"/>
  <c r="AA14" i="1" s="1"/>
  <c r="AC24" i="1"/>
  <c r="AC23" i="1" s="1"/>
  <c r="T10" i="16"/>
  <c r="T16" i="16" s="1"/>
  <c r="AB24" i="1"/>
  <c r="AB23" i="1" s="1"/>
  <c r="S10" i="16"/>
  <c r="S16" i="16" s="1"/>
  <c r="AA24" i="1"/>
  <c r="AA23" i="1" s="1"/>
  <c r="AA26" i="1" s="1"/>
  <c r="R22" i="13"/>
  <c r="R20" i="13"/>
  <c r="S22" i="13"/>
  <c r="S20" i="13"/>
  <c r="V17" i="13"/>
  <c r="Q17" i="13"/>
  <c r="T17" i="13"/>
  <c r="U17" i="13"/>
  <c r="U10" i="16"/>
  <c r="U16" i="16" s="1"/>
  <c r="R10" i="16"/>
  <c r="R16" i="16" s="1"/>
  <c r="Q10" i="16"/>
  <c r="Q16" i="16" s="1"/>
  <c r="P10" i="16"/>
  <c r="P16" i="16" s="1"/>
  <c r="S17" i="13"/>
  <c r="R17" i="13"/>
  <c r="AE77" i="1" l="1"/>
  <c r="AE78" i="1" s="1"/>
  <c r="Y25" i="16"/>
  <c r="X25" i="16"/>
  <c r="AE25" i="16"/>
  <c r="AA25" i="16"/>
  <c r="AC25" i="16"/>
  <c r="Z25" i="16"/>
  <c r="V25" i="16"/>
  <c r="AD25" i="16"/>
  <c r="W25" i="16"/>
  <c r="AB25" i="16"/>
  <c r="Z19" i="1"/>
  <c r="Z17" i="1"/>
  <c r="Y13" i="1"/>
  <c r="Y16" i="1" s="1"/>
  <c r="AB14" i="1"/>
  <c r="AD14" i="1" s="1"/>
  <c r="T14" i="16"/>
  <c r="U14" i="16"/>
  <c r="S14" i="16"/>
  <c r="AB26" i="1"/>
  <c r="T20" i="13"/>
  <c r="T22" i="13"/>
  <c r="AA16" i="16"/>
  <c r="AB16" i="16"/>
  <c r="V16" i="16"/>
  <c r="V10" i="16" s="1"/>
  <c r="V9" i="16" s="1"/>
  <c r="AD28" i="1" s="1"/>
  <c r="AC16" i="16"/>
  <c r="X16" i="16"/>
  <c r="X10" i="16" s="1"/>
  <c r="AD16" i="16"/>
  <c r="W16" i="16"/>
  <c r="W10" i="16" s="1"/>
  <c r="AE16" i="16"/>
  <c r="Y16" i="16"/>
  <c r="Y10" i="16" s="1"/>
  <c r="Z16" i="16"/>
  <c r="Q14" i="16"/>
  <c r="V18" i="13"/>
  <c r="T18" i="13"/>
  <c r="U31" i="1" s="1"/>
  <c r="R18" i="13"/>
  <c r="S31" i="1" s="1"/>
  <c r="S71" i="1" s="1"/>
  <c r="U18" i="13"/>
  <c r="V31" i="1" s="1"/>
  <c r="V33" i="1" s="1"/>
  <c r="P14" i="16"/>
  <c r="R14" i="16"/>
  <c r="S18" i="13"/>
  <c r="T31" i="1" s="1"/>
  <c r="T71" i="1" s="1"/>
  <c r="AF77" i="1" l="1"/>
  <c r="AF78" i="1" s="1"/>
  <c r="AE14" i="16"/>
  <c r="U71" i="1"/>
  <c r="U33" i="1"/>
  <c r="Z14" i="16"/>
  <c r="AD13" i="1"/>
  <c r="AA14" i="16"/>
  <c r="V14" i="16"/>
  <c r="W14" i="16"/>
  <c r="W11" i="16" s="1"/>
  <c r="AE24" i="1" s="1"/>
  <c r="AD14" i="16"/>
  <c r="AA13" i="1"/>
  <c r="AC14" i="1"/>
  <c r="X14" i="16"/>
  <c r="X11" i="16" s="1"/>
  <c r="AF24" i="1" s="1"/>
  <c r="AB13" i="1"/>
  <c r="AB16" i="1" s="1"/>
  <c r="AC14" i="16"/>
  <c r="Y19" i="1"/>
  <c r="Y17" i="1"/>
  <c r="AB14" i="16"/>
  <c r="Y14" i="16"/>
  <c r="Y11" i="16" s="1"/>
  <c r="W31" i="1"/>
  <c r="AC26" i="1"/>
  <c r="AA10" i="16"/>
  <c r="U20" i="13"/>
  <c r="Z10" i="16"/>
  <c r="U22" i="13"/>
  <c r="U32" i="1"/>
  <c r="U72" i="1" s="1"/>
  <c r="V71" i="1"/>
  <c r="V32" i="1"/>
  <c r="V72" i="1" s="1"/>
  <c r="S33" i="1"/>
  <c r="S32" i="1"/>
  <c r="S72" i="1" s="1"/>
  <c r="T32" i="1"/>
  <c r="T72" i="1" s="1"/>
  <c r="T33" i="1"/>
  <c r="AG77" i="1" l="1"/>
  <c r="AG78" i="1" s="1"/>
  <c r="AD16" i="1"/>
  <c r="AD19" i="1" s="1"/>
  <c r="AA16" i="1"/>
  <c r="AA19" i="1" s="1"/>
  <c r="T21" i="13"/>
  <c r="Z11" i="16"/>
  <c r="Z12" i="16" s="1"/>
  <c r="AA8" i="16" s="1"/>
  <c r="AA9" i="16" s="1"/>
  <c r="W71" i="1"/>
  <c r="W32" i="1"/>
  <c r="W72" i="1" s="1"/>
  <c r="AC13" i="1"/>
  <c r="AC16" i="1" s="1"/>
  <c r="AC19" i="1" s="1"/>
  <c r="AF14" i="1"/>
  <c r="AF13" i="1" s="1"/>
  <c r="AF16" i="1" s="1"/>
  <c r="AF19" i="1" s="1"/>
  <c r="AA17" i="1"/>
  <c r="AE14" i="1"/>
  <c r="AE13" i="1" s="1"/>
  <c r="AB19" i="1"/>
  <c r="AB17" i="1"/>
  <c r="W33" i="1"/>
  <c r="AD17" i="1"/>
  <c r="AD29" i="1"/>
  <c r="Y12" i="16"/>
  <c r="Z8" i="16" s="1"/>
  <c r="Z9" i="16" s="1"/>
  <c r="AB10" i="16"/>
  <c r="AA11" i="16"/>
  <c r="AA12" i="16" s="1"/>
  <c r="AB8" i="16" s="1"/>
  <c r="X12" i="16"/>
  <c r="Y8" i="16" s="1"/>
  <c r="Y9" i="16" s="1"/>
  <c r="AG28" i="1" s="1"/>
  <c r="AG68" i="1" s="1"/>
  <c r="W12" i="16"/>
  <c r="X8" i="16" s="1"/>
  <c r="X9" i="16" s="1"/>
  <c r="AF28" i="1" s="1"/>
  <c r="AH77" i="1" l="1"/>
  <c r="AH78" i="1" s="1"/>
  <c r="AE16" i="1"/>
  <c r="AE19" i="1" s="1"/>
  <c r="AC17" i="1"/>
  <c r="AH14" i="1"/>
  <c r="AH16" i="1" s="1"/>
  <c r="AG14" i="1"/>
  <c r="AF29" i="1"/>
  <c r="AB11" i="16"/>
  <c r="AB12" i="16" s="1"/>
  <c r="AC8" i="16" s="1"/>
  <c r="AB9" i="16"/>
  <c r="AI77" i="1" l="1"/>
  <c r="AI78" i="1" s="1"/>
  <c r="AE17" i="1"/>
  <c r="AH19" i="1"/>
  <c r="AH17" i="1"/>
  <c r="AI14" i="1"/>
  <c r="AI16" i="1" s="1"/>
  <c r="AF17" i="1"/>
  <c r="AC10" i="16"/>
  <c r="AC11" i="16" s="1"/>
  <c r="AC12" i="16" s="1"/>
  <c r="AD8" i="16" s="1"/>
  <c r="AI19" i="1" l="1"/>
  <c r="AI17" i="1"/>
  <c r="AG17" i="1"/>
  <c r="AG29" i="1"/>
  <c r="AG69" i="1" s="1"/>
  <c r="AC9" i="16"/>
  <c r="AD10" i="16"/>
  <c r="AE10" i="16" l="1"/>
  <c r="AD11" i="16"/>
  <c r="AD12" i="16" s="1"/>
  <c r="AE8" i="16" s="1"/>
  <c r="AD9" i="16"/>
  <c r="AE11" i="16" l="1"/>
  <c r="AE12" i="16" s="1"/>
  <c r="AE9" i="16"/>
  <c r="Q5" i="11" l="1"/>
  <c r="R5" i="11" l="1"/>
  <c r="P5" i="11"/>
  <c r="R17" i="11"/>
  <c r="S17" i="11"/>
  <c r="T17" i="11"/>
  <c r="U17" i="11"/>
  <c r="P14" i="11"/>
  <c r="Q14" i="11"/>
  <c r="R14" i="11"/>
  <c r="S14" i="11"/>
  <c r="T14" i="11"/>
  <c r="U14" i="11"/>
  <c r="R11" i="11"/>
  <c r="S11" i="11"/>
  <c r="T11" i="11"/>
  <c r="U11" i="11"/>
  <c r="R8" i="11"/>
  <c r="S8" i="11"/>
  <c r="T8" i="11"/>
  <c r="U8" i="11"/>
  <c r="S5" i="11"/>
  <c r="T5" i="11"/>
  <c r="U5" i="11"/>
  <c r="T45" i="11"/>
  <c r="T39" i="11" s="1"/>
  <c r="U45" i="11"/>
  <c r="T42" i="11"/>
  <c r="U42" i="11"/>
  <c r="T38" i="11"/>
  <c r="U38" i="11"/>
  <c r="T34" i="11"/>
  <c r="U34" i="11"/>
  <c r="T30" i="11"/>
  <c r="U30" i="11"/>
  <c r="T26" i="11"/>
  <c r="U26" i="11"/>
  <c r="S45" i="11"/>
  <c r="S27" i="11" s="1"/>
  <c r="S42" i="11"/>
  <c r="S38" i="11"/>
  <c r="S34" i="11"/>
  <c r="S30" i="11"/>
  <c r="S26" i="11"/>
  <c r="R45" i="11"/>
  <c r="R39" i="11" s="1"/>
  <c r="R38" i="11"/>
  <c r="M8" i="11"/>
  <c r="Y58" i="1"/>
  <c r="AF69" i="1"/>
  <c r="Q29" i="1"/>
  <c r="Q69" i="1" s="1"/>
  <c r="AF56" i="1"/>
  <c r="AG56" i="1"/>
  <c r="AF58" i="1"/>
  <c r="AG58" i="1"/>
  <c r="AF61" i="1"/>
  <c r="AG61" i="1"/>
  <c r="AD50" i="1"/>
  <c r="AD61" i="1"/>
  <c r="AB61" i="1"/>
  <c r="AE61" i="1"/>
  <c r="AC61" i="1"/>
  <c r="AE56" i="1"/>
  <c r="AD56" i="1"/>
  <c r="AC56" i="1"/>
  <c r="AB56" i="1"/>
  <c r="Z56" i="1"/>
  <c r="AE58" i="1"/>
  <c r="AD58" i="1"/>
  <c r="AC58" i="1"/>
  <c r="AA58" i="1"/>
  <c r="Z58" i="1"/>
  <c r="F5" i="13"/>
  <c r="G5" i="13" s="1"/>
  <c r="H5" i="13" s="1"/>
  <c r="I5" i="13" s="1"/>
  <c r="J5" i="13" s="1"/>
  <c r="K5" i="13" s="1"/>
  <c r="L5" i="13" s="1"/>
  <c r="M5" i="13" s="1"/>
  <c r="N5" i="13" s="1"/>
  <c r="O5" i="13" s="1"/>
  <c r="P5" i="13" s="1"/>
  <c r="G9" i="1"/>
  <c r="H9" i="1" s="1"/>
  <c r="I9" i="1" s="1"/>
  <c r="J9" i="1" s="1"/>
  <c r="K9" i="1" s="1"/>
  <c r="L9" i="1" s="1"/>
  <c r="M9" i="1" s="1"/>
  <c r="N9" i="1" s="1"/>
  <c r="O9" i="1" s="1"/>
  <c r="P9" i="1" s="1"/>
  <c r="Q9" i="1" s="1"/>
  <c r="AC50" i="1"/>
  <c r="AB50" i="1"/>
  <c r="AA50" i="1"/>
  <c r="F10" i="1"/>
  <c r="F48" i="1" s="1"/>
  <c r="O10" i="14"/>
  <c r="P14" i="13"/>
  <c r="P24" i="13" s="1"/>
  <c r="Q16" i="1"/>
  <c r="Q54" i="1" s="1"/>
  <c r="P16" i="1"/>
  <c r="P54" i="1" s="1"/>
  <c r="O16" i="1"/>
  <c r="O54" i="1" s="1"/>
  <c r="N16" i="1"/>
  <c r="N54" i="1" s="1"/>
  <c r="M16" i="1"/>
  <c r="M54" i="1" s="1"/>
  <c r="L16" i="1"/>
  <c r="L54" i="1" s="1"/>
  <c r="K16" i="1"/>
  <c r="K54" i="1" s="1"/>
  <c r="J16" i="1"/>
  <c r="J54" i="1" s="1"/>
  <c r="I16" i="1"/>
  <c r="I54" i="1" s="1"/>
  <c r="H16" i="1"/>
  <c r="G16" i="1"/>
  <c r="G54" i="1" s="1"/>
  <c r="F16" i="1"/>
  <c r="P13" i="1"/>
  <c r="O13" i="1"/>
  <c r="N13" i="1"/>
  <c r="M13" i="1"/>
  <c r="L13" i="1"/>
  <c r="K13" i="1"/>
  <c r="J13" i="1"/>
  <c r="I13" i="1"/>
  <c r="H13" i="1"/>
  <c r="G13" i="1"/>
  <c r="F13" i="1"/>
  <c r="D7" i="13"/>
  <c r="N28" i="1"/>
  <c r="N68" i="1" s="1"/>
  <c r="J28" i="1"/>
  <c r="J68" i="1" s="1"/>
  <c r="F28" i="1"/>
  <c r="F68" i="1" s="1"/>
  <c r="P28" i="1"/>
  <c r="P68" i="1" s="1"/>
  <c r="O28" i="1"/>
  <c r="O68" i="1" s="1"/>
  <c r="M28" i="1"/>
  <c r="M68" i="1" s="1"/>
  <c r="L28" i="1"/>
  <c r="L68" i="1" s="1"/>
  <c r="K28" i="1"/>
  <c r="K68" i="1" s="1"/>
  <c r="I28" i="1"/>
  <c r="I68" i="1" s="1"/>
  <c r="H28" i="1"/>
  <c r="H68" i="1" s="1"/>
  <c r="G28" i="1"/>
  <c r="G68" i="1" s="1"/>
  <c r="F25" i="1"/>
  <c r="O39" i="2"/>
  <c r="O38" i="2"/>
  <c r="O37" i="2"/>
  <c r="O36" i="2"/>
  <c r="O35" i="2"/>
  <c r="O34" i="2"/>
  <c r="O32" i="2"/>
  <c r="R42" i="11"/>
  <c r="Q42" i="11"/>
  <c r="P42" i="11"/>
  <c r="O42" i="11"/>
  <c r="N42" i="11"/>
  <c r="M42" i="11"/>
  <c r="L42" i="11"/>
  <c r="K42" i="11"/>
  <c r="J42" i="11"/>
  <c r="I42" i="11"/>
  <c r="H42" i="11"/>
  <c r="G42" i="11"/>
  <c r="F42" i="11"/>
  <c r="E42" i="11"/>
  <c r="D42" i="11"/>
  <c r="C42" i="11"/>
  <c r="Q38" i="11"/>
  <c r="P38" i="11"/>
  <c r="O38" i="11"/>
  <c r="N38" i="11"/>
  <c r="M38" i="11"/>
  <c r="L38" i="11"/>
  <c r="K38" i="11"/>
  <c r="J38" i="11"/>
  <c r="I38" i="11"/>
  <c r="H38" i="11"/>
  <c r="G38" i="11"/>
  <c r="F38" i="11"/>
  <c r="E38" i="11"/>
  <c r="D38" i="11"/>
  <c r="C38" i="11"/>
  <c r="R34" i="11"/>
  <c r="Q34" i="11"/>
  <c r="P34" i="11"/>
  <c r="O34" i="11"/>
  <c r="N34" i="11"/>
  <c r="M34" i="11"/>
  <c r="L34" i="11"/>
  <c r="K34" i="11"/>
  <c r="J34" i="11"/>
  <c r="I34" i="11"/>
  <c r="H34" i="11"/>
  <c r="G34" i="11"/>
  <c r="F34" i="11"/>
  <c r="E34" i="11"/>
  <c r="D34" i="11"/>
  <c r="C34" i="11"/>
  <c r="Q30" i="11"/>
  <c r="P30" i="11"/>
  <c r="O30" i="11"/>
  <c r="N30" i="11"/>
  <c r="M30" i="11"/>
  <c r="L30" i="11"/>
  <c r="K30" i="11"/>
  <c r="J30" i="11"/>
  <c r="I30" i="11"/>
  <c r="H30" i="11"/>
  <c r="G30" i="11"/>
  <c r="F30" i="11"/>
  <c r="E30" i="11"/>
  <c r="D30" i="11"/>
  <c r="C30" i="11"/>
  <c r="C26" i="11"/>
  <c r="R26" i="11"/>
  <c r="Q26" i="11"/>
  <c r="P26" i="11"/>
  <c r="O26" i="11"/>
  <c r="N26" i="11"/>
  <c r="M26" i="11"/>
  <c r="L26" i="11"/>
  <c r="K26" i="11"/>
  <c r="J26" i="11"/>
  <c r="I26" i="11"/>
  <c r="H26" i="11"/>
  <c r="G26" i="11"/>
  <c r="F26" i="11"/>
  <c r="E26" i="11"/>
  <c r="D26" i="11"/>
  <c r="D13" i="13"/>
  <c r="D14" i="13"/>
  <c r="D8" i="13"/>
  <c r="D9" i="13"/>
  <c r="O11" i="14"/>
  <c r="N11" i="14"/>
  <c r="M11" i="14"/>
  <c r="L11" i="14"/>
  <c r="J11" i="14"/>
  <c r="I11" i="14"/>
  <c r="H11" i="14"/>
  <c r="G11" i="14"/>
  <c r="F11" i="14"/>
  <c r="E11" i="14"/>
  <c r="D11" i="14"/>
  <c r="N10" i="14"/>
  <c r="M10" i="14"/>
  <c r="L10" i="14"/>
  <c r="K10" i="14"/>
  <c r="J10" i="14"/>
  <c r="I10" i="14"/>
  <c r="H10" i="14"/>
  <c r="G10" i="14"/>
  <c r="F10" i="14"/>
  <c r="D22" i="16"/>
  <c r="O22" i="16"/>
  <c r="N22" i="16"/>
  <c r="M22" i="16"/>
  <c r="L22" i="16"/>
  <c r="K22" i="16"/>
  <c r="J22" i="16"/>
  <c r="I22" i="16"/>
  <c r="H22" i="16"/>
  <c r="G22" i="16"/>
  <c r="F22" i="16"/>
  <c r="E22" i="16"/>
  <c r="Q65" i="1"/>
  <c r="P23" i="1"/>
  <c r="O23" i="1"/>
  <c r="M23" i="1"/>
  <c r="M65" i="1" s="1"/>
  <c r="L23" i="1"/>
  <c r="L65" i="1" s="1"/>
  <c r="K23" i="1"/>
  <c r="K65" i="1" s="1"/>
  <c r="I23" i="1"/>
  <c r="I65" i="1" s="1"/>
  <c r="H23" i="1"/>
  <c r="H65" i="1" s="1"/>
  <c r="G23" i="1"/>
  <c r="G65" i="1" s="1"/>
  <c r="N25" i="1"/>
  <c r="M25" i="1"/>
  <c r="L25" i="1"/>
  <c r="K25" i="1"/>
  <c r="J25" i="1"/>
  <c r="I25" i="1"/>
  <c r="H25" i="1"/>
  <c r="G25" i="1"/>
  <c r="Q19" i="1"/>
  <c r="Q20" i="1" s="1"/>
  <c r="P19" i="1"/>
  <c r="P20" i="1" s="1"/>
  <c r="O19" i="1"/>
  <c r="O20" i="1" s="1"/>
  <c r="N19" i="1"/>
  <c r="N20" i="1" s="1"/>
  <c r="M19" i="1"/>
  <c r="M20" i="1" s="1"/>
  <c r="L19" i="1"/>
  <c r="L20" i="1" s="1"/>
  <c r="K19" i="1"/>
  <c r="K20" i="1" s="1"/>
  <c r="J19" i="1"/>
  <c r="J20" i="1" s="1"/>
  <c r="I19" i="1"/>
  <c r="I20" i="1" s="1"/>
  <c r="H19" i="1"/>
  <c r="H20" i="1" s="1"/>
  <c r="G19" i="1"/>
  <c r="G20" i="1" s="1"/>
  <c r="F19" i="1"/>
  <c r="F20" i="1" s="1"/>
  <c r="N23" i="1"/>
  <c r="N65" i="1" s="1"/>
  <c r="J23" i="1"/>
  <c r="J65" i="1" s="1"/>
  <c r="F23" i="1"/>
  <c r="F65" i="1" s="1"/>
  <c r="N10" i="1"/>
  <c r="M10" i="1"/>
  <c r="M48" i="1" s="1"/>
  <c r="L10" i="1"/>
  <c r="L48" i="1" s="1"/>
  <c r="K10" i="1"/>
  <c r="K48" i="1" s="1"/>
  <c r="J10" i="1"/>
  <c r="J48" i="1" s="1"/>
  <c r="I10" i="1"/>
  <c r="H10" i="1"/>
  <c r="G10" i="1"/>
  <c r="G48" i="1" s="1"/>
  <c r="N19" i="16"/>
  <c r="M19" i="16"/>
  <c r="L19" i="16"/>
  <c r="K19" i="16"/>
  <c r="J19" i="16"/>
  <c r="I19" i="16"/>
  <c r="H19" i="16"/>
  <c r="G19" i="16"/>
  <c r="F19" i="16"/>
  <c r="E19" i="16"/>
  <c r="D19" i="16"/>
  <c r="O23" i="16"/>
  <c r="N23" i="16"/>
  <c r="M23" i="16"/>
  <c r="L23" i="16"/>
  <c r="K23" i="16"/>
  <c r="J23" i="16"/>
  <c r="I23" i="16"/>
  <c r="H23" i="16"/>
  <c r="G23" i="16"/>
  <c r="F23" i="16"/>
  <c r="E23" i="16"/>
  <c r="D23" i="16"/>
  <c r="C23" i="16"/>
  <c r="M8" i="16"/>
  <c r="L8" i="16"/>
  <c r="K8" i="16"/>
  <c r="J8" i="16"/>
  <c r="I8" i="16"/>
  <c r="H8" i="16"/>
  <c r="G8" i="16"/>
  <c r="F8" i="16"/>
  <c r="E8" i="16"/>
  <c r="D8" i="16"/>
  <c r="N12" i="16"/>
  <c r="M12" i="16"/>
  <c r="L12" i="16"/>
  <c r="K12" i="16"/>
  <c r="J12" i="16"/>
  <c r="I12" i="16"/>
  <c r="H12" i="16"/>
  <c r="G12" i="16"/>
  <c r="F12" i="16"/>
  <c r="E12" i="16"/>
  <c r="D12" i="16"/>
  <c r="C12" i="16"/>
  <c r="E5" i="16"/>
  <c r="F5" i="16" s="1"/>
  <c r="G5" i="16" s="1"/>
  <c r="H5" i="16" s="1"/>
  <c r="I5" i="16" s="1"/>
  <c r="J5" i="16" s="1"/>
  <c r="K5" i="16" s="1"/>
  <c r="L5" i="16" s="1"/>
  <c r="M5" i="16" s="1"/>
  <c r="N5" i="16" s="1"/>
  <c r="O5" i="16" s="1"/>
  <c r="P5" i="16" s="1"/>
  <c r="Q5" i="16" s="1"/>
  <c r="R5" i="16" s="1"/>
  <c r="S5" i="16" s="1"/>
  <c r="T5" i="16" s="1"/>
  <c r="U5" i="16" s="1"/>
  <c r="V5" i="16" s="1"/>
  <c r="W5" i="16" s="1"/>
  <c r="X5" i="16" s="1"/>
  <c r="Y5" i="16" s="1"/>
  <c r="Z5" i="16" s="1"/>
  <c r="AA5" i="16" s="1"/>
  <c r="AB5" i="16" s="1"/>
  <c r="AC5" i="16" s="1"/>
  <c r="AD5" i="16" s="1"/>
  <c r="AE5" i="16" s="1"/>
  <c r="C8" i="14"/>
  <c r="O8" i="14"/>
  <c r="N8" i="14"/>
  <c r="M8" i="14"/>
  <c r="L8" i="14"/>
  <c r="K8" i="14"/>
  <c r="J8" i="14"/>
  <c r="I8" i="14"/>
  <c r="H8" i="14"/>
  <c r="G8" i="14"/>
  <c r="F8" i="14"/>
  <c r="F7" i="14" s="1"/>
  <c r="E8" i="14"/>
  <c r="E7" i="14" s="1"/>
  <c r="D8" i="14"/>
  <c r="D7" i="14" s="1"/>
  <c r="E5" i="14"/>
  <c r="F5" i="14" s="1"/>
  <c r="G5" i="14" s="1"/>
  <c r="H5" i="14" s="1"/>
  <c r="I5" i="14" s="1"/>
  <c r="J5" i="14" s="1"/>
  <c r="K5" i="14" s="1"/>
  <c r="L5" i="14" s="1"/>
  <c r="M5" i="14" s="1"/>
  <c r="N5" i="14" s="1"/>
  <c r="O5" i="14" s="1"/>
  <c r="L9" i="13"/>
  <c r="L8" i="13"/>
  <c r="L7" i="13"/>
  <c r="O14" i="13"/>
  <c r="O24" i="13" s="1"/>
  <c r="N14" i="13"/>
  <c r="N24" i="13" s="1"/>
  <c r="M14" i="13"/>
  <c r="M24" i="13" s="1"/>
  <c r="L14" i="13"/>
  <c r="L24" i="13" s="1"/>
  <c r="K14" i="13"/>
  <c r="K24" i="13" s="1"/>
  <c r="J14" i="13"/>
  <c r="J24" i="13" s="1"/>
  <c r="I14" i="13"/>
  <c r="I24" i="13" s="1"/>
  <c r="H14" i="13"/>
  <c r="H24" i="13" s="1"/>
  <c r="G14" i="13"/>
  <c r="G24" i="13" s="1"/>
  <c r="F14" i="13"/>
  <c r="F24" i="13" s="1"/>
  <c r="E14" i="13"/>
  <c r="E24" i="13" s="1"/>
  <c r="P13" i="13"/>
  <c r="O13" i="13"/>
  <c r="N13" i="13"/>
  <c r="M13" i="13"/>
  <c r="L13" i="13"/>
  <c r="K13" i="13"/>
  <c r="J13" i="13"/>
  <c r="I13" i="13"/>
  <c r="H13" i="13"/>
  <c r="G13" i="13"/>
  <c r="F13" i="13"/>
  <c r="E13" i="13"/>
  <c r="F7" i="13"/>
  <c r="G7" i="13"/>
  <c r="H7" i="13"/>
  <c r="I7" i="13"/>
  <c r="K7" i="13"/>
  <c r="M7" i="13"/>
  <c r="N7" i="13"/>
  <c r="O7" i="13"/>
  <c r="F8" i="13"/>
  <c r="G8" i="13"/>
  <c r="H8" i="13"/>
  <c r="I8" i="13"/>
  <c r="J8" i="13"/>
  <c r="K8" i="13"/>
  <c r="M8" i="13"/>
  <c r="N8" i="13"/>
  <c r="O8" i="13"/>
  <c r="P8" i="13"/>
  <c r="F9" i="13"/>
  <c r="G9" i="13"/>
  <c r="H9" i="13"/>
  <c r="I9" i="13"/>
  <c r="J9" i="13"/>
  <c r="K9" i="13"/>
  <c r="M9" i="13"/>
  <c r="N9" i="13"/>
  <c r="O9" i="13"/>
  <c r="P9" i="13"/>
  <c r="P22" i="13" s="1"/>
  <c r="E8" i="13"/>
  <c r="E9" i="13"/>
  <c r="E7" i="13"/>
  <c r="J55" i="12"/>
  <c r="K55" i="12" s="1"/>
  <c r="L55" i="12" s="1"/>
  <c r="M55" i="12" s="1"/>
  <c r="B55" i="12"/>
  <c r="C55" i="12" s="1"/>
  <c r="D55" i="12" s="1"/>
  <c r="E55" i="12" s="1"/>
  <c r="F55" i="12"/>
  <c r="G55" i="12" s="1"/>
  <c r="H55" i="12" s="1"/>
  <c r="I55" i="12" s="1"/>
  <c r="Y48" i="1"/>
  <c r="Y54" i="1" s="1"/>
  <c r="B5" i="11"/>
  <c r="G47" i="1"/>
  <c r="H47" i="1" s="1"/>
  <c r="I47" i="1" s="1"/>
  <c r="J47" i="1" s="1"/>
  <c r="K47" i="1" s="1"/>
  <c r="L47" i="1" s="1"/>
  <c r="M47" i="1" s="1"/>
  <c r="N47" i="1" s="1"/>
  <c r="O47" i="1" s="1"/>
  <c r="P47" i="1" s="1"/>
  <c r="Q47" i="1" s="1"/>
  <c r="G35" i="1"/>
  <c r="H35" i="1" s="1"/>
  <c r="I35" i="1" s="1"/>
  <c r="J35" i="1" s="1"/>
  <c r="K35" i="1" s="1"/>
  <c r="L35" i="1" s="1"/>
  <c r="M35" i="1" s="1"/>
  <c r="N35" i="1" s="1"/>
  <c r="O35" i="1" s="1"/>
  <c r="P35" i="1" s="1"/>
  <c r="Q35" i="1" s="1"/>
  <c r="R35" i="1" s="1"/>
  <c r="S35" i="1" s="1"/>
  <c r="T35" i="1" s="1"/>
  <c r="U35" i="1" s="1"/>
  <c r="V35" i="1" s="1"/>
  <c r="W35" i="1" s="1"/>
  <c r="X47" i="1" s="1"/>
  <c r="Y47" i="1" s="1"/>
  <c r="Z47" i="1" s="1"/>
  <c r="AA47" i="1" s="1"/>
  <c r="AB47" i="1" s="1"/>
  <c r="AC47" i="1" s="1"/>
  <c r="AD47" i="1" s="1"/>
  <c r="AE47" i="1" s="1"/>
  <c r="AF47" i="1" s="1"/>
  <c r="AG47" i="1" s="1"/>
  <c r="G22" i="1"/>
  <c r="H22" i="1" s="1"/>
  <c r="I22" i="1" s="1"/>
  <c r="J22" i="1" s="1"/>
  <c r="K22" i="1" s="1"/>
  <c r="L22" i="1" s="1"/>
  <c r="M22" i="1" s="1"/>
  <c r="N22" i="1" s="1"/>
  <c r="O22" i="1" s="1"/>
  <c r="P22" i="1" s="1"/>
  <c r="Q22" i="1" s="1"/>
  <c r="Q11" i="11"/>
  <c r="P11" i="11"/>
  <c r="O11" i="11"/>
  <c r="N11" i="11"/>
  <c r="M11" i="11"/>
  <c r="L11" i="11"/>
  <c r="K11" i="11"/>
  <c r="J11" i="11"/>
  <c r="I11" i="11"/>
  <c r="H11" i="11"/>
  <c r="G11" i="11"/>
  <c r="F11" i="11"/>
  <c r="E11" i="11"/>
  <c r="D11" i="11"/>
  <c r="C11" i="11"/>
  <c r="O14" i="11"/>
  <c r="N14" i="11"/>
  <c r="M14" i="11"/>
  <c r="L14" i="11"/>
  <c r="K14" i="11"/>
  <c r="J14" i="11"/>
  <c r="I14" i="11"/>
  <c r="H14" i="11"/>
  <c r="G14" i="11"/>
  <c r="F14" i="11"/>
  <c r="E14" i="11"/>
  <c r="D14" i="11"/>
  <c r="C14" i="11"/>
  <c r="Q17" i="11"/>
  <c r="P17" i="11"/>
  <c r="O17" i="11"/>
  <c r="N17" i="11"/>
  <c r="M17" i="11"/>
  <c r="L17" i="11"/>
  <c r="K17" i="11"/>
  <c r="J17" i="11"/>
  <c r="I17" i="11"/>
  <c r="H17" i="11"/>
  <c r="G17" i="11"/>
  <c r="F17" i="11"/>
  <c r="E17" i="11"/>
  <c r="D17" i="11"/>
  <c r="C17" i="11"/>
  <c r="B17" i="11"/>
  <c r="B14" i="11"/>
  <c r="B11" i="11"/>
  <c r="Q8" i="11"/>
  <c r="P8" i="11"/>
  <c r="O8" i="11"/>
  <c r="N8" i="11"/>
  <c r="L8" i="11"/>
  <c r="K8" i="11"/>
  <c r="J8" i="11"/>
  <c r="I8" i="11"/>
  <c r="H8" i="11"/>
  <c r="G8" i="11"/>
  <c r="F8" i="11"/>
  <c r="E8" i="11"/>
  <c r="D8" i="11"/>
  <c r="C8" i="11"/>
  <c r="B8" i="11"/>
  <c r="E5" i="11"/>
  <c r="D5" i="11"/>
  <c r="C5" i="11"/>
  <c r="O5" i="11"/>
  <c r="N5" i="11"/>
  <c r="M5" i="11"/>
  <c r="L5" i="11"/>
  <c r="K5" i="11"/>
  <c r="J5" i="11"/>
  <c r="I5" i="11"/>
  <c r="H5" i="11"/>
  <c r="G5" i="11"/>
  <c r="F5" i="11"/>
  <c r="B45" i="11"/>
  <c r="B43" i="11" s="1"/>
  <c r="R31" i="11"/>
  <c r="Q45" i="11"/>
  <c r="Q31" i="11" s="1"/>
  <c r="P45" i="11"/>
  <c r="P31" i="11" s="1"/>
  <c r="O45" i="11"/>
  <c r="O43" i="11" s="1"/>
  <c r="N45" i="11"/>
  <c r="N43" i="11" s="1"/>
  <c r="M45" i="11"/>
  <c r="M35" i="11" s="1"/>
  <c r="L45" i="11"/>
  <c r="L35" i="11" s="1"/>
  <c r="K45" i="11"/>
  <c r="K35" i="11" s="1"/>
  <c r="J45" i="11"/>
  <c r="J27" i="11" s="1"/>
  <c r="I45" i="11"/>
  <c r="I27" i="11" s="1"/>
  <c r="H45" i="11"/>
  <c r="H39" i="11" s="1"/>
  <c r="G45" i="11"/>
  <c r="G39" i="11" s="1"/>
  <c r="F45" i="11"/>
  <c r="F31" i="11" s="1"/>
  <c r="E45" i="11"/>
  <c r="E31" i="11" s="1"/>
  <c r="D45" i="11"/>
  <c r="D31" i="11" s="1"/>
  <c r="C45" i="11"/>
  <c r="C43" i="11" s="1"/>
  <c r="R20" i="11" l="1"/>
  <c r="R18" i="11" s="1"/>
  <c r="M20" i="11"/>
  <c r="M6" i="11" s="1"/>
  <c r="T20" i="11"/>
  <c r="T9" i="11" s="1"/>
  <c r="U20" i="11"/>
  <c r="U6" i="11" s="1"/>
  <c r="G46" i="11"/>
  <c r="O46" i="11"/>
  <c r="O41" i="2"/>
  <c r="P41" i="2" s="1"/>
  <c r="Z48" i="1"/>
  <c r="Z54" i="1" s="1"/>
  <c r="Y24" i="13"/>
  <c r="Y14" i="13" s="1"/>
  <c r="Z24" i="13"/>
  <c r="Z14" i="13" s="1"/>
  <c r="AA24" i="13"/>
  <c r="AA14" i="13" s="1"/>
  <c r="W24" i="13"/>
  <c r="W14" i="13" s="1"/>
  <c r="AB24" i="13"/>
  <c r="AB14" i="13" s="1"/>
  <c r="AC24" i="13"/>
  <c r="AC14" i="13" s="1"/>
  <c r="AE24" i="13"/>
  <c r="AE14" i="13" s="1"/>
  <c r="AD24" i="13"/>
  <c r="AD14" i="13" s="1"/>
  <c r="X24" i="13"/>
  <c r="X14" i="13" s="1"/>
  <c r="AF24" i="13"/>
  <c r="AF14" i="13" s="1"/>
  <c r="R22" i="1"/>
  <c r="S22" i="1" s="1"/>
  <c r="T22" i="1" s="1"/>
  <c r="U22" i="1" s="1"/>
  <c r="V22" i="1" s="1"/>
  <c r="W22" i="1" s="1"/>
  <c r="X22" i="1" s="1"/>
  <c r="Y22" i="1" s="1"/>
  <c r="Z22" i="1" s="1"/>
  <c r="AA22" i="1" s="1"/>
  <c r="AB22" i="1" s="1"/>
  <c r="AC22" i="1" s="1"/>
  <c r="AD22" i="1" s="1"/>
  <c r="AE22" i="1" s="1"/>
  <c r="AF22" i="1" s="1"/>
  <c r="AG22" i="1" s="1"/>
  <c r="O65" i="1"/>
  <c r="O24" i="1"/>
  <c r="M11" i="16" s="1"/>
  <c r="M10" i="16" s="1"/>
  <c r="P65" i="1"/>
  <c r="P24" i="1"/>
  <c r="R47" i="1"/>
  <c r="S47" i="1" s="1"/>
  <c r="T47" i="1" s="1"/>
  <c r="U47" i="1" s="1"/>
  <c r="V47" i="1" s="1"/>
  <c r="W47" i="1" s="1"/>
  <c r="R9" i="1"/>
  <c r="S9" i="1" s="1"/>
  <c r="T9" i="1" s="1"/>
  <c r="U9" i="1" s="1"/>
  <c r="V9" i="1" s="1"/>
  <c r="W9" i="1" s="1"/>
  <c r="X9" i="1" s="1"/>
  <c r="Y9" i="1" s="1"/>
  <c r="Z9" i="1" s="1"/>
  <c r="AA9" i="1" s="1"/>
  <c r="AB9" i="1" s="1"/>
  <c r="AC9" i="1" s="1"/>
  <c r="AD9" i="1" s="1"/>
  <c r="AE9" i="1" s="1"/>
  <c r="AF9" i="1" s="1"/>
  <c r="AG9" i="1" s="1"/>
  <c r="V20" i="13"/>
  <c r="V22" i="13"/>
  <c r="P5" i="14"/>
  <c r="Q5" i="14" s="1"/>
  <c r="R5" i="14" s="1"/>
  <c r="S5" i="14" s="1"/>
  <c r="T5" i="14" s="1"/>
  <c r="U5" i="14" s="1"/>
  <c r="V5" i="14" s="1"/>
  <c r="W5" i="14" s="1"/>
  <c r="X5" i="14" s="1"/>
  <c r="Y5" i="14" s="1"/>
  <c r="Z5" i="14" s="1"/>
  <c r="AA5" i="14" s="1"/>
  <c r="AB5" i="14" s="1"/>
  <c r="AC5" i="14" s="1"/>
  <c r="AD5" i="14" s="1"/>
  <c r="AE5" i="14" s="1"/>
  <c r="O7" i="14"/>
  <c r="Q5" i="13"/>
  <c r="R5" i="13" s="1"/>
  <c r="S5" i="13" s="1"/>
  <c r="H46" i="11"/>
  <c r="P46" i="11"/>
  <c r="I46" i="11"/>
  <c r="Q46" i="11"/>
  <c r="J46" i="11"/>
  <c r="S20" i="11"/>
  <c r="S12" i="11" s="1"/>
  <c r="B27" i="11"/>
  <c r="C46" i="11"/>
  <c r="K46" i="11"/>
  <c r="D46" i="11"/>
  <c r="L46" i="11"/>
  <c r="M27" i="11"/>
  <c r="E46" i="11"/>
  <c r="M46" i="11"/>
  <c r="R46" i="11"/>
  <c r="F46" i="11"/>
  <c r="N46" i="11"/>
  <c r="O21" i="13"/>
  <c r="P20" i="13"/>
  <c r="H7" i="14"/>
  <c r="H21" i="16"/>
  <c r="H20" i="16" s="1"/>
  <c r="J12" i="14"/>
  <c r="H12" i="14"/>
  <c r="I7" i="14"/>
  <c r="K21" i="16"/>
  <c r="K20" i="16" s="1"/>
  <c r="K12" i="14"/>
  <c r="E21" i="16"/>
  <c r="E20" i="16" s="1"/>
  <c r="F15" i="13"/>
  <c r="D12" i="14"/>
  <c r="M21" i="16"/>
  <c r="M25" i="16" s="1"/>
  <c r="F12" i="14"/>
  <c r="N12" i="14"/>
  <c r="L12" i="14"/>
  <c r="O15" i="13"/>
  <c r="M12" i="14"/>
  <c r="H15" i="13"/>
  <c r="M7" i="14"/>
  <c r="O21" i="16"/>
  <c r="O20" i="16" s="1"/>
  <c r="I12" i="14"/>
  <c r="G12" i="14"/>
  <c r="U15" i="11"/>
  <c r="E21" i="13"/>
  <c r="O12" i="14"/>
  <c r="R9" i="11"/>
  <c r="R12" i="11"/>
  <c r="S46" i="11"/>
  <c r="U46" i="11"/>
  <c r="T46" i="11"/>
  <c r="T35" i="11"/>
  <c r="T27" i="11"/>
  <c r="T43" i="11"/>
  <c r="U31" i="11"/>
  <c r="U39" i="11"/>
  <c r="T31" i="11"/>
  <c r="U27" i="11"/>
  <c r="U35" i="11"/>
  <c r="U43" i="11"/>
  <c r="S35" i="11"/>
  <c r="S31" i="11"/>
  <c r="S39" i="11"/>
  <c r="S43" i="11"/>
  <c r="O23" i="13"/>
  <c r="H29" i="1"/>
  <c r="H69" i="1" s="1"/>
  <c r="I21" i="16"/>
  <c r="I20" i="16" s="1"/>
  <c r="J21" i="16"/>
  <c r="J20" i="16" s="1"/>
  <c r="L21" i="16"/>
  <c r="L20" i="16" s="1"/>
  <c r="N21" i="16"/>
  <c r="N20" i="16" s="1"/>
  <c r="D21" i="16"/>
  <c r="D20" i="16" s="1"/>
  <c r="F21" i="16"/>
  <c r="F20" i="16" s="1"/>
  <c r="G21" i="16"/>
  <c r="G20" i="16" s="1"/>
  <c r="P48" i="1"/>
  <c r="Q68" i="1"/>
  <c r="AF68" i="1"/>
  <c r="Z61" i="1"/>
  <c r="AA61" i="1"/>
  <c r="N23" i="13"/>
  <c r="F22" i="13"/>
  <c r="F24" i="1"/>
  <c r="D11" i="16" s="1"/>
  <c r="D10" i="16" s="1"/>
  <c r="H21" i="13"/>
  <c r="H23" i="13"/>
  <c r="N24" i="1"/>
  <c r="G23" i="13"/>
  <c r="M21" i="13"/>
  <c r="K23" i="13"/>
  <c r="L23" i="13"/>
  <c r="M22" i="13"/>
  <c r="E23" i="13"/>
  <c r="J21" i="13"/>
  <c r="I23" i="13"/>
  <c r="K21" i="13"/>
  <c r="J23" i="13"/>
  <c r="N21" i="13"/>
  <c r="M23" i="13"/>
  <c r="L21" i="13"/>
  <c r="P21" i="13"/>
  <c r="L22" i="13"/>
  <c r="P23" i="13"/>
  <c r="I22" i="13"/>
  <c r="F21" i="13"/>
  <c r="G21" i="13"/>
  <c r="F23" i="13"/>
  <c r="I21" i="13"/>
  <c r="J24" i="1"/>
  <c r="D10" i="13"/>
  <c r="M20" i="13"/>
  <c r="F17" i="1"/>
  <c r="F55" i="1" s="1"/>
  <c r="H24" i="1"/>
  <c r="F11" i="16" s="1"/>
  <c r="F10" i="16" s="1"/>
  <c r="F14" i="16" s="1"/>
  <c r="P29" i="1"/>
  <c r="P69" i="1" s="1"/>
  <c r="G22" i="13"/>
  <c r="M24" i="1"/>
  <c r="N22" i="13"/>
  <c r="F29" i="1"/>
  <c r="F69" i="1" s="1"/>
  <c r="H20" i="13"/>
  <c r="G24" i="1"/>
  <c r="E11" i="16" s="1"/>
  <c r="K24" i="1"/>
  <c r="I11" i="16" s="1"/>
  <c r="I10" i="16" s="1"/>
  <c r="I14" i="16" s="1"/>
  <c r="H22" i="13"/>
  <c r="K22" i="13"/>
  <c r="N29" i="1"/>
  <c r="N69" i="1" s="1"/>
  <c r="J22" i="13"/>
  <c r="K29" i="1"/>
  <c r="K69" i="1" s="1"/>
  <c r="E20" i="13"/>
  <c r="O20" i="13"/>
  <c r="M29" i="1"/>
  <c r="M69" i="1" s="1"/>
  <c r="E22" i="13"/>
  <c r="I24" i="1"/>
  <c r="O29" i="1"/>
  <c r="O69" i="1" s="1"/>
  <c r="F54" i="1"/>
  <c r="G29" i="1"/>
  <c r="G69" i="1" s="1"/>
  <c r="O22" i="13"/>
  <c r="J20" i="13"/>
  <c r="L24" i="1"/>
  <c r="L29" i="1"/>
  <c r="L69" i="1" s="1"/>
  <c r="G20" i="13"/>
  <c r="N20" i="13"/>
  <c r="K20" i="13"/>
  <c r="J29" i="1"/>
  <c r="J69" i="1" s="1"/>
  <c r="I29" i="1"/>
  <c r="I69" i="1" s="1"/>
  <c r="F17" i="2"/>
  <c r="M42" i="1" s="1"/>
  <c r="E20" i="11"/>
  <c r="E6" i="11" s="1"/>
  <c r="I20" i="13"/>
  <c r="F20" i="13"/>
  <c r="H10" i="13"/>
  <c r="L20" i="13"/>
  <c r="D15" i="13"/>
  <c r="K10" i="13"/>
  <c r="J10" i="13"/>
  <c r="G15" i="13"/>
  <c r="M15" i="13"/>
  <c r="E10" i="13"/>
  <c r="L10" i="13"/>
  <c r="N15" i="13"/>
  <c r="N10" i="13"/>
  <c r="P15" i="13"/>
  <c r="F10" i="13"/>
  <c r="O10" i="13"/>
  <c r="J15" i="13"/>
  <c r="K15" i="13"/>
  <c r="M10" i="13"/>
  <c r="I15" i="13"/>
  <c r="P10" i="13"/>
  <c r="E15" i="13"/>
  <c r="L15" i="13"/>
  <c r="G10" i="13"/>
  <c r="I10" i="13"/>
  <c r="G7" i="14"/>
  <c r="K7" i="14"/>
  <c r="L7" i="14"/>
  <c r="J7" i="14"/>
  <c r="N7" i="14"/>
  <c r="H14" i="1"/>
  <c r="H26" i="1"/>
  <c r="H66" i="1" s="1"/>
  <c r="H17" i="1"/>
  <c r="H55" i="1" s="1"/>
  <c r="I14" i="1"/>
  <c r="I26" i="1"/>
  <c r="I66" i="1" s="1"/>
  <c r="J14" i="1"/>
  <c r="J26" i="1"/>
  <c r="J66" i="1" s="1"/>
  <c r="J17" i="1"/>
  <c r="J55" i="1" s="1"/>
  <c r="O14" i="1"/>
  <c r="K14" i="1"/>
  <c r="K26" i="1"/>
  <c r="K66" i="1" s="1"/>
  <c r="L14" i="1"/>
  <c r="L66" i="1"/>
  <c r="M26" i="1"/>
  <c r="M66" i="1" s="1"/>
  <c r="M17" i="1"/>
  <c r="M55" i="1" s="1"/>
  <c r="P14" i="1"/>
  <c r="N26" i="1"/>
  <c r="N66" i="1" s="1"/>
  <c r="N17" i="1"/>
  <c r="N55" i="1" s="1"/>
  <c r="O17" i="1"/>
  <c r="N14" i="1"/>
  <c r="P26" i="1"/>
  <c r="P66" i="1" s="1"/>
  <c r="P17" i="1"/>
  <c r="O26" i="1"/>
  <c r="O66" i="1" s="1"/>
  <c r="Q26" i="1"/>
  <c r="Q66" i="1" s="1"/>
  <c r="Q17" i="1"/>
  <c r="Q55" i="1" s="1"/>
  <c r="F14" i="1"/>
  <c r="F26" i="1"/>
  <c r="F66" i="1" s="1"/>
  <c r="G14" i="1"/>
  <c r="G26" i="1"/>
  <c r="G66" i="1" s="1"/>
  <c r="K17" i="1"/>
  <c r="K55" i="1" s="1"/>
  <c r="H54" i="1"/>
  <c r="L17" i="1"/>
  <c r="L55" i="1" s="1"/>
  <c r="M14" i="1"/>
  <c r="G17" i="1"/>
  <c r="G55" i="1" s="1"/>
  <c r="I17" i="1"/>
  <c r="I55" i="1" s="1"/>
  <c r="Q49" i="1"/>
  <c r="P11" i="1"/>
  <c r="P49" i="1" s="1"/>
  <c r="G11" i="1"/>
  <c r="G49" i="1" s="1"/>
  <c r="H11" i="1"/>
  <c r="H49" i="1" s="1"/>
  <c r="N11" i="1"/>
  <c r="N49" i="1" s="1"/>
  <c r="O48" i="1"/>
  <c r="N48" i="1"/>
  <c r="K11" i="1"/>
  <c r="K49" i="1" s="1"/>
  <c r="J11" i="1"/>
  <c r="J49" i="1" s="1"/>
  <c r="M11" i="1"/>
  <c r="M49" i="1" s="1"/>
  <c r="H48" i="1"/>
  <c r="I48" i="1"/>
  <c r="I11" i="1"/>
  <c r="I49" i="1" s="1"/>
  <c r="L11" i="1"/>
  <c r="L49" i="1" s="1"/>
  <c r="O11" i="1"/>
  <c r="O49" i="1" s="1"/>
  <c r="K27" i="11"/>
  <c r="L39" i="11"/>
  <c r="G20" i="11"/>
  <c r="G18" i="11" s="1"/>
  <c r="P27" i="11"/>
  <c r="H43" i="11"/>
  <c r="L27" i="11"/>
  <c r="D43" i="11"/>
  <c r="B20" i="11"/>
  <c r="B12" i="11" s="1"/>
  <c r="O27" i="11"/>
  <c r="G43" i="11"/>
  <c r="G31" i="11"/>
  <c r="P43" i="11"/>
  <c r="L20" i="11"/>
  <c r="L6" i="11" s="1"/>
  <c r="I20" i="11"/>
  <c r="I6" i="11" s="1"/>
  <c r="K31" i="11"/>
  <c r="B35" i="11"/>
  <c r="K20" i="11"/>
  <c r="K9" i="11" s="1"/>
  <c r="E35" i="11"/>
  <c r="N35" i="11"/>
  <c r="Q35" i="11"/>
  <c r="C27" i="11"/>
  <c r="I39" i="11"/>
  <c r="D27" i="11"/>
  <c r="P20" i="11"/>
  <c r="P12" i="11" s="1"/>
  <c r="M39" i="11"/>
  <c r="Q20" i="11"/>
  <c r="H31" i="11"/>
  <c r="C35" i="11"/>
  <c r="O35" i="11"/>
  <c r="J39" i="11"/>
  <c r="E43" i="11"/>
  <c r="Q43" i="11"/>
  <c r="N27" i="11"/>
  <c r="I31" i="11"/>
  <c r="D35" i="11"/>
  <c r="P35" i="11"/>
  <c r="K39" i="11"/>
  <c r="F43" i="11"/>
  <c r="R43" i="11"/>
  <c r="J31" i="11"/>
  <c r="F35" i="11"/>
  <c r="E27" i="11"/>
  <c r="Q27" i="11"/>
  <c r="L31" i="11"/>
  <c r="G35" i="11"/>
  <c r="B39" i="11"/>
  <c r="N39" i="11"/>
  <c r="I43" i="11"/>
  <c r="F27" i="11"/>
  <c r="R27" i="11"/>
  <c r="M31" i="11"/>
  <c r="H35" i="11"/>
  <c r="C39" i="11"/>
  <c r="O39" i="11"/>
  <c r="J43" i="11"/>
  <c r="G27" i="11"/>
  <c r="B31" i="11"/>
  <c r="N31" i="11"/>
  <c r="I35" i="11"/>
  <c r="D39" i="11"/>
  <c r="P39" i="11"/>
  <c r="K43" i="11"/>
  <c r="H27" i="11"/>
  <c r="C31" i="11"/>
  <c r="O31" i="11"/>
  <c r="J35" i="11"/>
  <c r="E39" i="11"/>
  <c r="Q39" i="11"/>
  <c r="L43" i="11"/>
  <c r="R35" i="11"/>
  <c r="F39" i="11"/>
  <c r="M43" i="11"/>
  <c r="D20" i="11"/>
  <c r="D15" i="11" s="1"/>
  <c r="C20" i="11"/>
  <c r="C9" i="11" s="1"/>
  <c r="N20" i="11"/>
  <c r="N18" i="11" s="1"/>
  <c r="O20" i="11"/>
  <c r="O12" i="11" s="1"/>
  <c r="J20" i="11"/>
  <c r="J15" i="11" s="1"/>
  <c r="H20" i="11"/>
  <c r="H12" i="11" s="1"/>
  <c r="F20" i="11"/>
  <c r="F12" i="11" s="1"/>
  <c r="T18" i="11" l="1"/>
  <c r="T15" i="11"/>
  <c r="T6" i="11"/>
  <c r="U18" i="11"/>
  <c r="T12" i="11"/>
  <c r="U12" i="11"/>
  <c r="U9" i="11"/>
  <c r="M12" i="11"/>
  <c r="M18" i="11"/>
  <c r="R6" i="11"/>
  <c r="M9" i="11"/>
  <c r="M15" i="11"/>
  <c r="R15" i="11"/>
  <c r="S6" i="11"/>
  <c r="R42" i="1"/>
  <c r="D42" i="1"/>
  <c r="I42" i="1"/>
  <c r="V12" i="14"/>
  <c r="V10" i="14" s="1"/>
  <c r="O25" i="16"/>
  <c r="AA48" i="1"/>
  <c r="AA54" i="1" s="1"/>
  <c r="AA22" i="13"/>
  <c r="AA9" i="13" s="1"/>
  <c r="AF22" i="13"/>
  <c r="AF9" i="13" s="1"/>
  <c r="AB22" i="13"/>
  <c r="AB9" i="13" s="1"/>
  <c r="AC22" i="13"/>
  <c r="AC9" i="13" s="1"/>
  <c r="X22" i="13"/>
  <c r="X9" i="13" s="1"/>
  <c r="AD22" i="13"/>
  <c r="AD9" i="13" s="1"/>
  <c r="W22" i="13"/>
  <c r="W9" i="13" s="1"/>
  <c r="AE22" i="13"/>
  <c r="AE9" i="13" s="1"/>
  <c r="Y22" i="13"/>
  <c r="Y9" i="13" s="1"/>
  <c r="Z22" i="13"/>
  <c r="Z9" i="13" s="1"/>
  <c r="AC20" i="13"/>
  <c r="AC7" i="13" s="1"/>
  <c r="AD20" i="13"/>
  <c r="AD7" i="13" s="1"/>
  <c r="AE20" i="13"/>
  <c r="AE7" i="13" s="1"/>
  <c r="X20" i="13"/>
  <c r="X7" i="13" s="1"/>
  <c r="AF20" i="13"/>
  <c r="AF7" i="13" s="1"/>
  <c r="Y20" i="13"/>
  <c r="Y7" i="13" s="1"/>
  <c r="W20" i="13"/>
  <c r="W7" i="13" s="1"/>
  <c r="AA20" i="13"/>
  <c r="AA7" i="13" s="1"/>
  <c r="Z20" i="13"/>
  <c r="Z7" i="13" s="1"/>
  <c r="AB20" i="13"/>
  <c r="AB7" i="13" s="1"/>
  <c r="T5" i="13"/>
  <c r="U5" i="13" s="1"/>
  <c r="V5" i="13" s="1"/>
  <c r="W5" i="13" s="1"/>
  <c r="X5" i="13" s="1"/>
  <c r="Y5" i="13" s="1"/>
  <c r="Z5" i="13" s="1"/>
  <c r="AA5" i="13" s="1"/>
  <c r="AB5" i="13" s="1"/>
  <c r="AC5" i="13" s="1"/>
  <c r="AD5" i="13" s="1"/>
  <c r="AE5" i="13" s="1"/>
  <c r="AF5" i="13" s="1"/>
  <c r="AA12" i="14"/>
  <c r="AC12" i="14"/>
  <c r="W12" i="14"/>
  <c r="X12" i="14"/>
  <c r="AB12" i="14"/>
  <c r="Y12" i="14"/>
  <c r="Z12" i="14"/>
  <c r="AD12" i="14"/>
  <c r="AE12" i="14"/>
  <c r="Q9" i="11"/>
  <c r="Q6" i="11"/>
  <c r="S18" i="11"/>
  <c r="S15" i="11"/>
  <c r="S9" i="11"/>
  <c r="D17" i="13"/>
  <c r="H17" i="13"/>
  <c r="H25" i="16"/>
  <c r="M20" i="16"/>
  <c r="F25" i="16"/>
  <c r="E25" i="16"/>
  <c r="K25" i="16"/>
  <c r="P17" i="13"/>
  <c r="Q18" i="13" s="1"/>
  <c r="R31" i="1" s="1"/>
  <c r="R71" i="1" s="1"/>
  <c r="O17" i="13"/>
  <c r="F17" i="13"/>
  <c r="J25" i="16"/>
  <c r="N25" i="16"/>
  <c r="L25" i="16"/>
  <c r="I25" i="16"/>
  <c r="G25" i="16"/>
  <c r="D25" i="16"/>
  <c r="L11" i="16"/>
  <c r="L10" i="16" s="1"/>
  <c r="L9" i="16" s="1"/>
  <c r="H11" i="16"/>
  <c r="H10" i="16" s="1"/>
  <c r="H16" i="16" s="1"/>
  <c r="P55" i="1"/>
  <c r="O55" i="1"/>
  <c r="K11" i="16"/>
  <c r="K10" i="16" s="1"/>
  <c r="K9" i="16" s="1"/>
  <c r="J26" i="13"/>
  <c r="N11" i="16"/>
  <c r="J11" i="16"/>
  <c r="J10" i="16" s="1"/>
  <c r="E10" i="16"/>
  <c r="E14" i="16" s="1"/>
  <c r="E26" i="13"/>
  <c r="G11" i="16"/>
  <c r="O11" i="16"/>
  <c r="N26" i="13"/>
  <c r="P26" i="13"/>
  <c r="G26" i="13"/>
  <c r="F26" i="13"/>
  <c r="D16" i="16"/>
  <c r="D9" i="16"/>
  <c r="M16" i="16"/>
  <c r="M9" i="16"/>
  <c r="I16" i="16"/>
  <c r="I9" i="16"/>
  <c r="D14" i="16"/>
  <c r="M14" i="16"/>
  <c r="F16" i="16"/>
  <c r="F9" i="16"/>
  <c r="I26" i="13"/>
  <c r="E15" i="11"/>
  <c r="E12" i="11"/>
  <c r="Q15" i="11"/>
  <c r="L12" i="11"/>
  <c r="E9" i="11"/>
  <c r="E18" i="11"/>
  <c r="F18" i="11"/>
  <c r="I9" i="11"/>
  <c r="K26" i="13"/>
  <c r="H26" i="13"/>
  <c r="N17" i="13"/>
  <c r="M26" i="13"/>
  <c r="O26" i="13"/>
  <c r="L26" i="13"/>
  <c r="M17" i="13"/>
  <c r="G17" i="13"/>
  <c r="J17" i="13"/>
  <c r="I17" i="13"/>
  <c r="K17" i="13"/>
  <c r="L17" i="13"/>
  <c r="E17" i="13"/>
  <c r="K6" i="11"/>
  <c r="O18" i="11"/>
  <c r="D12" i="11"/>
  <c r="N12" i="11"/>
  <c r="O15" i="11"/>
  <c r="G6" i="11"/>
  <c r="C18" i="11"/>
  <c r="P9" i="11"/>
  <c r="H18" i="11"/>
  <c r="P18" i="11"/>
  <c r="C6" i="11"/>
  <c r="D18" i="11"/>
  <c r="K15" i="11"/>
  <c r="D9" i="11"/>
  <c r="B9" i="11"/>
  <c r="F6" i="11"/>
  <c r="J9" i="11"/>
  <c r="G12" i="11"/>
  <c r="J18" i="11"/>
  <c r="C15" i="11"/>
  <c r="L9" i="11"/>
  <c r="L18" i="11"/>
  <c r="G15" i="11"/>
  <c r="J6" i="11"/>
  <c r="H9" i="11"/>
  <c r="D6" i="11"/>
  <c r="B15" i="11"/>
  <c r="C12" i="11"/>
  <c r="K12" i="11"/>
  <c r="G9" i="11"/>
  <c r="J12" i="11"/>
  <c r="Q12" i="11"/>
  <c r="F15" i="11"/>
  <c r="N15" i="11"/>
  <c r="B18" i="11"/>
  <c r="O6" i="11"/>
  <c r="N9" i="11"/>
  <c r="P15" i="11"/>
  <c r="I18" i="11"/>
  <c r="Q18" i="11"/>
  <c r="P6" i="11"/>
  <c r="I15" i="11"/>
  <c r="H6" i="11"/>
  <c r="H15" i="11"/>
  <c r="K18" i="11"/>
  <c r="O9" i="11"/>
  <c r="B6" i="11"/>
  <c r="I12" i="11"/>
  <c r="F9" i="11"/>
  <c r="L15" i="11"/>
  <c r="N6" i="11"/>
  <c r="AB48" i="1" l="1"/>
  <c r="AB54" i="1" s="1"/>
  <c r="R33" i="1"/>
  <c r="R32" i="1"/>
  <c r="R72" i="1" s="1"/>
  <c r="O10" i="16"/>
  <c r="O14" i="16" s="1"/>
  <c r="H9" i="16"/>
  <c r="H14" i="16"/>
  <c r="L16" i="16"/>
  <c r="L14" i="16"/>
  <c r="K16" i="16"/>
  <c r="K14" i="16"/>
  <c r="E16" i="16"/>
  <c r="E9" i="16"/>
  <c r="G10" i="16"/>
  <c r="J14" i="16"/>
  <c r="J16" i="16"/>
  <c r="J9" i="16"/>
  <c r="N10" i="16"/>
  <c r="N18" i="13"/>
  <c r="O31" i="1" s="1"/>
  <c r="O71" i="1" s="1"/>
  <c r="G18" i="13"/>
  <c r="H31" i="1" s="1"/>
  <c r="H71" i="1" s="1"/>
  <c r="O18" i="13"/>
  <c r="P31" i="1" s="1"/>
  <c r="P71" i="1" s="1"/>
  <c r="K18" i="13"/>
  <c r="L31" i="1" s="1"/>
  <c r="L71" i="1" s="1"/>
  <c r="P18" i="13"/>
  <c r="Q31" i="1" s="1"/>
  <c r="Q71" i="1" s="1"/>
  <c r="I18" i="13"/>
  <c r="J31" i="1" s="1"/>
  <c r="J71" i="1" s="1"/>
  <c r="M18" i="13"/>
  <c r="N31" i="1" s="1"/>
  <c r="N71" i="1" s="1"/>
  <c r="H18" i="13"/>
  <c r="I31" i="1" s="1"/>
  <c r="I71" i="1" s="1"/>
  <c r="J18" i="13"/>
  <c r="K31" i="1" s="1"/>
  <c r="K71" i="1" s="1"/>
  <c r="L18" i="13"/>
  <c r="M31" i="1" s="1"/>
  <c r="M71" i="1" s="1"/>
  <c r="F18" i="13"/>
  <c r="G31" i="1" s="1"/>
  <c r="G71" i="1" s="1"/>
  <c r="E18" i="13"/>
  <c r="F31" i="1" s="1"/>
  <c r="F71" i="1" s="1"/>
  <c r="AC48" i="1" l="1"/>
  <c r="AC54" i="1" s="1"/>
  <c r="R23" i="13"/>
  <c r="R21" i="13"/>
  <c r="O9" i="16"/>
  <c r="O16" i="16"/>
  <c r="N14" i="16"/>
  <c r="N9" i="16"/>
  <c r="N16" i="16"/>
  <c r="G16" i="16"/>
  <c r="G9" i="16"/>
  <c r="G14" i="16"/>
  <c r="G33" i="1"/>
  <c r="G32" i="1"/>
  <c r="G72" i="1" s="1"/>
  <c r="L33" i="1"/>
  <c r="L32" i="1"/>
  <c r="L72" i="1" s="1"/>
  <c r="M32" i="1"/>
  <c r="M72" i="1" s="1"/>
  <c r="M33" i="1"/>
  <c r="Q32" i="1"/>
  <c r="Q72" i="1" s="1"/>
  <c r="Q33" i="1"/>
  <c r="K32" i="1"/>
  <c r="K72" i="1" s="1"/>
  <c r="K33" i="1"/>
  <c r="I32" i="1"/>
  <c r="I72" i="1" s="1"/>
  <c r="I33" i="1"/>
  <c r="P32" i="1"/>
  <c r="P72" i="1" s="1"/>
  <c r="P33" i="1"/>
  <c r="N32" i="1"/>
  <c r="N72" i="1" s="1"/>
  <c r="N33" i="1"/>
  <c r="H33" i="1"/>
  <c r="H32" i="1"/>
  <c r="H72" i="1" s="1"/>
  <c r="J32" i="1"/>
  <c r="J72" i="1" s="1"/>
  <c r="J33" i="1"/>
  <c r="O33" i="1"/>
  <c r="O32" i="1"/>
  <c r="O72" i="1" s="1"/>
  <c r="F32" i="1"/>
  <c r="F72" i="1" s="1"/>
  <c r="AD48" i="1" l="1"/>
  <c r="AD54" i="1" s="1"/>
  <c r="R26" i="13"/>
  <c r="V11" i="16" l="1"/>
  <c r="AD24" i="1" s="1"/>
  <c r="V12" i="16" l="1"/>
  <c r="W8" i="16" s="1"/>
  <c r="W9" i="16" s="1"/>
  <c r="AE28" i="1" s="1"/>
  <c r="AE29" i="1" s="1"/>
  <c r="AE69" i="1" l="1"/>
  <c r="AE68" i="1" l="1"/>
  <c r="AA60" i="1" l="1"/>
  <c r="AA63" i="1" s="1"/>
  <c r="AB60" i="1"/>
  <c r="AB63" i="1" s="1"/>
  <c r="X60" i="1"/>
  <c r="X63" i="1" s="1"/>
  <c r="AC60" i="1"/>
  <c r="AC63" i="1" s="1"/>
  <c r="Y60" i="1"/>
  <c r="Y63" i="1" s="1"/>
  <c r="AD60" i="1"/>
  <c r="AD63" i="1" s="1"/>
  <c r="Z60" i="1"/>
  <c r="Z63" i="1" s="1"/>
  <c r="X74" i="1" l="1"/>
  <c r="X75" i="1" s="1"/>
  <c r="AE48" i="1"/>
  <c r="AE54" i="1" s="1"/>
  <c r="AF48" i="1" l="1"/>
  <c r="AG48" i="1" s="1"/>
  <c r="AE60" i="1"/>
  <c r="AE63" i="1" s="1"/>
  <c r="AF54" i="1" l="1"/>
  <c r="AF60" i="1" s="1"/>
  <c r="AF63" i="1" s="1"/>
  <c r="AG54" i="1" l="1"/>
  <c r="AG60" i="1" s="1"/>
  <c r="AG63" i="1" s="1"/>
  <c r="AH60" i="1" l="1"/>
  <c r="AI54" i="1" l="1"/>
  <c r="AI60" i="1" s="1"/>
  <c r="AI63" i="1" s="1"/>
  <c r="AI74" i="1" l="1"/>
  <c r="AH63" i="1"/>
  <c r="W8" i="14"/>
  <c r="X6" i="14" s="1"/>
  <c r="W10" i="14"/>
  <c r="E80" i="1" l="1"/>
  <c r="AI75" i="1"/>
  <c r="AH74" i="1"/>
  <c r="AH75" i="1" s="1"/>
  <c r="X10" i="14"/>
  <c r="X8" i="14"/>
  <c r="Y6" i="14" s="1"/>
  <c r="E81" i="1" l="1"/>
  <c r="Y10" i="14"/>
  <c r="Y8" i="14"/>
  <c r="Z6" i="14" s="1"/>
  <c r="Z8" i="14" l="1"/>
  <c r="AA6" i="14" s="1"/>
  <c r="Z10" i="14"/>
  <c r="AA8" i="14" l="1"/>
  <c r="AB6" i="14" s="1"/>
  <c r="AA10" i="14"/>
  <c r="AB10" i="14" l="1"/>
  <c r="AB8" i="14"/>
  <c r="AC6" i="14" s="1"/>
  <c r="AC10" i="14" l="1"/>
  <c r="AC8" i="14"/>
  <c r="AD6" i="14" s="1"/>
  <c r="AD8" i="14" l="1"/>
  <c r="AE6" i="14" s="1"/>
  <c r="AD10" i="14"/>
  <c r="AE8" i="14" l="1"/>
  <c r="AE10" i="14"/>
  <c r="Q9" i="16"/>
  <c r="U9" i="16"/>
  <c r="AC28" i="1" s="1"/>
  <c r="AC29" i="1" s="1"/>
  <c r="S9" i="16"/>
  <c r="AA28" i="1" s="1"/>
  <c r="AA29" i="1" s="1"/>
  <c r="T9" i="16"/>
  <c r="AB28" i="1" s="1"/>
  <c r="AB29" i="1" s="1"/>
  <c r="R9" i="16"/>
  <c r="Z28" i="1" l="1"/>
  <c r="Z29" i="1" s="1"/>
  <c r="Z69" i="1" s="1"/>
  <c r="Y28" i="1"/>
  <c r="Y29" i="1" s="1"/>
  <c r="Y69" i="1" s="1"/>
  <c r="AD69" i="1"/>
  <c r="AB69" i="1"/>
  <c r="AB68" i="1"/>
  <c r="AA69" i="1"/>
  <c r="AA68" i="1"/>
  <c r="AC69" i="1"/>
  <c r="AC68" i="1"/>
  <c r="Y68" i="1" l="1"/>
  <c r="Z68" i="1"/>
  <c r="AD68" i="1"/>
  <c r="P9" i="16"/>
  <c r="X28" i="1" s="1"/>
  <c r="Z30" i="1" l="1"/>
  <c r="X29" i="1"/>
  <c r="X69" i="1" s="1"/>
  <c r="X68" i="1"/>
  <c r="Y66" i="1"/>
  <c r="Z65" i="1"/>
  <c r="V20" i="16"/>
  <c r="W20" i="16" l="1"/>
  <c r="X20" i="16" s="1"/>
  <c r="V21" i="16"/>
  <c r="V22" i="16" s="1"/>
  <c r="AD25" i="1" s="1"/>
  <c r="AD23" i="1" s="1"/>
  <c r="AD26" i="1" s="1"/>
  <c r="X66" i="1"/>
  <c r="X65" i="1"/>
  <c r="AA66" i="1"/>
  <c r="AA65" i="1"/>
  <c r="AC66" i="1"/>
  <c r="AC65" i="1"/>
  <c r="Z66" i="1"/>
  <c r="Y65" i="1"/>
  <c r="Y20" i="16" l="1"/>
  <c r="Z20" i="16" s="1"/>
  <c r="AD66" i="1"/>
  <c r="V23" i="16"/>
  <c r="W19" i="16" s="1"/>
  <c r="W21" i="16" s="1"/>
  <c r="AB65" i="1"/>
  <c r="AB66" i="1"/>
  <c r="AA20" i="16" l="1"/>
  <c r="AB20" i="16" s="1"/>
  <c r="W22" i="16"/>
  <c r="AE25" i="1" s="1"/>
  <c r="AE23" i="1" s="1"/>
  <c r="AE26" i="1" s="1"/>
  <c r="AE66" i="1" s="1"/>
  <c r="AD65" i="1"/>
  <c r="AC20" i="16" l="1"/>
  <c r="AD20" i="16" s="1"/>
  <c r="AE20" i="16" s="1"/>
  <c r="W23" i="16"/>
  <c r="X19" i="16" s="1"/>
  <c r="X21" i="16" s="1"/>
  <c r="X22" i="16" s="1"/>
  <c r="AF25" i="1" s="1"/>
  <c r="AF23" i="1" s="1"/>
  <c r="AE65" i="1"/>
  <c r="T23" i="13"/>
  <c r="Q21" i="13"/>
  <c r="Q23" i="13"/>
  <c r="X23" i="16" l="1"/>
  <c r="Y19" i="16" s="1"/>
  <c r="Y21" i="16" s="1"/>
  <c r="Y22" i="16" s="1"/>
  <c r="AG25" i="1" s="1"/>
  <c r="AF65" i="1"/>
  <c r="AF26" i="1"/>
  <c r="AF66" i="1" s="1"/>
  <c r="Q26" i="13"/>
  <c r="V23" i="13"/>
  <c r="V21" i="13"/>
  <c r="U21" i="13"/>
  <c r="U23" i="13"/>
  <c r="T26" i="13"/>
  <c r="Y23" i="16" l="1"/>
  <c r="Z19" i="16" s="1"/>
  <c r="Z21" i="16" s="1"/>
  <c r="Z22" i="16" s="1"/>
  <c r="Z23" i="16" s="1"/>
  <c r="AA19" i="16" s="1"/>
  <c r="AA21" i="16" s="1"/>
  <c r="AA22" i="16" s="1"/>
  <c r="AA23" i="16" s="1"/>
  <c r="AB19" i="16" s="1"/>
  <c r="AB21" i="16" s="1"/>
  <c r="AB22" i="16" s="1"/>
  <c r="AB23" i="16" s="1"/>
  <c r="AC19" i="16" s="1"/>
  <c r="AC21" i="16" s="1"/>
  <c r="AC22" i="16" s="1"/>
  <c r="AC23" i="16" s="1"/>
  <c r="AD19" i="16" s="1"/>
  <c r="AD21" i="16" s="1"/>
  <c r="AD22" i="16" s="1"/>
  <c r="AD23" i="16" s="1"/>
  <c r="AE19" i="16" s="1"/>
  <c r="AE21" i="16" s="1"/>
  <c r="AE22" i="16" s="1"/>
  <c r="AE23" i="16" s="1"/>
  <c r="AG65" i="1"/>
  <c r="AG66" i="1"/>
  <c r="V26" i="13"/>
  <c r="S23" i="13"/>
  <c r="S21" i="13"/>
  <c r="U26" i="13"/>
  <c r="W21" i="13" l="1"/>
  <c r="X21" i="13"/>
  <c r="X8" i="13" s="1"/>
  <c r="X10" i="13" s="1"/>
  <c r="Y21" i="13"/>
  <c r="Y8" i="13" s="1"/>
  <c r="Y10" i="13" s="1"/>
  <c r="AE21" i="13"/>
  <c r="AE8" i="13" s="1"/>
  <c r="AE10" i="13" s="1"/>
  <c r="AB21" i="13"/>
  <c r="AB8" i="13" s="1"/>
  <c r="AB10" i="13" s="1"/>
  <c r="Z21" i="13"/>
  <c r="Z8" i="13" s="1"/>
  <c r="Z10" i="13" s="1"/>
  <c r="AF21" i="13"/>
  <c r="AF8" i="13" s="1"/>
  <c r="AF10" i="13" s="1"/>
  <c r="AA21" i="13"/>
  <c r="AA8" i="13" s="1"/>
  <c r="AA10" i="13" s="1"/>
  <c r="AC21" i="13"/>
  <c r="AC8" i="13" s="1"/>
  <c r="AC10" i="13" s="1"/>
  <c r="AD21" i="13"/>
  <c r="AD8" i="13" s="1"/>
  <c r="AD10" i="13" s="1"/>
  <c r="X23" i="13"/>
  <c r="X13" i="13" s="1"/>
  <c r="X15" i="13" s="1"/>
  <c r="AF23" i="13"/>
  <c r="AF13" i="13" s="1"/>
  <c r="AF15" i="13" s="1"/>
  <c r="Y23" i="13"/>
  <c r="Y13" i="13" s="1"/>
  <c r="Y15" i="13" s="1"/>
  <c r="AB23" i="13"/>
  <c r="AB13" i="13" s="1"/>
  <c r="AB15" i="13" s="1"/>
  <c r="W23" i="13"/>
  <c r="Z23" i="13"/>
  <c r="Z13" i="13" s="1"/>
  <c r="Z15" i="13" s="1"/>
  <c r="AE23" i="13"/>
  <c r="AE13" i="13" s="1"/>
  <c r="AE15" i="13" s="1"/>
  <c r="AD23" i="13"/>
  <c r="AD13" i="13" s="1"/>
  <c r="AD15" i="13" s="1"/>
  <c r="AA23" i="13"/>
  <c r="AA13" i="13" s="1"/>
  <c r="AA15" i="13" s="1"/>
  <c r="AC23" i="13"/>
  <c r="AC13" i="13" s="1"/>
  <c r="AC15" i="13" s="1"/>
  <c r="S26" i="13"/>
  <c r="W13" i="13" l="1"/>
  <c r="W15" i="13" s="1"/>
  <c r="W8" i="13"/>
  <c r="W10" i="13" s="1"/>
  <c r="AF17" i="13"/>
  <c r="AA17" i="13"/>
  <c r="Y17" i="13"/>
  <c r="AE17" i="13"/>
  <c r="X17" i="13"/>
  <c r="Z17" i="13"/>
  <c r="AD17" i="13"/>
  <c r="AA26" i="13"/>
  <c r="W26" i="13"/>
  <c r="AB26" i="13"/>
  <c r="Z26" i="13"/>
  <c r="AD26" i="13"/>
  <c r="AF26" i="13"/>
  <c r="X26" i="13"/>
  <c r="AE26" i="13"/>
  <c r="Y26" i="13"/>
  <c r="AC26" i="13"/>
  <c r="AB17" i="13"/>
  <c r="AC17" i="13"/>
  <c r="W17" i="13" l="1"/>
  <c r="W18" i="13" s="1"/>
  <c r="X31" i="1" s="1"/>
  <c r="AB18" i="13"/>
  <c r="AC31" i="1" s="1"/>
  <c r="AC33" i="1" s="1"/>
  <c r="Z18" i="13"/>
  <c r="AA31" i="1" s="1"/>
  <c r="Y18" i="13"/>
  <c r="Z31" i="1" s="1"/>
  <c r="Z33" i="1" s="1"/>
  <c r="AF18" i="13"/>
  <c r="AG31" i="1" s="1"/>
  <c r="AD18" i="13"/>
  <c r="AE31" i="1" s="1"/>
  <c r="AE33" i="1" s="1"/>
  <c r="AA18" i="13"/>
  <c r="AB31" i="1" s="1"/>
  <c r="AB33" i="1" s="1"/>
  <c r="AC18" i="13"/>
  <c r="AD31" i="1" s="1"/>
  <c r="AE18" i="13"/>
  <c r="AF31" i="1" s="1"/>
  <c r="AF33" i="1" s="1"/>
  <c r="X18" i="13" l="1"/>
  <c r="Y31" i="1" s="1"/>
  <c r="Y33" i="1" s="1"/>
  <c r="AA33" i="1"/>
  <c r="AA32" i="1"/>
  <c r="AB32" i="1"/>
  <c r="AB72" i="1" s="1"/>
  <c r="AB71" i="1"/>
  <c r="AB74" i="1" s="1"/>
  <c r="AB75" i="1" s="1"/>
  <c r="AG33" i="1"/>
  <c r="AG71" i="1"/>
  <c r="AG74" i="1" s="1"/>
  <c r="AG75" i="1" s="1"/>
  <c r="AD32" i="1"/>
  <c r="AD72" i="1" s="1"/>
  <c r="AD33" i="1"/>
  <c r="X32" i="1"/>
  <c r="X72" i="1" s="1"/>
  <c r="X33" i="1"/>
  <c r="Z32" i="1"/>
  <c r="Z72" i="1" s="1"/>
  <c r="AA72" i="1"/>
  <c r="AF32" i="1"/>
  <c r="AF72" i="1" s="1"/>
  <c r="Y32" i="1"/>
  <c r="Y72" i="1" s="1"/>
  <c r="AC32" i="1"/>
  <c r="AC72" i="1" s="1"/>
  <c r="AE32" i="1"/>
  <c r="AE72" i="1" s="1"/>
  <c r="AG32" i="1"/>
  <c r="AG72" i="1" s="1"/>
  <c r="AA71" i="1"/>
  <c r="AA74" i="1" s="1"/>
  <c r="AA75" i="1" s="1"/>
  <c r="AF71" i="1"/>
  <c r="AF74" i="1" s="1"/>
  <c r="AF75" i="1" s="1"/>
  <c r="Z71" i="1"/>
  <c r="Z74" i="1" s="1"/>
  <c r="Z75" i="1" s="1"/>
  <c r="AC71" i="1"/>
  <c r="AC74" i="1" s="1"/>
  <c r="AC75" i="1" s="1"/>
  <c r="X71" i="1"/>
  <c r="Y71" i="1"/>
  <c r="Y74" i="1" s="1"/>
  <c r="Y75" i="1" s="1"/>
  <c r="AE71" i="1"/>
  <c r="AE74" i="1" s="1"/>
  <c r="AE75" i="1" s="1"/>
  <c r="AD71" i="1"/>
  <c r="AD74" i="1" s="1"/>
  <c r="AD75" i="1" s="1"/>
  <c r="E82" i="1" l="1"/>
  <c r="E85" i="1" s="1"/>
  <c r="E88" i="1" s="1"/>
  <c r="J4" i="1" s="1"/>
  <c r="C11" i="17" s="1"/>
  <c r="J6" i="1" l="1"/>
  <c r="C12" i="17"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95208B5-5B50-437C-8307-A6B962C23F57}" keepAlive="1" name="Query - Q1 BS 2023" description="Connection to the 'Q1 BS 2023' query in the workbook." type="5" refreshedVersion="8" background="1" saveData="1">
    <dbPr connection="Provider=Microsoft.Mashup.OleDb.1;Data Source=$Workbook$;Location=&quot;Q1 BS 2023&quot;;Extended Properties=&quot;&quot;" command="SELECT * FROM [Q1 BS 2023]"/>
  </connection>
  <connection id="2" xr16:uid="{611635EF-3B20-4D1C-A164-8976414C084E}" keepAlive="1" name="Query - Q1 IS 2022" description="Connection to the 'Q1 IS 2022' query in the workbook." type="5" refreshedVersion="8" background="1" saveData="1">
    <dbPr connection="Provider=Microsoft.Mashup.OleDb.1;Data Source=$Workbook$;Location=&quot;Q1 IS 2022&quot;;Extended Properties=&quot;&quot;" command="SELECT * FROM [Q1 IS 2022]"/>
  </connection>
  <connection id="3" xr16:uid="{5F6B660E-E374-4BDC-98A8-B0E532C95D17}" keepAlive="1" name="Query - Q1 IS 2023" description="Connection to the 'Q1 IS 2023' query in the workbook." type="5" refreshedVersion="8" background="1" saveData="1">
    <dbPr connection="Provider=Microsoft.Mashup.OleDb.1;Data Source=$Workbook$;Location=&quot;Q1 IS 2023&quot;;Extended Properties=&quot;&quot;" command="SELECT * FROM [Q1 IS 2023]"/>
  </connection>
  <connection id="4" xr16:uid="{3DB1EA81-ACA6-4C1D-BC42-9C6A30BF88D0}" name="Query - Q2 BS 2023" description="Connection to the 'Q2 BS 2023' query in the workbook." type="100" refreshedVersion="8" minRefreshableVersion="5">
    <extLst>
      <ext xmlns:x15="http://schemas.microsoft.com/office/spreadsheetml/2010/11/main" uri="{DE250136-89BD-433C-8126-D09CA5730AF9}">
        <x15:connection id="ac12dd66-ac87-4fa2-bdd2-d052069dd3b1">
          <x15:oledbPr connection="Provider=Microsoft.Mashup.OleDb.1;Data Source=$Workbook$;Location=&quot;Q2 BS 2023&quot;;Extended Properties=&quot;&quot;">
            <x15:dbTables>
              <x15:dbTable name="Q2 BS 2023"/>
            </x15:dbTables>
          </x15:oledbPr>
        </x15:connection>
      </ext>
    </extLst>
  </connection>
  <connection id="5" xr16:uid="{55297E98-FCE9-427F-B449-73755BC2F538}" keepAlive="1" name="Query - Q2 IS 2022" description="Connection to the 'Q2 IS 2022' query in the workbook." type="5" refreshedVersion="8" background="1" saveData="1">
    <dbPr connection="Provider=Microsoft.Mashup.OleDb.1;Data Source=$Workbook$;Location=&quot;Q2 IS 2022&quot;;Extended Properties=&quot;&quot;" command="SELECT * FROM [Q2 IS 2022]"/>
  </connection>
  <connection id="6" xr16:uid="{DA78210E-AC19-4959-8373-FB450E883279}" name="Query - Q2 IS 2023" description="Connection to the 'Q2 IS 2023' query in the workbook." type="100" refreshedVersion="8" minRefreshableVersion="5">
    <extLst>
      <ext xmlns:x15="http://schemas.microsoft.com/office/spreadsheetml/2010/11/main" uri="{DE250136-89BD-433C-8126-D09CA5730AF9}">
        <x15:connection id="9c202098-6617-46e9-9777-fac233700281">
          <x15:oledbPr connection="Provider=Microsoft.Mashup.OleDb.1;Data Source=$Workbook$;Location=&quot;Q2 IS 2023&quot;;Extended Properties=&quot;&quot;">
            <x15:dbTables>
              <x15:dbTable name="Q2 IS 2023"/>
            </x15:dbTables>
          </x15:oledbPr>
        </x15:connection>
      </ext>
    </extLst>
  </connection>
  <connection id="7" xr16:uid="{7942F821-DEB8-48C3-88A2-97C59585985F}" name="Query - Q3 BS 2023" description="Connection to the 'Q3 BS 2023' query in the workbook." type="100" refreshedVersion="8" minRefreshableVersion="5">
    <extLst>
      <ext xmlns:x15="http://schemas.microsoft.com/office/spreadsheetml/2010/11/main" uri="{DE250136-89BD-433C-8126-D09CA5730AF9}">
        <x15:connection id="5edb741b-1a5c-415d-953a-874f73956dbe">
          <x15:oledbPr connection="Provider=Microsoft.Mashup.OleDb.1;Data Source=$Workbook$;Location=&quot;Q3 BS 2023&quot;;Extended Properties=&quot;&quot;">
            <x15:dbTables>
              <x15:dbTable name="Q3 BS 2023"/>
            </x15:dbTables>
          </x15:oledbPr>
        </x15:connection>
      </ext>
    </extLst>
  </connection>
  <connection id="8" xr16:uid="{5C8FD4EC-1EB1-411F-817A-7931AA99A16B}" keepAlive="1" name="Query - Q3 IS 2 2023" description="Connection to the 'Q3 IS 2 2023' query in the workbook." type="5" refreshedVersion="8" background="1" saveData="1">
    <dbPr connection="Provider=Microsoft.Mashup.OleDb.1;Data Source=$Workbook$;Location=&quot;Q3 IS 2 2023&quot;;Extended Properties=&quot;&quot;" command="SELECT * FROM [Q3 IS 2 2023]"/>
  </connection>
  <connection id="9" xr16:uid="{C90A9022-FEC7-4178-8B6F-BBDEF9B7C81F}" keepAlive="1" name="Query - Q3 IS 2022" description="Connection to the 'Q3 IS 2022' query in the workbook." type="5" refreshedVersion="8" background="1" saveData="1">
    <dbPr connection="Provider=Microsoft.Mashup.OleDb.1;Data Source=$Workbook$;Location=&quot;Q3 IS 2022&quot;;Extended Properties=&quot;&quot;" command="SELECT * FROM [Q3 IS 2022]"/>
  </connection>
  <connection id="10" xr16:uid="{111A0C06-24BF-4283-896D-216CCDB4C4A4}" name="Query - Q3 IS 2023" description="Connection to the 'Q3 IS 2023' query in the workbook." type="100" refreshedVersion="8" minRefreshableVersion="5">
    <extLst>
      <ext xmlns:x15="http://schemas.microsoft.com/office/spreadsheetml/2010/11/main" uri="{DE250136-89BD-433C-8126-D09CA5730AF9}">
        <x15:connection id="dbaebf63-72d0-4784-8c99-231cc61588d8">
          <x15:oledbPr connection="Provider=Microsoft.Mashup.OleDb.1;Data Source=$Workbook$;Location=&quot;Q3 IS 2023&quot;;Extended Properties=&quot;&quot;">
            <x15:dbTables>
              <x15:dbTable name="Q3 IS 2023"/>
            </x15:dbTables>
          </x15:oledbPr>
        </x15:connection>
      </ext>
    </extLst>
  </connection>
  <connection id="11" xr16:uid="{F9F01F67-2A88-4C68-9EDB-F3ED39AD4962}" keepAlive="1" name="Query - Q4 IS 2023" description="Connection to the 'Q4 IS 2023' query in the workbook." type="5" refreshedVersion="8" background="1" saveData="1">
    <dbPr connection="Provider=Microsoft.Mashup.OleDb.1;Data Source=$Workbook$;Location=&quot;Q4 IS 2023&quot;;Extended Properties=&quot;&quot;" command="SELECT * FROM [Q4 IS 2023]"/>
  </connection>
  <connection id="12" xr16:uid="{71C15629-D066-43EE-BE49-58221371CBB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<sst xmlns="http://schemas.openxmlformats.org/spreadsheetml/2006/main" count="728" uniqueCount="418">
  <si>
    <t>NVIDIA DCF Valuation Using Financial Statements</t>
  </si>
  <si>
    <t>Date</t>
  </si>
  <si>
    <t>November 12, 2025</t>
  </si>
  <si>
    <t>Prepared By</t>
  </si>
  <si>
    <t>Braeden Tuazon</t>
  </si>
  <si>
    <t>Purpose</t>
  </si>
  <si>
    <t>This model estimates the intrinsic value of NVIDIA using a Discounted Cash Flow (DCF) approach, based on real financial statement data (income statement, balance sheet, and cash flows) and market inputs such as WACC, beta, and risk-free rate.</t>
  </si>
  <si>
    <t>Data Sources</t>
  </si>
  <si>
    <t>NVIDIA 10-Q and 10-K reports, Yahoo Finance, AlphaSpread, Bloomberg, Morningstar, GuruFocus, Finbox, FactSet, Reuters, U.S. Treasury, and self-calculated estimates where applicable.</t>
  </si>
  <si>
    <t>Key Valuation Results</t>
  </si>
  <si>
    <t>Values</t>
  </si>
  <si>
    <t>Market Share Price</t>
  </si>
  <si>
    <t>DCF Implied Share Price</t>
  </si>
  <si>
    <t>Upside Potential</t>
  </si>
  <si>
    <t>WACC</t>
  </si>
  <si>
    <t>Terminal Growth Rate</t>
  </si>
  <si>
    <t>3.5%</t>
  </si>
  <si>
    <t>Valuation Date</t>
  </si>
  <si>
    <t>Key Assumptions Table</t>
  </si>
  <si>
    <t>Cost of Equity</t>
  </si>
  <si>
    <t>Beta</t>
  </si>
  <si>
    <t>Risk-Free Rate</t>
  </si>
  <si>
    <t>Market Risk Premium</t>
  </si>
  <si>
    <t>Cost of Debt</t>
  </si>
  <si>
    <t>Tax Rate</t>
  </si>
  <si>
    <t>Workbook Tabs Overview</t>
  </si>
  <si>
    <t>Description</t>
  </si>
  <si>
    <t>Revenue Streams</t>
  </si>
  <si>
    <t>Breakdown of NVIDIA's product/service revenue over time</t>
  </si>
  <si>
    <t>Income Statement</t>
  </si>
  <si>
    <t>Quarterly income performance including revenue, expenses, and net income</t>
  </si>
  <si>
    <t>Balance Sheet</t>
  </si>
  <si>
    <t>Snapshot of assets, liabilities, and equity over time</t>
  </si>
  <si>
    <t>Cash Flow Statement</t>
  </si>
  <si>
    <t>Cash inflows/outflows from operations, investing and financing activities</t>
  </si>
  <si>
    <t>Working Capital</t>
  </si>
  <si>
    <t>Detailed calculation of current assets and liabilities for forecasting purposes</t>
  </si>
  <si>
    <t>Debt</t>
  </si>
  <si>
    <t>NVIDIA's debt levels, interest expense, and cost of debt inputs</t>
  </si>
  <si>
    <t>Fixed Assets</t>
  </si>
  <si>
    <t>Capital expenditures, depreciation, and asset base tracking</t>
  </si>
  <si>
    <t>Weighted Average Cost of Capital calculation based on market inputs</t>
  </si>
  <si>
    <t>DCF Valuation</t>
  </si>
  <si>
    <t>Free Cash Flow forecast, terminal value, and intrinsic value estimation</t>
  </si>
  <si>
    <t>Disclaimer: For academic use only. Not intended as financial or investment advice.</t>
  </si>
  <si>
    <t>($ in millions)</t>
  </si>
  <si>
    <t>Q1 2020</t>
  </si>
  <si>
    <t>Q2 2020</t>
  </si>
  <si>
    <t>Q3 2020</t>
  </si>
  <si>
    <t>Q4 2020</t>
  </si>
  <si>
    <t>Q1 2021</t>
  </si>
  <si>
    <t>Q2 2021</t>
  </si>
  <si>
    <t>Q3 2021</t>
  </si>
  <si>
    <t>Q4 2021</t>
  </si>
  <si>
    <t>Q1 2022</t>
  </si>
  <si>
    <t>Q2 2022</t>
  </si>
  <si>
    <t>Q3 2022</t>
  </si>
  <si>
    <t>Q4 2022</t>
  </si>
  <si>
    <t>Q1 2023</t>
  </si>
  <si>
    <t>Q2 2023</t>
  </si>
  <si>
    <t>Q3 2023</t>
  </si>
  <si>
    <t>Q4 2023</t>
  </si>
  <si>
    <t>Q1 2024</t>
  </si>
  <si>
    <t>Q2 2024</t>
  </si>
  <si>
    <t>Q3 2024</t>
  </si>
  <si>
    <t>Q4 2024</t>
  </si>
  <si>
    <t>Data Center</t>
  </si>
  <si>
    <t>Gaming</t>
  </si>
  <si>
    <t>Professional Visualization</t>
  </si>
  <si>
    <t>Auto</t>
  </si>
  <si>
    <t>OEM &amp; Other</t>
  </si>
  <si>
    <t>Total</t>
  </si>
  <si>
    <t>Q1 2025</t>
  </si>
  <si>
    <t>Q2 2025</t>
  </si>
  <si>
    <t>Q3 2025</t>
  </si>
  <si>
    <t>% change</t>
  </si>
  <si>
    <t>% of total</t>
  </si>
  <si>
    <t>Original Equipment Manufacturers</t>
  </si>
  <si>
    <t>All figures in millions USD (except per-share amounts)</t>
  </si>
  <si>
    <t>Fiscal Year</t>
  </si>
  <si>
    <t>Quarterly Date</t>
  </si>
  <si>
    <t>Revenue</t>
  </si>
  <si>
    <t>5,661</t>
  </si>
  <si>
    <t>6,507</t>
  </si>
  <si>
    <t>6,704</t>
  </si>
  <si>
    <t>5,931</t>
  </si>
  <si>
    <t>Cost of revenue</t>
  </si>
  <si>
    <t>2,032</t>
  </si>
  <si>
    <t>2,292</t>
  </si>
  <si>
    <t>2,472</t>
  </si>
  <si>
    <t>3,789</t>
  </si>
  <si>
    <t>2,754</t>
  </si>
  <si>
    <t>Gross profit</t>
  </si>
  <si>
    <t>3,629</t>
  </si>
  <si>
    <t>4,215</t>
  </si>
  <si>
    <t>4,631</t>
  </si>
  <si>
    <t>2,915</t>
  </si>
  <si>
    <t>3,177</t>
  </si>
  <si>
    <t>Operating Expenses</t>
  </si>
  <si>
    <t xml:space="preserve">    Research and development</t>
  </si>
  <si>
    <t>1,153</t>
  </si>
  <si>
    <t>1,245</t>
  </si>
  <si>
    <t>1,403</t>
  </si>
  <si>
    <t>1,824</t>
  </si>
  <si>
    <t>1,945</t>
  </si>
  <si>
    <t xml:space="preserve">    Sales, general and administrative</t>
  </si>
  <si>
    <t>520</t>
  </si>
  <si>
    <t>526</t>
  </si>
  <si>
    <t>557</t>
  </si>
  <si>
    <t>592</t>
  </si>
  <si>
    <t>631</t>
  </si>
  <si>
    <t xml:space="preserve">    Acquisition termination cost</t>
  </si>
  <si>
    <t>—</t>
  </si>
  <si>
    <t xml:space="preserve">        Total operating expenses</t>
  </si>
  <si>
    <t>1,673</t>
  </si>
  <si>
    <t>1,771</t>
  </si>
  <si>
    <t>1,960</t>
  </si>
  <si>
    <t>2,416</t>
  </si>
  <si>
    <t>2,576</t>
  </si>
  <si>
    <t>Operating income</t>
  </si>
  <si>
    <t>1,956</t>
  </si>
  <si>
    <t>2,444</t>
  </si>
  <si>
    <t>2,671</t>
  </si>
  <si>
    <t>499</t>
  </si>
  <si>
    <t>601</t>
  </si>
  <si>
    <t xml:space="preserve">    Interest income</t>
  </si>
  <si>
    <t>6</t>
  </si>
  <si>
    <t>7</t>
  </si>
  <si>
    <t>46</t>
  </si>
  <si>
    <t>88</t>
  </si>
  <si>
    <t xml:space="preserve">    Interest expense</t>
  </si>
  <si>
    <t>(60)</t>
  </si>
  <si>
    <t>(62)</t>
  </si>
  <si>
    <t>(65)</t>
  </si>
  <si>
    <t xml:space="preserve">    Other income (expense), net</t>
  </si>
  <si>
    <t>135</t>
  </si>
  <si>
    <t>4</t>
  </si>
  <si>
    <t>22</t>
  </si>
  <si>
    <t>(5)</t>
  </si>
  <si>
    <t>(11)</t>
  </si>
  <si>
    <t xml:space="preserve">        Total other income (expense), net</t>
  </si>
  <si>
    <t>(50)</t>
  </si>
  <si>
    <t>(33)</t>
  </si>
  <si>
    <t>(24)</t>
  </si>
  <si>
    <t>12</t>
  </si>
  <si>
    <t>Income before income tax</t>
  </si>
  <si>
    <t>2,044</t>
  </si>
  <si>
    <t>2,394</t>
  </si>
  <si>
    <t>2,638</t>
  </si>
  <si>
    <t>475</t>
  </si>
  <si>
    <t>613</t>
  </si>
  <si>
    <t>Income tax expense</t>
  </si>
  <si>
    <t>132</t>
  </si>
  <si>
    <t>20</t>
  </si>
  <si>
    <t>174</t>
  </si>
  <si>
    <t>(181)</t>
  </si>
  <si>
    <t>(67)</t>
  </si>
  <si>
    <t>Net income</t>
  </si>
  <si>
    <t>1,912</t>
  </si>
  <si>
    <t>2,374</t>
  </si>
  <si>
    <t>2,464</t>
  </si>
  <si>
    <t>656</t>
  </si>
  <si>
    <t>680</t>
  </si>
  <si>
    <t/>
  </si>
  <si>
    <t>Net income per share:</t>
  </si>
  <si>
    <t>Basic</t>
  </si>
  <si>
    <t>Diluted</t>
  </si>
  <si>
    <t>Weighted average shares used in per share:</t>
  </si>
  <si>
    <t>2,484</t>
  </si>
  <si>
    <t>2,493</t>
  </si>
  <si>
    <t>2,499</t>
  </si>
  <si>
    <t>2,496</t>
  </si>
  <si>
    <t>2,495</t>
  </si>
  <si>
    <t>2,487</t>
  </si>
  <si>
    <t>2,528</t>
  </si>
  <si>
    <t>2,532</t>
  </si>
  <si>
    <t>2,538</t>
  </si>
  <si>
    <t>2,535</t>
  </si>
  <si>
    <t>2,516</t>
  </si>
  <si>
    <t>2,507</t>
  </si>
  <si>
    <t>Assets</t>
  </si>
  <si>
    <t>Current assets:</t>
  </si>
  <si>
    <t xml:space="preserve">    Cash and cash equivalents</t>
  </si>
  <si>
    <t>3,389</t>
  </si>
  <si>
    <t>5,783</t>
  </si>
  <si>
    <t xml:space="preserve">    Marketable securities</t>
  </si>
  <si>
    <t>9,907</t>
  </si>
  <si>
    <t>10,240</t>
  </si>
  <si>
    <t xml:space="preserve">    Accounts receivable, net</t>
  </si>
  <si>
    <t>3,827</t>
  </si>
  <si>
    <t>7,066</t>
  </si>
  <si>
    <t xml:space="preserve">    Inventories</t>
  </si>
  <si>
    <t>5,159</t>
  </si>
  <si>
    <t>4,319</t>
  </si>
  <si>
    <t xml:space="preserve">    Prepaid expenses and other current assets</t>
  </si>
  <si>
    <t>791</t>
  </si>
  <si>
    <t>1,389</t>
  </si>
  <si>
    <t>Total current assets</t>
  </si>
  <si>
    <t>23,073</t>
  </si>
  <si>
    <t>28,797</t>
  </si>
  <si>
    <t xml:space="preserve">    Property and equipment, net</t>
  </si>
  <si>
    <t>3,807</t>
  </si>
  <si>
    <t>3,799</t>
  </si>
  <si>
    <t xml:space="preserve">    Operating lease assets</t>
  </si>
  <si>
    <t>1,038</t>
  </si>
  <si>
    <t>1,235</t>
  </si>
  <si>
    <t xml:space="preserve">    Goodwill</t>
  </si>
  <si>
    <t>4,372</t>
  </si>
  <si>
    <t>4,430</t>
  </si>
  <si>
    <t xml:space="preserve">    Intangible assets, net</t>
  </si>
  <si>
    <t>1,676</t>
  </si>
  <si>
    <t>1,395</t>
  </si>
  <si>
    <t xml:space="preserve">    Deferred income tax assets</t>
  </si>
  <si>
    <t>3,396</t>
  </si>
  <si>
    <t>5,398</t>
  </si>
  <si>
    <t xml:space="preserve">    Other assets</t>
  </si>
  <si>
    <t>3,820</t>
  </si>
  <si>
    <t>4,501</t>
  </si>
  <si>
    <t>Total assets</t>
  </si>
  <si>
    <t>41,182</t>
  </si>
  <si>
    <t>49,555</t>
  </si>
  <si>
    <t>Liabilities and Shareholders' Equity</t>
  </si>
  <si>
    <t xml:space="preserve">    Current liabilities:</t>
  </si>
  <si>
    <t xml:space="preserve">    Accounts payable</t>
  </si>
  <si>
    <t>1,193</t>
  </si>
  <si>
    <t>1,929</t>
  </si>
  <si>
    <t xml:space="preserve">    Accrued and other current liabilities</t>
  </si>
  <si>
    <t>4,120</t>
  </si>
  <si>
    <t>7,156</t>
  </si>
  <si>
    <t xml:space="preserve">    Short-term debt</t>
  </si>
  <si>
    <t>1,250</t>
  </si>
  <si>
    <t>1,249</t>
  </si>
  <si>
    <t>Total current liabilities</t>
  </si>
  <si>
    <t>6,563</t>
  </si>
  <si>
    <t>10,334</t>
  </si>
  <si>
    <t xml:space="preserve">    Long-term debt</t>
  </si>
  <si>
    <t>9,703</t>
  </si>
  <si>
    <t>8,456</t>
  </si>
  <si>
    <t xml:space="preserve">    Long-term operating lease liabilities</t>
  </si>
  <si>
    <t>902</t>
  </si>
  <si>
    <t>1,041</t>
  </si>
  <si>
    <t xml:space="preserve">    Other long-term liabilities</t>
  </si>
  <si>
    <t>1,913</t>
  </si>
  <si>
    <t>2,223</t>
  </si>
  <si>
    <t>Total liabilities</t>
  </si>
  <si>
    <t>19,081</t>
  </si>
  <si>
    <t>22,054</t>
  </si>
  <si>
    <t>Commitments and Contingencies</t>
  </si>
  <si>
    <t>Shareholders’ equity</t>
  </si>
  <si>
    <t>Preferred stock</t>
  </si>
  <si>
    <t>Common stock</t>
  </si>
  <si>
    <t>2</t>
  </si>
  <si>
    <t>Additional paid-in capital</t>
  </si>
  <si>
    <t>11,971</t>
  </si>
  <si>
    <t>12,629</t>
  </si>
  <si>
    <t>Accumulated other comprehensive loss</t>
  </si>
  <si>
    <t>(43)</t>
  </si>
  <si>
    <t>(51)</t>
  </si>
  <si>
    <t>Retained earnings</t>
  </si>
  <si>
    <t>10,171</t>
  </si>
  <si>
    <t>14,921</t>
  </si>
  <si>
    <t>Total shareholders' equity</t>
  </si>
  <si>
    <t>22,101</t>
  </si>
  <si>
    <t>27,501</t>
  </si>
  <si>
    <t>Total liabilities and shareholders' equity</t>
  </si>
  <si>
    <t>Cash flows from operating activities:</t>
  </si>
  <si>
    <t>Adjustments to reconcile net income to net cash provided by operating activities:</t>
  </si>
  <si>
    <t xml:space="preserve">    Stock-based compensation expense</t>
  </si>
  <si>
    <t xml:space="preserve">    Depreciation and amortization</t>
  </si>
  <si>
    <t xml:space="preserve">    Deferred income taxes</t>
  </si>
  <si>
    <t xml:space="preserve">    (Gains) losses on investments in non-affiliates, net</t>
  </si>
  <si>
    <t xml:space="preserve">    Other</t>
  </si>
  <si>
    <t>Changes in operating assets and liabilities, net of acquisitions:</t>
  </si>
  <si>
    <t xml:space="preserve">    Accounts receivable</t>
  </si>
  <si>
    <t xml:space="preserve">    Prepaid expenses and other assets</t>
  </si>
  <si>
    <t>Net cash provided by operating activities</t>
  </si>
  <si>
    <t>Cash flows from investing activities:</t>
  </si>
  <si>
    <t xml:space="preserve">    Proceeds from maturities of marketable securities</t>
  </si>
  <si>
    <t xml:space="preserve">    Proceeds from sales of marketable securities</t>
  </si>
  <si>
    <t xml:space="preserve">    Purchases of marketable securities</t>
  </si>
  <si>
    <t xml:space="preserve">    Purchases related to property and equipment and intangible assets</t>
  </si>
  <si>
    <t xml:space="preserve">    Investments and other, net</t>
  </si>
  <si>
    <t xml:space="preserve">    Acquisitions, net of cash acquired</t>
  </si>
  <si>
    <t>Net cash used in investing activities</t>
  </si>
  <si>
    <t>Cash flows from financing activities:</t>
  </si>
  <si>
    <t xml:space="preserve">    Issuance of debt, net of issuance costs</t>
  </si>
  <si>
    <t xml:space="preserve">    Proceeds related to employee stock plans</t>
  </si>
  <si>
    <t xml:space="preserve">    Payments related to repurchases of common stock</t>
  </si>
  <si>
    <t xml:space="preserve">    Payments related to tax on restricted stock units</t>
  </si>
  <si>
    <t xml:space="preserve">    Dividends paid</t>
  </si>
  <si>
    <t xml:space="preserve">    Principal payments on property and equipment</t>
  </si>
  <si>
    <t xml:space="preserve">    Repayment of debt</t>
  </si>
  <si>
    <t>Net cash provided by (used in) financing activities</t>
  </si>
  <si>
    <t xml:space="preserve">    Change in cash and cash equivalents</t>
  </si>
  <si>
    <t xml:space="preserve">    Cash and cash equivalents at beginning of period</t>
  </si>
  <si>
    <t>Cash and cash equivalents at end of period</t>
  </si>
  <si>
    <t>Supplemental disclosures of cash flow information:</t>
  </si>
  <si>
    <t>Cash paid for income taxes, net</t>
  </si>
  <si>
    <t>Cash paid for interest</t>
  </si>
  <si>
    <t>Accumulated Amortization of Intangible Assets</t>
  </si>
  <si>
    <t>Total Annual</t>
  </si>
  <si>
    <t>Working Capital Schedule</t>
  </si>
  <si>
    <t>Historical</t>
  </si>
  <si>
    <t>Projected</t>
  </si>
  <si>
    <t>$ in millions</t>
  </si>
  <si>
    <t>Current assets</t>
  </si>
  <si>
    <t>Accounts Receivables</t>
  </si>
  <si>
    <t>Inventories</t>
  </si>
  <si>
    <t>Prepaid expenses and other current assets</t>
  </si>
  <si>
    <t>Current liabilities</t>
  </si>
  <si>
    <t>Accounts Payables</t>
  </si>
  <si>
    <t>Accrued and other current liabilities</t>
  </si>
  <si>
    <t>Net Working capital</t>
  </si>
  <si>
    <t>Changes in working capital</t>
  </si>
  <si>
    <t>Days Sales Outstanding (DSO)</t>
  </si>
  <si>
    <t>Days Inventory Outstanding (DIO)</t>
  </si>
  <si>
    <t>Other current assets (% of revenue)</t>
  </si>
  <si>
    <t>Days Payable Outstanding (DPO)</t>
  </si>
  <si>
    <t>(% of operating expenses)</t>
  </si>
  <si>
    <t>Cash Conversion Cycle (CCC)</t>
  </si>
  <si>
    <t>Debt Schedule</t>
  </si>
  <si>
    <t>Opening balance</t>
  </si>
  <si>
    <t>Add/Less: Debt incurred (repaid)</t>
  </si>
  <si>
    <t>Closing Balance</t>
  </si>
  <si>
    <t>Interest Expenses</t>
  </si>
  <si>
    <t>Net Interest Expenses</t>
  </si>
  <si>
    <t>Interest rate (pre tax)</t>
  </si>
  <si>
    <t>Long-Term Asset Schedule</t>
  </si>
  <si>
    <t>Property and Equipment Schedule</t>
  </si>
  <si>
    <t>Add: Net Purchases</t>
  </si>
  <si>
    <t>Total Fixed Assets</t>
  </si>
  <si>
    <t>Less: Depreciation</t>
  </si>
  <si>
    <t>Rate of depreciation</t>
  </si>
  <si>
    <t>Fixed asset turnover ratio</t>
  </si>
  <si>
    <t>Other intangible asset schedule</t>
  </si>
  <si>
    <t>Total Fixed assets</t>
  </si>
  <si>
    <t>Less: Amortization</t>
  </si>
  <si>
    <t>Closing balance</t>
  </si>
  <si>
    <t>Rate of amortization</t>
  </si>
  <si>
    <t>WACC (Working Average Cost of Capital)</t>
  </si>
  <si>
    <t>WACC = (% Equity × Cost of Equity) + (% Debt × Cost of Debt × (1 – Tax Rate))</t>
  </si>
  <si>
    <t>Cost of Equity = Risk-Free Rate + Company Beta × (Market Return – Risk-Free Rate)</t>
  </si>
  <si>
    <t>WACC (November 12, 2025)</t>
  </si>
  <si>
    <t>Market cap</t>
  </si>
  <si>
    <t xml:space="preserve">% </t>
  </si>
  <si>
    <t>Cost of equity</t>
  </si>
  <si>
    <t xml:space="preserve">Risk Free rate </t>
  </si>
  <si>
    <t>%</t>
  </si>
  <si>
    <t>Cost of debt</t>
  </si>
  <si>
    <t>Risk-Free
Rate</t>
  </si>
  <si>
    <t>Cost of
Equity</t>
  </si>
  <si>
    <t>Cost of 
Debt (After tax)</t>
  </si>
  <si>
    <t>(Adjusted)
BETA</t>
  </si>
  <si>
    <t>Equity Risk
Premium</t>
  </si>
  <si>
    <t>Alphaspread</t>
  </si>
  <si>
    <t>ValueInvesting</t>
  </si>
  <si>
    <t>Loan</t>
  </si>
  <si>
    <t>Expected Remaining
Term (years)</t>
  </si>
  <si>
    <t>Effective
Interest Rate</t>
  </si>
  <si>
    <t>Notional
Value</t>
  </si>
  <si>
    <t>Annual Interest</t>
  </si>
  <si>
    <t>Note 2024</t>
  </si>
  <si>
    <t>Note 2026</t>
  </si>
  <si>
    <t>Note 2028</t>
  </si>
  <si>
    <t>Note 2030</t>
  </si>
  <si>
    <t>Note 2031</t>
  </si>
  <si>
    <t>Note 2040</t>
  </si>
  <si>
    <t>Note 2050</t>
  </si>
  <si>
    <t>Note 2060</t>
  </si>
  <si>
    <t>Discounted Cash Flow</t>
  </si>
  <si>
    <t>Ticker</t>
  </si>
  <si>
    <t>NVDA</t>
  </si>
  <si>
    <t>Implied share price (Nov 12, 2025)</t>
  </si>
  <si>
    <t>Current share price  (Nov 12, 2025)</t>
  </si>
  <si>
    <t>Year Start</t>
  </si>
  <si>
    <t>Implied Gain/Loss</t>
  </si>
  <si>
    <t>Year End</t>
  </si>
  <si>
    <t>x</t>
  </si>
  <si>
    <t>Income Statement (End of January YE)</t>
  </si>
  <si>
    <t>% growth</t>
  </si>
  <si>
    <t>Gross Profit</t>
  </si>
  <si>
    <t>% of revenue</t>
  </si>
  <si>
    <t>EBIT</t>
  </si>
  <si>
    <t>Taxes</t>
  </si>
  <si>
    <t>% of EBIT</t>
  </si>
  <si>
    <t>Cash Flow Items</t>
  </si>
  <si>
    <t>D&amp;A</t>
  </si>
  <si>
    <t>Depreciation</t>
  </si>
  <si>
    <t>Amortization</t>
  </si>
  <si>
    <t>CapEx</t>
  </si>
  <si>
    <t>Change in NWC</t>
  </si>
  <si>
    <t>% of change in revenue</t>
  </si>
  <si>
    <t>Assumptions</t>
  </si>
  <si>
    <t>Scenarios</t>
  </si>
  <si>
    <t>Scenario 1 - Conservative</t>
  </si>
  <si>
    <t>Scenario 2 - Base</t>
  </si>
  <si>
    <t>Scenario 3 - Optimistic</t>
  </si>
  <si>
    <t>Revenue Growth FY27</t>
  </si>
  <si>
    <t>Revenue Q4 '28</t>
  </si>
  <si>
    <t>EBIT Margin FY28</t>
  </si>
  <si>
    <t>g</t>
  </si>
  <si>
    <t xml:space="preserve"> </t>
  </si>
  <si>
    <t>Conservative</t>
  </si>
  <si>
    <t>Base</t>
  </si>
  <si>
    <t>Optimistic</t>
  </si>
  <si>
    <t>EBIAT</t>
  </si>
  <si>
    <t>Unlevered FCF</t>
  </si>
  <si>
    <t>Present value of Unlevered FCF</t>
  </si>
  <si>
    <t>Period</t>
  </si>
  <si>
    <t>Discount factor</t>
  </si>
  <si>
    <t>Terminal Value</t>
  </si>
  <si>
    <t>PV of Terminal Value</t>
  </si>
  <si>
    <t>Enterprise Value</t>
  </si>
  <si>
    <t>(+) Cash</t>
  </si>
  <si>
    <t>(-) Debt</t>
  </si>
  <si>
    <t>Equity Value</t>
  </si>
  <si>
    <t>Diluted Shares</t>
  </si>
  <si>
    <t>Implied Stock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</si>
</sst>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4">
    <numFmt numFmtId="43" formatCode="_(* #,##0.00_);_(* \(#,##0.00\);_(* &quot;-&quot;??_);_(@_)"/>
    <numFmt numFmtId="164" formatCode="_-&quot;$&quot;* #,##0.00_-;\-&quot;$&quot;* #,##0.00_-;_-&quot;$&quot;* &quot;-&quot;??_-;_-@_-"/>
    <numFmt numFmtId="165" formatCode="_-* #,##0.00_-;\-* #,##0.00_-;_-* &quot;-&quot;??_-;_-@_-"/>
    <numFmt numFmtId="166" formatCode="_ * #,##0.00_)_ ;_ * \(#,##0.00\)_ ;_ * &quot;-&quot;??_)_ ;_ @_ "/>
    <numFmt numFmtId="167" formatCode="_ * #,##0_)_ ;_ * \(#,##0\)_ ;_ * &quot;-&quot;??_)_ ;_ @_ "/>
    <numFmt numFmtId="168" formatCode="0_);\(0\)"/>
    <numFmt numFmtId="169" formatCode="0.0%"/>
    <numFmt numFmtId="170" formatCode="0.0"/>
    <numFmt numFmtId="171" formatCode="#,##0.0_);\(#,##0.0\)"/>
    <numFmt numFmtId="172" formatCode="0.0000%"/>
    <numFmt numFmtId="173" formatCode="[$]d\ mmm\ yyyy;@" x16r2:formatCode16="[$-en-150,1]d\ mmm\ yyyy;@"/>
    <numFmt numFmtId="174" formatCode="[$$-409]#,##0.0_);\([$$-409]#,##0.0\)"/>
    <numFmt numFmtId="175" formatCode="[$$-409]#,##0_);\([$$-409]#,##0\)"/>
    <numFmt numFmtId="176" formatCode="&quot;$&quot;#,##0.00"/>
  </numFmts>
  <fonts count="22">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i/>
      <sz val="11"/>
      <color theme="1"/>
      <name val="Calibri"/>
      <family val="2"/>
      <scheme val="minor"/>
    </font>
    <font>
      <sz val="11"/>
      <color theme="1"/>
      <name val="Calibri"/>
      <family val="2"/>
      <scheme val="minor"/>
    </font>
    <font>
      <sz val="8"/>
      <name val="Calibri"/>
      <family val="2"/>
      <scheme val="minor"/>
    </font>
    <font>
      <sz val="10"/>
      <name val="Arial"/>
      <family val="2"/>
    </font>
    <font>
      <b/>
      <u/>
      <sz val="11"/>
      <color theme="1"/>
      <name val="Calibri"/>
      <family val="2"/>
      <scheme val="minor"/>
    </font>
    <font>
      <b/>
      <sz val="12"/>
      <color theme="1"/>
      <name val="Calibri"/>
      <family val="2"/>
      <scheme val="minor"/>
    </font>
    <font>
      <sz val="11"/>
      <color rgb="FFFF0000"/>
      <name val="Calibri"/>
      <family val="2"/>
      <scheme val="minor"/>
    </font>
    <font>
      <sz val="11"/>
      <color rgb="FF7030A0"/>
      <name val="Calibri"/>
      <family val="2"/>
      <scheme val="minor"/>
    </font>
    <font>
      <sz val="11"/>
      <name val="Calibri"/>
      <family val="2"/>
      <scheme val="minor"/>
    </font>
    <font>
      <b/>
      <sz val="11"/>
      <name val="Calibri"/>
      <family val="2"/>
      <scheme val="minor"/>
    </font>
    <font>
      <b/>
      <sz val="20"/>
      <color theme="1"/>
      <name val="Calibri"/>
      <family val="2"/>
      <scheme val="minor"/>
    </font>
    <font>
      <b/>
      <sz val="19"/>
      <color theme="1"/>
      <name val="Calibri"/>
      <family val="2"/>
      <scheme val="minor"/>
    </font>
    <font>
      <sz val="10"/>
      <color theme="1"/>
      <name val="Calibri"/>
      <family val="2"/>
      <scheme val="minor"/>
    </font>
    <font>
      <sz val="20"/>
      <color theme="1"/>
      <name val="Calibri"/>
      <family val="2"/>
      <scheme val="minor"/>
    </font>
    <font>
      <u/>
      <sz val="11"/>
      <color theme="10"/>
      <name val="Calibri"/>
      <family val="2"/>
      <scheme val="minor"/>
    </font>
    <font>
      <b/>
      <u/>
      <sz val="11"/>
      <color theme="10"/>
      <name val="Calibri"/>
      <family val="2"/>
      <scheme val="minor"/>
    </font>
    <font>
      <b/>
      <i/>
      <sz val="11"/>
      <color theme="1"/>
      <name val="Calibri"/>
      <family val="2"/>
      <scheme val="minor"/>
    </font>
  </fonts>
  <fills count="7">
    <fill>
      <patternFill patternType="none"/>
    </fill>
    <fill>
      <patternFill patternType="gray125"/>
    </fill>
    <fill>
      <patternFill patternType="solid">
        <fgColor theme="0"/>
        <bgColor indexed="64"/>
      </patternFill>
    </fill>
    <fill>
      <patternFill patternType="solid">
        <fgColor theme="7" tint="0.79998168889431442"/>
        <bgColor indexed="64"/>
      </patternFill>
    </fill>
    <fill>
      <patternFill patternType="solid">
        <fgColor theme="5" tint="-0.249977111117893"/>
        <bgColor indexed="64"/>
      </patternFill>
    </fill>
    <fill>
      <patternFill patternType="solid">
        <fgColor theme="5" tint="0.39997558519241921"/>
        <bgColor indexed="64"/>
      </patternFill>
    </fill>
    <fill>
      <patternFill patternType="solid">
        <fgColor theme="3" tint="-0.249977111117893"/>
        <bgColor indexed="64"/>
      </patternFill>
    </fill>
  </fills>
  <borders count="11">
    <border>
      <left/>
      <right/>
      <top/>
      <bottom/>
      <diagonal/>
    </border>
    <border>
      <left style="hair">
        <color indexed="64"/>
      </left>
      <right style="hair">
        <color indexed="64"/>
      </right>
      <top style="hair">
        <color indexed="64"/>
      </top>
      <bottom style="hair">
        <color indexed="64"/>
      </bottom>
      <diagonal/>
    </border>
    <border>
      <left/>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7">
    <xf numFmtId="0" fontId="0" fillId="0" borderId="0"/>
    <xf numFmtId="166" fontId="6" fillId="0" borderId="0" applyFont="0" applyFill="0" applyBorder="0" applyAlignment="0" applyProtection="0"/>
    <xf numFmtId="9" fontId="6" fillId="0" borderId="0" applyFont="0" applyFill="0" applyBorder="0" applyAlignment="0" applyProtection="0"/>
    <xf numFmtId="0" fontId="8" fillId="0" borderId="0">
      <alignment vertical="top"/>
    </xf>
    <xf numFmtId="165" fontId="6" fillId="0" borderId="0" applyFont="0" applyFill="0" applyBorder="0" applyAlignment="0" applyProtection="0"/>
    <xf numFmtId="164" fontId="6" fillId="0" borderId="0" applyFont="0" applyFill="0" applyBorder="0" applyAlignment="0" applyProtection="0"/>
    <xf numFmtId="0" fontId="19" fillId="0" borderId="0" applyNumberFormat="0" applyFill="0" applyBorder="0" applyAlignment="0" applyProtection="0"/>
  </cellStyleXfs>
  <cellXfs count="179">
    <xf numFmtId="0" fontId="0" fillId="0" borderId="0" xfId="0"/>
    <xf numFmtId="0" fontId="2" fillId="0" borderId="0" xfId="0" applyFont="1"/>
    <xf numFmtId="0" fontId="0" fillId="0" borderId="0" xfId="0" applyAlignment="1">
      <alignment horizontal="center"/>
    </xf>
    <xf numFmtId="0" fontId="3" fillId="2" borderId="0" xfId="0" applyFont="1" applyFill="1"/>
    <xf numFmtId="0" fontId="4" fillId="0" borderId="0" xfId="0" applyFont="1"/>
    <xf numFmtId="0" fontId="5" fillId="0" borderId="0" xfId="0" applyFont="1"/>
    <xf numFmtId="2" fontId="0" fillId="0" borderId="0" xfId="0" applyNumberFormat="1" applyAlignment="1">
      <alignment horizontal="center"/>
    </xf>
    <xf numFmtId="168" fontId="0" fillId="0" borderId="0" xfId="0" applyNumberFormat="1" applyAlignment="1">
      <alignment horizontal="center"/>
    </xf>
    <xf numFmtId="167" fontId="0" fillId="0" borderId="0" xfId="0" applyNumberFormat="1"/>
    <xf numFmtId="0" fontId="2" fillId="0" borderId="0" xfId="0" applyFont="1" applyAlignment="1">
      <alignment horizontal="center"/>
    </xf>
    <xf numFmtId="167" fontId="0" fillId="0" borderId="0" xfId="1" applyNumberFormat="1" applyFont="1" applyAlignment="1"/>
    <xf numFmtId="167" fontId="0" fillId="0" borderId="0" xfId="1" applyNumberFormat="1" applyFont="1" applyFill="1" applyAlignment="1"/>
    <xf numFmtId="169" fontId="5" fillId="0" borderId="0" xfId="2" applyNumberFormat="1" applyFont="1" applyAlignment="1"/>
    <xf numFmtId="167" fontId="2" fillId="0" borderId="0" xfId="1" applyNumberFormat="1" applyFont="1" applyAlignment="1"/>
    <xf numFmtId="167" fontId="2" fillId="0" borderId="0" xfId="1" applyNumberFormat="1" applyFont="1" applyFill="1" applyAlignment="1"/>
    <xf numFmtId="169" fontId="0" fillId="0" borderId="0" xfId="0" applyNumberFormat="1"/>
    <xf numFmtId="167" fontId="0" fillId="0" borderId="0" xfId="1" applyNumberFormat="1" applyFont="1"/>
    <xf numFmtId="167" fontId="2" fillId="0" borderId="0" xfId="1" applyNumberFormat="1" applyFont="1"/>
    <xf numFmtId="169" fontId="5" fillId="0" borderId="0" xfId="2" applyNumberFormat="1" applyFont="1"/>
    <xf numFmtId="37" fontId="0" fillId="0" borderId="0" xfId="1" applyNumberFormat="1" applyFont="1" applyAlignment="1">
      <alignment horizontal="center"/>
    </xf>
    <xf numFmtId="0" fontId="9" fillId="0" borderId="0" xfId="0" applyFont="1"/>
    <xf numFmtId="0" fontId="2" fillId="0" borderId="2" xfId="0" applyFont="1" applyBorder="1"/>
    <xf numFmtId="0" fontId="0" fillId="0" borderId="2" xfId="0" applyBorder="1"/>
    <xf numFmtId="37" fontId="0" fillId="0" borderId="0" xfId="0" applyNumberFormat="1" applyAlignment="1">
      <alignment horizontal="center"/>
    </xf>
    <xf numFmtId="0" fontId="0" fillId="0" borderId="2" xfId="0" applyBorder="1" applyAlignment="1">
      <alignment horizontal="center"/>
    </xf>
    <xf numFmtId="37" fontId="0" fillId="0" borderId="2" xfId="0" applyNumberFormat="1" applyBorder="1" applyAlignment="1">
      <alignment horizontal="center"/>
    </xf>
    <xf numFmtId="167" fontId="0" fillId="0" borderId="0" xfId="1" applyNumberFormat="1" applyFont="1" applyAlignment="1">
      <alignment horizontal="center"/>
    </xf>
    <xf numFmtId="167" fontId="2" fillId="0" borderId="2" xfId="1" applyNumberFormat="1" applyFont="1" applyBorder="1" applyAlignment="1">
      <alignment horizontal="center"/>
    </xf>
    <xf numFmtId="37" fontId="2" fillId="0" borderId="2" xfId="0" applyNumberFormat="1" applyFont="1" applyBorder="1"/>
    <xf numFmtId="37" fontId="2" fillId="0" borderId="2" xfId="0" applyNumberFormat="1" applyFont="1" applyBorder="1" applyAlignment="1">
      <alignment horizontal="center"/>
    </xf>
    <xf numFmtId="169" fontId="5" fillId="0" borderId="0" xfId="2" applyNumberFormat="1" applyFont="1" applyAlignment="1">
      <alignment horizontal="center"/>
    </xf>
    <xf numFmtId="3" fontId="0" fillId="0" borderId="0" xfId="0" applyNumberFormat="1"/>
    <xf numFmtId="0" fontId="10" fillId="0" borderId="0" xfId="0" applyFont="1"/>
    <xf numFmtId="0" fontId="0" fillId="0" borderId="0" xfId="0" applyAlignment="1">
      <alignment horizontal="left" indent="1"/>
    </xf>
    <xf numFmtId="169" fontId="0" fillId="0" borderId="0" xfId="2" applyNumberFormat="1" applyFont="1" applyAlignment="1">
      <alignment horizontal="center"/>
    </xf>
    <xf numFmtId="171" fontId="0" fillId="0" borderId="0" xfId="0" applyNumberFormat="1" applyAlignment="1">
      <alignment horizontal="center"/>
    </xf>
    <xf numFmtId="170" fontId="0" fillId="0" borderId="0" xfId="0" applyNumberFormat="1" applyAlignment="1">
      <alignment horizontal="center"/>
    </xf>
    <xf numFmtId="0" fontId="5" fillId="0" borderId="0" xfId="0" applyFont="1" applyAlignment="1">
      <alignment horizontal="center"/>
    </xf>
    <xf numFmtId="169" fontId="0" fillId="0" borderId="0" xfId="2" applyNumberFormat="1" applyFont="1"/>
    <xf numFmtId="10" fontId="0" fillId="0" borderId="0" xfId="0" applyNumberFormat="1" applyAlignment="1">
      <alignment horizontal="center"/>
    </xf>
    <xf numFmtId="3" fontId="0" fillId="0" borderId="0" xfId="0" applyNumberFormat="1" applyAlignment="1">
      <alignment horizontal="center"/>
    </xf>
    <xf numFmtId="10" fontId="0" fillId="0" borderId="0" xfId="2" applyNumberFormat="1" applyFont="1"/>
    <xf numFmtId="10" fontId="0" fillId="0" borderId="0" xfId="2" applyNumberFormat="1" applyFont="1" applyAlignment="1">
      <alignment horizontal="center"/>
    </xf>
    <xf numFmtId="9" fontId="0" fillId="0" borderId="0" xfId="0" applyNumberFormat="1" applyAlignment="1">
      <alignment horizontal="center"/>
    </xf>
    <xf numFmtId="172" fontId="0" fillId="0" borderId="0" xfId="0" applyNumberFormat="1"/>
    <xf numFmtId="0" fontId="1" fillId="0" borderId="0" xfId="0" applyFont="1"/>
    <xf numFmtId="0" fontId="3" fillId="0" borderId="0" xfId="0" applyFont="1"/>
    <xf numFmtId="0" fontId="0" fillId="0" borderId="3" xfId="0" applyBorder="1"/>
    <xf numFmtId="167" fontId="0" fillId="0" borderId="0" xfId="1" applyNumberFormat="1" applyFont="1" applyFill="1" applyAlignment="1">
      <alignment horizontal="center"/>
    </xf>
    <xf numFmtId="37" fontId="0" fillId="0" borderId="0" xfId="0" applyNumberFormat="1"/>
    <xf numFmtId="1" fontId="0" fillId="0" borderId="0" xfId="0" applyNumberFormat="1" applyAlignment="1">
      <alignment horizontal="center"/>
    </xf>
    <xf numFmtId="9" fontId="0" fillId="3" borderId="1" xfId="2" applyFont="1" applyFill="1" applyBorder="1" applyAlignment="1">
      <alignment horizontal="center"/>
    </xf>
    <xf numFmtId="173" fontId="0" fillId="0" borderId="0" xfId="0" applyNumberFormat="1" applyAlignment="1">
      <alignment horizontal="left"/>
    </xf>
    <xf numFmtId="1" fontId="0" fillId="0" borderId="0" xfId="0" applyNumberFormat="1"/>
    <xf numFmtId="169" fontId="6" fillId="3" borderId="1" xfId="2" applyNumberFormat="1" applyFont="1" applyFill="1" applyBorder="1" applyAlignment="1">
      <alignment horizontal="center"/>
    </xf>
    <xf numFmtId="169" fontId="5" fillId="3" borderId="1" xfId="2" applyNumberFormat="1" applyFont="1" applyFill="1" applyBorder="1" applyAlignment="1">
      <alignment horizontal="center"/>
    </xf>
    <xf numFmtId="169" fontId="0" fillId="3" borderId="1" xfId="0" applyNumberFormat="1" applyFill="1" applyBorder="1" applyAlignment="1">
      <alignment horizontal="center"/>
    </xf>
    <xf numFmtId="169" fontId="5" fillId="3" borderId="1" xfId="0" applyNumberFormat="1" applyFont="1" applyFill="1" applyBorder="1" applyAlignment="1">
      <alignment horizontal="center"/>
    </xf>
    <xf numFmtId="37" fontId="0" fillId="0" borderId="3" xfId="0" applyNumberFormat="1" applyBorder="1"/>
    <xf numFmtId="37" fontId="12" fillId="0" borderId="0" xfId="1" applyNumberFormat="1" applyFont="1" applyAlignment="1">
      <alignment horizontal="center"/>
    </xf>
    <xf numFmtId="169" fontId="5" fillId="0" borderId="0" xfId="0" applyNumberFormat="1" applyFont="1" applyAlignment="1">
      <alignment horizontal="center"/>
    </xf>
    <xf numFmtId="9" fontId="0" fillId="0" borderId="0" xfId="2" applyFont="1" applyAlignment="1"/>
    <xf numFmtId="0" fontId="0" fillId="0" borderId="0" xfId="0" applyAlignment="1">
      <alignment vertical="center"/>
    </xf>
    <xf numFmtId="10" fontId="0" fillId="0" borderId="0" xfId="2" applyNumberFormat="1" applyFont="1" applyBorder="1" applyAlignment="1">
      <alignment horizontal="center" vertical="center"/>
    </xf>
    <xf numFmtId="0" fontId="0" fillId="0" borderId="0" xfId="0" applyAlignment="1">
      <alignment horizontal="center" vertical="center"/>
    </xf>
    <xf numFmtId="0" fontId="0" fillId="0" borderId="4" xfId="0" applyBorder="1" applyAlignment="1">
      <alignment vertical="center"/>
    </xf>
    <xf numFmtId="0" fontId="0" fillId="0" borderId="2" xfId="0" applyBorder="1" applyAlignment="1">
      <alignment vertical="center"/>
    </xf>
    <xf numFmtId="0" fontId="2" fillId="0" borderId="2" xfId="0" applyFont="1" applyBorder="1" applyAlignment="1">
      <alignment horizontal="center" wrapText="1"/>
    </xf>
    <xf numFmtId="0" fontId="2" fillId="0" borderId="2" xfId="0" applyFont="1" applyBorder="1" applyAlignment="1">
      <alignment horizontal="center" vertical="center" wrapText="1"/>
    </xf>
    <xf numFmtId="0" fontId="2" fillId="0" borderId="5" xfId="0" applyFont="1" applyBorder="1" applyAlignment="1">
      <alignment horizontal="center" vertical="center"/>
    </xf>
    <xf numFmtId="0" fontId="0" fillId="0" borderId="6" xfId="0" applyBorder="1" applyAlignment="1">
      <alignment vertical="center"/>
    </xf>
    <xf numFmtId="10" fontId="0" fillId="0" borderId="7" xfId="2" applyNumberFormat="1" applyFont="1" applyBorder="1" applyAlignment="1">
      <alignment horizontal="center" vertical="center"/>
    </xf>
    <xf numFmtId="0" fontId="0" fillId="0" borderId="8" xfId="0" applyBorder="1" applyAlignment="1">
      <alignment vertical="center"/>
    </xf>
    <xf numFmtId="0" fontId="0" fillId="0" borderId="9" xfId="0" applyBorder="1" applyAlignment="1">
      <alignment vertical="center"/>
    </xf>
    <xf numFmtId="10" fontId="0" fillId="0" borderId="9" xfId="0" applyNumberFormat="1" applyBorder="1" applyAlignment="1">
      <alignment horizontal="center"/>
    </xf>
    <xf numFmtId="10" fontId="0" fillId="0" borderId="9" xfId="2" applyNumberFormat="1" applyFont="1" applyBorder="1" applyAlignment="1">
      <alignment horizontal="center" vertical="center"/>
    </xf>
    <xf numFmtId="0" fontId="0" fillId="0" borderId="9" xfId="0" applyBorder="1" applyAlignment="1">
      <alignment horizontal="center" vertical="center"/>
    </xf>
    <xf numFmtId="169" fontId="0" fillId="0" borderId="10" xfId="2" applyNumberFormat="1" applyFont="1" applyBorder="1" applyAlignment="1">
      <alignment horizontal="center" vertical="center"/>
    </xf>
    <xf numFmtId="9" fontId="6" fillId="3" borderId="1" xfId="2" applyFont="1" applyFill="1" applyBorder="1" applyAlignment="1">
      <alignment horizontal="center"/>
    </xf>
    <xf numFmtId="169" fontId="0" fillId="3" borderId="0" xfId="2" applyNumberFormat="1" applyFont="1" applyFill="1" applyAlignment="1">
      <alignment horizontal="center"/>
    </xf>
    <xf numFmtId="37" fontId="11" fillId="0" borderId="0" xfId="0" applyNumberFormat="1" applyFont="1" applyAlignment="1">
      <alignment horizontal="center"/>
    </xf>
    <xf numFmtId="37" fontId="11" fillId="0" borderId="0" xfId="1" applyNumberFormat="1" applyFont="1" applyAlignment="1">
      <alignment horizontal="center"/>
    </xf>
    <xf numFmtId="0" fontId="3" fillId="2" borderId="0" xfId="0" applyFont="1" applyFill="1" applyAlignment="1">
      <alignment horizontal="center"/>
    </xf>
    <xf numFmtId="169" fontId="0" fillId="3" borderId="1" xfId="2" applyNumberFormat="1" applyFont="1" applyFill="1" applyBorder="1" applyAlignment="1">
      <alignment horizontal="center"/>
    </xf>
    <xf numFmtId="0" fontId="0" fillId="0" borderId="4" xfId="0" applyBorder="1"/>
    <xf numFmtId="37" fontId="0" fillId="0" borderId="2" xfId="1" applyNumberFormat="1" applyFont="1" applyBorder="1" applyAlignment="1">
      <alignment horizontal="center"/>
    </xf>
    <xf numFmtId="37" fontId="0" fillId="0" borderId="5" xfId="1" applyNumberFormat="1" applyFont="1" applyBorder="1" applyAlignment="1">
      <alignment horizontal="center"/>
    </xf>
    <xf numFmtId="0" fontId="0" fillId="0" borderId="8" xfId="0" applyBorder="1"/>
    <xf numFmtId="0" fontId="0" fillId="0" borderId="9" xfId="0" applyBorder="1"/>
    <xf numFmtId="37" fontId="0" fillId="0" borderId="9" xfId="1" applyNumberFormat="1" applyFont="1" applyBorder="1" applyAlignment="1">
      <alignment horizontal="center" vertical="center"/>
    </xf>
    <xf numFmtId="37" fontId="0" fillId="0" borderId="10" xfId="1" applyNumberFormat="1" applyFont="1" applyBorder="1" applyAlignment="1">
      <alignment horizontal="center" vertical="center"/>
    </xf>
    <xf numFmtId="10" fontId="0" fillId="0" borderId="0" xfId="0" applyNumberFormat="1"/>
    <xf numFmtId="174" fontId="0" fillId="0" borderId="0" xfId="0" applyNumberFormat="1"/>
    <xf numFmtId="9" fontId="2" fillId="0" borderId="0" xfId="2" applyFont="1" applyAlignment="1">
      <alignment horizontal="center"/>
    </xf>
    <xf numFmtId="175" fontId="0" fillId="0" borderId="0" xfId="1" applyNumberFormat="1" applyFont="1" applyAlignment="1">
      <alignment horizontal="center"/>
    </xf>
    <xf numFmtId="175" fontId="0" fillId="0" borderId="0" xfId="0" applyNumberFormat="1" applyAlignment="1">
      <alignment horizontal="center"/>
    </xf>
    <xf numFmtId="174" fontId="0" fillId="0" borderId="0" xfId="1" applyNumberFormat="1" applyFont="1" applyAlignment="1">
      <alignment horizontal="center"/>
    </xf>
    <xf numFmtId="0" fontId="2" fillId="0" borderId="0" xfId="0" applyFont="1" applyAlignment="1">
      <alignment horizontal="center" wrapText="1"/>
    </xf>
    <xf numFmtId="169" fontId="0" fillId="0" borderId="0" xfId="2" applyNumberFormat="1" applyFont="1" applyFill="1" applyAlignment="1">
      <alignment horizontal="center"/>
    </xf>
    <xf numFmtId="169" fontId="0" fillId="0" borderId="0" xfId="2" applyNumberFormat="1" applyFont="1" applyFill="1" applyBorder="1" applyAlignment="1">
      <alignment horizontal="center"/>
    </xf>
    <xf numFmtId="0" fontId="2" fillId="0" borderId="0" xfId="0" applyFont="1" applyAlignment="1">
      <alignment horizontal="left"/>
    </xf>
    <xf numFmtId="167" fontId="0" fillId="0" borderId="0" xfId="1" applyNumberFormat="1" applyFont="1" applyFill="1" applyAlignment="1">
      <alignment horizontal="right"/>
    </xf>
    <xf numFmtId="167" fontId="0" fillId="0" borderId="0" xfId="1" applyNumberFormat="1" applyFont="1" applyFill="1" applyBorder="1" applyAlignment="1">
      <alignment horizontal="right"/>
    </xf>
    <xf numFmtId="167" fontId="0" fillId="0" borderId="0" xfId="1" applyNumberFormat="1" applyFont="1" applyFill="1" applyBorder="1" applyAlignment="1">
      <alignment horizontal="center"/>
    </xf>
    <xf numFmtId="168" fontId="0" fillId="0" borderId="0" xfId="1" applyNumberFormat="1" applyFont="1" applyFill="1" applyBorder="1" applyAlignment="1">
      <alignment horizontal="center"/>
    </xf>
    <xf numFmtId="167" fontId="0" fillId="0" borderId="0" xfId="1" applyNumberFormat="1" applyFont="1" applyFill="1" applyBorder="1"/>
    <xf numFmtId="167" fontId="0" fillId="0" borderId="0" xfId="1" applyNumberFormat="1" applyFont="1" applyFill="1" applyBorder="1" applyAlignment="1">
      <alignment vertical="top"/>
    </xf>
    <xf numFmtId="167" fontId="0" fillId="0" borderId="0" xfId="1" applyNumberFormat="1" applyFont="1" applyFill="1" applyBorder="1" applyAlignment="1">
      <alignment horizontal="right" vertical="top"/>
    </xf>
    <xf numFmtId="167" fontId="13" fillId="0" borderId="0" xfId="1" applyNumberFormat="1" applyFont="1" applyFill="1" applyBorder="1" applyAlignment="1">
      <alignment vertical="top"/>
    </xf>
    <xf numFmtId="167" fontId="13" fillId="0" borderId="0" xfId="1" applyNumberFormat="1" applyFont="1" applyFill="1" applyBorder="1" applyAlignment="1">
      <alignment horizontal="right" vertical="top"/>
    </xf>
    <xf numFmtId="167" fontId="0" fillId="0" borderId="0" xfId="0" applyNumberFormat="1" applyAlignment="1">
      <alignment horizontal="center"/>
    </xf>
    <xf numFmtId="170" fontId="0" fillId="0" borderId="0" xfId="0" applyNumberFormat="1"/>
    <xf numFmtId="171" fontId="0" fillId="0" borderId="0" xfId="0" applyNumberFormat="1"/>
    <xf numFmtId="0" fontId="3" fillId="4" borderId="0" xfId="0" applyFont="1" applyFill="1"/>
    <xf numFmtId="167" fontId="0" fillId="5" borderId="0" xfId="1" applyNumberFormat="1" applyFont="1" applyFill="1" applyAlignment="1">
      <alignment horizontal="center"/>
    </xf>
    <xf numFmtId="167" fontId="2" fillId="5" borderId="2" xfId="1" applyNumberFormat="1" applyFont="1" applyFill="1" applyBorder="1" applyAlignment="1">
      <alignment horizontal="center"/>
    </xf>
    <xf numFmtId="167" fontId="0" fillId="5" borderId="0" xfId="0" applyNumberFormat="1" applyFill="1" applyAlignment="1">
      <alignment horizontal="center"/>
    </xf>
    <xf numFmtId="170" fontId="0" fillId="5" borderId="0" xfId="0" applyNumberFormat="1" applyFill="1"/>
    <xf numFmtId="9" fontId="0" fillId="5" borderId="0" xfId="2" applyFont="1" applyFill="1" applyAlignment="1"/>
    <xf numFmtId="0" fontId="0" fillId="5" borderId="0" xfId="0" applyFill="1"/>
    <xf numFmtId="37" fontId="0" fillId="5" borderId="0" xfId="0" applyNumberFormat="1" applyFill="1" applyAlignment="1">
      <alignment horizontal="center"/>
    </xf>
    <xf numFmtId="0" fontId="0" fillId="5" borderId="0" xfId="0" applyFill="1" applyAlignment="1">
      <alignment horizontal="center"/>
    </xf>
    <xf numFmtId="37" fontId="2" fillId="5" borderId="2" xfId="0" applyNumberFormat="1" applyFont="1" applyFill="1" applyBorder="1" applyAlignment="1">
      <alignment horizontal="center"/>
    </xf>
    <xf numFmtId="168" fontId="0" fillId="5" borderId="0" xfId="0" applyNumberFormat="1" applyFill="1" applyAlignment="1">
      <alignment horizontal="center"/>
    </xf>
    <xf numFmtId="169" fontId="0" fillId="5" borderId="0" xfId="0" applyNumberFormat="1" applyFill="1" applyAlignment="1">
      <alignment horizontal="center"/>
    </xf>
    <xf numFmtId="37" fontId="0" fillId="5" borderId="2" xfId="0" applyNumberFormat="1" applyFill="1" applyBorder="1" applyAlignment="1">
      <alignment horizontal="center"/>
    </xf>
    <xf numFmtId="1" fontId="0" fillId="5" borderId="0" xfId="0" applyNumberFormat="1" applyFill="1" applyAlignment="1">
      <alignment horizontal="center"/>
    </xf>
    <xf numFmtId="171" fontId="0" fillId="5" borderId="0" xfId="0" applyNumberFormat="1" applyFill="1" applyAlignment="1">
      <alignment horizontal="center"/>
    </xf>
    <xf numFmtId="0" fontId="3" fillId="4" borderId="0" xfId="0" applyFont="1" applyFill="1" applyAlignment="1">
      <alignment horizontal="center"/>
    </xf>
    <xf numFmtId="3" fontId="11" fillId="0" borderId="0" xfId="1" applyNumberFormat="1" applyFont="1" applyAlignment="1">
      <alignment horizontal="center"/>
    </xf>
    <xf numFmtId="0" fontId="11" fillId="0" borderId="0" xfId="0" applyFont="1"/>
    <xf numFmtId="3" fontId="11" fillId="0" borderId="0" xfId="0" applyNumberFormat="1" applyFont="1" applyAlignment="1">
      <alignment horizontal="center"/>
    </xf>
    <xf numFmtId="37" fontId="6" fillId="0" borderId="0" xfId="1" applyNumberFormat="1" applyFont="1" applyAlignment="1">
      <alignment horizontal="center"/>
    </xf>
    <xf numFmtId="0" fontId="0" fillId="0" borderId="0" xfId="0" applyAlignment="1">
      <alignment horizontal="center" wrapText="1"/>
    </xf>
    <xf numFmtId="167" fontId="2" fillId="0" borderId="2" xfId="1" applyNumberFormat="1" applyFont="1" applyFill="1" applyBorder="1" applyAlignment="1">
      <alignment horizontal="right"/>
    </xf>
    <xf numFmtId="167" fontId="2" fillId="0" borderId="2" xfId="1" applyNumberFormat="1" applyFont="1" applyFill="1" applyBorder="1" applyAlignment="1">
      <alignment horizontal="center"/>
    </xf>
    <xf numFmtId="166" fontId="0" fillId="0" borderId="0" xfId="1" applyFont="1" applyFill="1" applyBorder="1" applyAlignment="1">
      <alignment horizontal="center"/>
    </xf>
    <xf numFmtId="0" fontId="2" fillId="0" borderId="0" xfId="5" applyNumberFormat="1" applyFont="1" applyFill="1" applyAlignment="1">
      <alignment horizontal="center"/>
    </xf>
    <xf numFmtId="0" fontId="2" fillId="0" borderId="9" xfId="0" applyFont="1" applyBorder="1"/>
    <xf numFmtId="0" fontId="5" fillId="0" borderId="9" xfId="0" applyFont="1" applyBorder="1"/>
    <xf numFmtId="0" fontId="2" fillId="0" borderId="2" xfId="5" applyNumberFormat="1" applyFont="1" applyFill="1" applyBorder="1" applyAlignment="1">
      <alignment horizontal="center"/>
    </xf>
    <xf numFmtId="0" fontId="2" fillId="0" borderId="0" xfId="5" applyNumberFormat="1" applyFont="1" applyFill="1" applyBorder="1" applyAlignment="1">
      <alignment horizontal="center"/>
    </xf>
    <xf numFmtId="14" fontId="5" fillId="0" borderId="9" xfId="0" applyNumberFormat="1" applyFont="1" applyBorder="1" applyAlignment="1">
      <alignment horizontal="center"/>
    </xf>
    <xf numFmtId="167" fontId="0" fillId="0" borderId="0" xfId="1" applyNumberFormat="1" applyFont="1" applyFill="1"/>
    <xf numFmtId="167" fontId="14" fillId="0" borderId="2" xfId="1" applyNumberFormat="1" applyFont="1" applyFill="1" applyBorder="1" applyAlignment="1">
      <alignment vertical="top"/>
    </xf>
    <xf numFmtId="167" fontId="14" fillId="0" borderId="2" xfId="1" applyNumberFormat="1" applyFont="1" applyFill="1" applyBorder="1" applyAlignment="1">
      <alignment horizontal="right" vertical="top"/>
    </xf>
    <xf numFmtId="167" fontId="2" fillId="0" borderId="2" xfId="1" applyNumberFormat="1" applyFont="1" applyFill="1" applyBorder="1"/>
    <xf numFmtId="0" fontId="0" fillId="0" borderId="0" xfId="0" applyAlignment="1">
      <alignment wrapText="1"/>
    </xf>
    <xf numFmtId="43" fontId="13" fillId="0" borderId="0" xfId="0" applyNumberFormat="1" applyFont="1" applyAlignment="1">
      <alignment horizontal="right" vertical="top"/>
    </xf>
    <xf numFmtId="0" fontId="2" fillId="0" borderId="0" xfId="0" applyFont="1" applyAlignment="1">
      <alignment vertical="top"/>
    </xf>
    <xf numFmtId="37" fontId="0" fillId="0" borderId="0" xfId="0" applyNumberFormat="1" applyAlignment="1">
      <alignment vertical="top"/>
    </xf>
    <xf numFmtId="171" fontId="0" fillId="0" borderId="0" xfId="0" applyNumberFormat="1" applyAlignment="1">
      <alignment horizontal="right"/>
    </xf>
    <xf numFmtId="0" fontId="3" fillId="6" borderId="0" xfId="0" applyFont="1" applyFill="1"/>
    <xf numFmtId="0" fontId="1" fillId="6" borderId="0" xfId="0" applyFont="1" applyFill="1" applyAlignment="1">
      <alignment horizontal="center"/>
    </xf>
    <xf numFmtId="0" fontId="1" fillId="6" borderId="0" xfId="0" applyFont="1" applyFill="1"/>
    <xf numFmtId="0" fontId="3" fillId="4" borderId="0" xfId="0" applyFont="1" applyFill="1" applyAlignment="1">
      <alignment horizontal="center" vertical="center"/>
    </xf>
    <xf numFmtId="0" fontId="3" fillId="6" borderId="0" xfId="0" applyFont="1" applyFill="1" applyAlignment="1">
      <alignment horizontal="center" vertical="center"/>
    </xf>
    <xf numFmtId="0" fontId="17" fillId="0" borderId="0" xfId="0" applyFont="1"/>
    <xf numFmtId="169" fontId="17" fillId="0" borderId="0" xfId="2" applyNumberFormat="1" applyFont="1" applyFill="1" applyAlignment="1">
      <alignment horizontal="center"/>
    </xf>
    <xf numFmtId="169" fontId="17" fillId="0" borderId="0" xfId="2" applyNumberFormat="1" applyFont="1" applyFill="1" applyBorder="1" applyAlignment="1">
      <alignment horizontal="center"/>
    </xf>
    <xf numFmtId="0" fontId="0" fillId="3" borderId="0" xfId="0" applyFill="1" applyAlignment="1">
      <alignment horizontal="center"/>
    </xf>
    <xf numFmtId="0" fontId="15" fillId="0" borderId="0" xfId="0" applyFont="1"/>
    <xf numFmtId="0" fontId="16" fillId="0" borderId="0" xfId="0" applyFont="1"/>
    <xf numFmtId="0" fontId="18" fillId="0" borderId="0" xfId="0" applyFont="1"/>
    <xf numFmtId="15" fontId="0" fillId="0" borderId="0" xfId="0" quotePrefix="1" applyNumberFormat="1"/>
    <xf numFmtId="0" fontId="0" fillId="0" borderId="0" xfId="0" applyAlignment="1">
      <alignment vertical="top" wrapText="1"/>
    </xf>
    <xf numFmtId="0" fontId="20" fillId="0" borderId="0" xfId="6" applyFont="1" applyAlignment="1">
      <alignment vertical="top"/>
    </xf>
    <xf numFmtId="0" fontId="9" fillId="0" borderId="0" xfId="0" applyFont="1" applyAlignment="1">
      <alignment vertical="top"/>
    </xf>
    <xf numFmtId="176" fontId="0" fillId="0" borderId="0" xfId="1" quotePrefix="1" applyNumberFormat="1" applyFont="1" applyAlignment="1">
      <alignment horizontal="left"/>
    </xf>
    <xf numFmtId="9" fontId="0" fillId="0" borderId="0" xfId="0" quotePrefix="1" applyNumberFormat="1" applyAlignment="1">
      <alignment horizontal="left"/>
    </xf>
    <xf numFmtId="10" fontId="0" fillId="0" borderId="0" xfId="0" quotePrefix="1" applyNumberFormat="1" applyAlignment="1">
      <alignment horizontal="left"/>
    </xf>
    <xf numFmtId="0" fontId="0" fillId="0" borderId="0" xfId="0" applyAlignment="1">
      <alignment horizontal="left"/>
    </xf>
    <xf numFmtId="2" fontId="0" fillId="0" borderId="0" xfId="0" applyNumberFormat="1" applyAlignment="1">
      <alignment horizontal="left"/>
    </xf>
    <xf numFmtId="0" fontId="21" fillId="0" borderId="0" xfId="0" applyFont="1"/>
    <xf numFmtId="10" fontId="9" fillId="0" borderId="0" xfId="0" applyNumberFormat="1" applyFont="1" applyAlignment="1">
      <alignment horizontal="left"/>
    </xf>
    <xf numFmtId="0" fontId="15" fillId="0" borderId="9" xfId="0" applyFont="1" applyBorder="1" applyAlignment="1">
      <alignment horizontal="center"/>
    </xf>
    <xf numFmtId="0" fontId="2" fillId="0" borderId="0" xfId="0" applyFont="1" applyAlignment="1">
      <alignment horizontal="center"/>
    </xf>
    <xf numFmtId="0" fontId="0" fillId="0" borderId="9" xfId="0" applyBorder="1" applyAlignment="1">
      <alignment horizontal="center"/>
    </xf>
    <xf numFmtId="0" fontId="0" fillId="0" borderId="0" xfId="0" applyAlignment="1">
      <alignment horizontal="center"/>
    </xf>
  </cellXfs>
  <cellStyles count="7">
    <cellStyle name="Comma" xfId="1" builtinId="3"/>
    <cellStyle name="Comma 2" xfId="4" xr:uid="{C02A5D3E-E4AC-4AC0-AAE6-EFBFBF6D998F}"/>
    <cellStyle name="Currency 2" xfId="5" xr:uid="{85D614A6-CDD5-4D3A-A4E3-ED017A39C677}"/>
    <cellStyle name="Hyperlink" xfId="6" builtinId="8"/>
    <cellStyle name="Normal" xfId="0" builtinId="0"/>
    <cellStyle name="Normal 2" xfId="3" xr:uid="{A4FE2A14-B4B2-4542-99B5-CA6FB8D722FC}"/>
    <cellStyle name="Percent" xfId="2" builtinId="5"/>
  </cellStyles>
  <dxfs count="64">
    <dxf>
      <font>
        <b val="0"/>
        <i val="0"/>
        <strike val="0"/>
        <condense val="0"/>
        <extend val="0"/>
        <outline val="0"/>
        <shadow val="0"/>
        <u val="none"/>
        <vertAlign val="baseline"/>
        <sz val="11"/>
        <color theme="1"/>
        <name val="Calibri"/>
        <family val="2"/>
        <scheme val="minor"/>
      </font>
      <numFmt numFmtId="167" formatCode="_ * #,##0_)_ ;_ * \(#,##0\)_ ;_ * &quot;-&quot;??_)_ ;_ @_ "/>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167" formatCode="_ * #,##0_)_ ;_ * \(#,##0\)_ ;_ * &quot;-&quot;??_)_ ;_ @_ "/>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167" formatCode="_ * #,##0_)_ ;_ * \(#,##0\)_ ;_ * &quot;-&quot;??_)_ ;_ @_ "/>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167" formatCode="_ * #,##0_)_ ;_ * \(#,##0\)_ ;_ * &quot;-&quot;??_)_ ;_ @_ "/>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167" formatCode="_ * #,##0_)_ ;_ * \(#,##0\)_ ;_ * &quot;-&quot;??_)_ ;_ @_ "/>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167" formatCode="_ * #,##0_)_ ;_ * \(#,##0\)_ ;_ * &quot;-&quot;??_)_ ;_ @_ "/>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167" formatCode="_ * #,##0_)_ ;_ * \(#,##0\)_ ;_ * &quot;-&quot;??_)_ ;_ @_ "/>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167" formatCode="_ * #,##0_)_ ;_ * \(#,##0\)_ ;_ * &quot;-&quot;??_)_ ;_ @_ "/>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167" formatCode="_ * #,##0_)_ ;_ * \(#,##0\)_ ;_ * &quot;-&quot;??_)_ ;_ @_ "/>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167" formatCode="_ * #,##0_)_ ;_ * \(#,##0\)_ ;_ * &quot;-&quot;??_)_ ;_ @_ "/>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167" formatCode="_ * #,##0_)_ ;_ * \(#,##0\)_ ;_ * &quot;-&quot;??_)_ ;_ @_ "/>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167" formatCode="_ * #,##0_)_ ;_ * \(#,##0\)_ ;_ * &quot;-&quot;??_)_ ;_ @_ "/>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167" formatCode="_ * #,##0_)_ ;_ * \(#,##0\)_ ;_ * &quot;-&quot;??_)_ ;_ @_ "/>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167" formatCode="_ * #,##0_)_ ;_ * \(#,##0\)_ ;_ * &quot;-&quot;??_)_ ;_ @_ "/>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167" formatCode="_ * #,##0_)_ ;_ * \(#,##0\)_ ;_ * &quot;-&quot;??_)_ ;_ @_ "/>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167" formatCode="_ * #,##0_)_ ;_ * \(#,##0\)_ ;_ * &quot;-&quot;??_)_ ;_ @_ "/>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167" formatCode="_ * #,##0_)_ ;_ * \(#,##0\)_ ;_ * &quot;-&quot;??_)_ ;_ @_ "/>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167" formatCode="_ * #,##0_)_ ;_ * \(#,##0\)_ ;_ * &quot;-&quot;??_)_ ;_ @_ "/>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7" formatCode="_ * #,##0_)_ ;_ * \(#,##0\)_ ;_ * &quot;-&quot;??_)_ ;_ @_ "/>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167" formatCode="_ * #,##0_)_ ;_ * \(#,##0\)_ ;_ * &quot;-&quot;??_)_ ;_ @_ "/>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167" formatCode="_ * #,##0_)_ ;_ * \(#,##0\)_ ;_ * &quot;-&quot;??_)_ ;_ @_ "/>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167" formatCode="_ * #,##0_)_ ;_ * \(#,##0\)_ ;_ * &quot;-&quot;??_)_ ;_ @_ "/>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167" formatCode="_ * #,##0_)_ ;_ * \(#,##0\)_ ;_ * &quot;-&quot;??_)_ ;_ @_ "/>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numFmt numFmtId="167" formatCode="_ * #,##0_)_ ;_ * \(#,##0\)_ ;_ * &quot;-&quot;??_)_ ;_ @_ "/>
      <fill>
        <patternFill patternType="none">
          <fgColor indexed="64"/>
          <bgColor indexed="65"/>
        </patternFill>
      </fill>
    </dxf>
    <dxf>
      <font>
        <b val="0"/>
        <i val="0"/>
        <strike val="0"/>
        <condense val="0"/>
        <extend val="0"/>
        <outline val="0"/>
        <shadow val="0"/>
        <u val="none"/>
        <vertAlign val="baseline"/>
        <sz val="11"/>
        <color auto="1"/>
        <name val="Calibri"/>
        <family val="2"/>
        <scheme val="minor"/>
      </font>
      <numFmt numFmtId="167" formatCode="_ * #,##0_)_ ;_ * \(#,##0\)_ ;_ * &quot;-&quot;??_)_ ;_ @_ "/>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7" formatCode="_ * #,##0_)_ ;_ * \(#,##0\)_ ;_ * &quot;-&quot;??_)_ ;_ @_ "/>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7" formatCode="_ * #,##0_)_ ;_ * \(#,##0\)_ ;_ * &quot;-&quot;??_)_ ;_ @_ "/>
      <fill>
        <patternFill patternType="none">
          <fgColor indexed="64"/>
          <bgColor indexed="65"/>
        </patternFill>
      </fill>
      <alignment horizontal="right" vertical="top"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7" formatCode="_ * #,##0_)_ ;_ * \(#,##0\)_ ;_ * &quot;-&quot;??_)_ ;_ @_ "/>
      <fill>
        <patternFill patternType="none">
          <fgColor indexed="64"/>
          <bgColor indexed="65"/>
        </patternFill>
      </fill>
      <alignment horizontal="right" vertical="top"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7" formatCode="_ * #,##0_)_ ;_ * \(#,##0\)_ ;_ * &quot;-&quot;??_)_ ;_ @_ "/>
      <fill>
        <patternFill patternType="none">
          <fgColor indexed="64"/>
          <bgColor indexed="65"/>
        </patternFill>
      </fill>
      <alignment horizontal="right" vertical="top"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7" formatCode="_ * #,##0_)_ ;_ * \(#,##0\)_ ;_ * &quot;-&quot;??_)_ ;_ @_ "/>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7" formatCode="_ * #,##0_)_ ;_ * \(#,##0\)_ ;_ * &quot;-&quot;??_)_ ;_ @_ "/>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7" formatCode="_ * #,##0_)_ ;_ * \(#,##0\)_ ;_ * &quot;-&quot;??_)_ ;_ @_ "/>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7" formatCode="_ * #,##0_)_ ;_ * \(#,##0\)_ ;_ * &quot;-&quot;??_)_ ;_ @_ "/>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7" formatCode="_ * #,##0_)_ ;_ * \(#,##0\)_ ;_ * &quot;-&quot;??_)_ ;_ @_ "/>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7" formatCode="_ * #,##0_)_ ;_ * \(#,##0\)_ ;_ * &quot;-&quot;??_)_ ;_ @_ "/>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7" formatCode="_ * #,##0_)_ ;_ * \(#,##0\)_ ;_ * &quot;-&quot;??_)_ ;_ @_ "/>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7" formatCode="_ * #,##0_)_ ;_ * \(#,##0\)_ ;_ * &quot;-&quot;??_)_ ;_ @_ "/>
      <fill>
        <patternFill patternType="none">
          <fgColor indexed="64"/>
          <bgColor indexed="65"/>
        </patternFill>
      </fill>
      <alignment horizontal="general" vertical="top"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7" formatCode="_ * #,##0_)_ ;_ * \(#,##0\)_ ;_ * &quot;-&quot;??_)_ ;_ @_ "/>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7" formatCode="_ * #,##0_)_ ;_ * \(#,##0\)_ ;_ * &quot;-&quot;??_)_ ;_ @_ "/>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7" formatCode="_ * #,##0_)_ ;_ * \(#,##0\)_ ;_ * &quot;-&quot;??_)_ ;_ @_ "/>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7" formatCode="_ * #,##0_)_ ;_ * \(#,##0\)_ ;_ * &quot;-&quot;??_)_ ;_ @_ "/>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7" formatCode="_ * #,##0_)_ ;_ * \(#,##0\)_ ;_ * &quot;-&quot;??_)_ ;_ @_ "/>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7" formatCode="_ * #,##0_)_ ;_ * \(#,##0\)_ ;_ * &quot;-&quot;??_)_ ;_ @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7" formatCode="_ * #,##0_)_ ;_ * \(#,##0\)_ ;_ * &quot;-&quot;??_)_ ;_ @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7" formatCode="_ * #,##0_)_ ;_ * \(#,##0\)_ ;_ * &quot;-&quot;??_)_ ;_ @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7" formatCode="_ * #,##0_)_ ;_ * \(#,##0\)_ ;_ * &quot;-&quot;??_)_ ;_ @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7" formatCode="_ * #,##0_)_ ;_ * \(#,##0\)_ ;_ * &quot;-&quot;??_)_ ;_ @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7" formatCode="_ * #,##0_)_ ;_ * \(#,##0\)_ ;_ * &quot;-&quot;??_)_ ;_ @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7" formatCode="_ * #,##0_)_ ;_ * \(#,##0\)_ ;_ * &quot;-&quot;??_)_ ;_ @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7" formatCode="_ * #,##0_)_ ;_ * \(#,##0\)_ ;_ * &quot;-&quot;??_)_ ;_ @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7" formatCode="_ * #,##0_)_ ;_ * \(#,##0\)_ ;_ * &quot;-&quot;??_)_ ;_ @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7" formatCode="_ * #,##0_)_ ;_ * \(#,##0\)_ ;_ * &quot;-&quot;??_)_ ;_ @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7" formatCode="_ * #,##0_)_ ;_ * \(#,##0\)_ ;_ * &quot;-&quot;??_)_ ;_ @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7" formatCode="_ * #,##0_)_ ;_ * \(#,##0\)_ ;_ * &quot;-&quot;??_)_ ;_ @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7" formatCode="_ * #,##0_)_ ;_ * \(#,##0\)_ ;_ * &quot;-&quot;??_)_ ;_ @_ "/>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center" vertical="bottom" textRotation="0" wrapText="0" indent="0" justifyLastLine="0" shrinkToFit="0" readingOrder="0"/>
    </dxf>
    <dxf>
      <fill>
        <patternFill>
          <bgColor theme="2"/>
        </patternFill>
      </fill>
    </dxf>
  </dxfs>
  <tableStyles count="2" defaultTableStyle="TableStyleMedium2" defaultPivotStyle="PivotTable Style 1">
    <tableStyle name="PivotTable Style 1" table="0" count="0" xr9:uid="{682C9018-8E96-446D-B8C7-878C48EB33FB}"/>
    <tableStyle name="Table Style 1" pivot="0" count="1" xr9:uid="{4A8C4A45-7AB0-4062-BAD3-4C474288F48F}">
      <tableStyleElement type="firstTotalCell" dxfId="6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powerPivotData" Target="model/item.data"/><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142876</xdr:colOff>
      <xdr:row>1</xdr:row>
      <xdr:rowOff>15479</xdr:rowOff>
    </xdr:from>
    <xdr:to>
      <xdr:col>5</xdr:col>
      <xdr:colOff>142876</xdr:colOff>
      <xdr:row>2</xdr:row>
      <xdr:rowOff>25004</xdr:rowOff>
    </xdr:to>
    <xdr:pic>
      <xdr:nvPicPr>
        <xdr:cNvPr id="2" name="Picture 1" descr="Logos &amp; Brand Guidelines | NVIDIA">
          <a:extLst>
            <a:ext uri="{FF2B5EF4-FFF2-40B4-BE49-F238E27FC236}">
              <a16:creationId xmlns:a16="http://schemas.microsoft.com/office/drawing/2014/main" id="{FFBF7259-E419-9FC3-F1BE-63E693B472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62601" y="82154"/>
          <a:ext cx="609600" cy="342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32</xdr:col>
      <xdr:colOff>344615</xdr:colOff>
      <xdr:row>8</xdr:row>
      <xdr:rowOff>94688</xdr:rowOff>
    </xdr:from>
    <xdr:to>
      <xdr:col>37</xdr:col>
      <xdr:colOff>94360</xdr:colOff>
      <xdr:row>22</xdr:row>
      <xdr:rowOff>0</xdr:rowOff>
    </xdr:to>
    <xdr:sp macro="" textlink="">
      <xdr:nvSpPr>
        <xdr:cNvPr id="2" name="TextBox 1">
          <a:extLst>
            <a:ext uri="{FF2B5EF4-FFF2-40B4-BE49-F238E27FC236}">
              <a16:creationId xmlns:a16="http://schemas.microsoft.com/office/drawing/2014/main" id="{5C7D1952-1EB6-6285-D0F3-FCB7E5BE9BBA}"/>
            </a:ext>
          </a:extLst>
        </xdr:cNvPr>
        <xdr:cNvSpPr txBox="1"/>
      </xdr:nvSpPr>
      <xdr:spPr>
        <a:xfrm>
          <a:off x="19013615" y="1741953"/>
          <a:ext cx="2797745" cy="257231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This part focuses on the company's operating liquidity.</a:t>
          </a:r>
          <a:r>
            <a:rPr lang="en-US" sz="1100" baseline="0"/>
            <a:t> Not including things like cash, marketable securities, or short-term loans since those are more related to financing.</a:t>
          </a:r>
        </a:p>
        <a:p>
          <a:endParaRPr lang="en-US" sz="1100" b="0" i="0" u="none" strike="noStrike" baseline="0">
            <a:solidFill>
              <a:schemeClr val="dk1"/>
            </a:solidFill>
            <a:effectLst/>
            <a:latin typeface="+mn-lt"/>
            <a:ea typeface="+mn-ea"/>
            <a:cs typeface="+mn-cs"/>
          </a:endParaRPr>
        </a:p>
        <a:p>
          <a:r>
            <a:rPr lang="en-US" sz="1100" b="0" i="0" u="none" strike="noStrike" baseline="0">
              <a:solidFill>
                <a:schemeClr val="dk1"/>
              </a:solidFill>
              <a:effectLst/>
              <a:latin typeface="+mn-lt"/>
              <a:ea typeface="+mn-ea"/>
              <a:cs typeface="+mn-cs"/>
            </a:rPr>
            <a:t>Any missing items from current liabilities are included in the separate debt section instead.</a:t>
          </a:r>
        </a:p>
        <a:p>
          <a:endParaRPr lang="en-US" sz="1100" b="0" i="0" u="none" strike="noStrike" baseline="0">
            <a:solidFill>
              <a:schemeClr val="dk1"/>
            </a:solidFill>
            <a:effectLst/>
            <a:latin typeface="+mn-lt"/>
            <a:ea typeface="+mn-ea"/>
            <a:cs typeface="+mn-cs"/>
          </a:endParaRPr>
        </a:p>
        <a:p>
          <a:r>
            <a:rPr lang="en-US" sz="1100" b="0" i="0" u="none" strike="noStrike" baseline="0">
              <a:solidFill>
                <a:schemeClr val="dk1"/>
              </a:solidFill>
              <a:effectLst/>
              <a:latin typeface="+mn-lt"/>
              <a:ea typeface="+mn-ea"/>
              <a:cs typeface="+mn-cs"/>
            </a:rPr>
            <a:t>Also, long-term stuff like income taxes, deferred taxes, deferred revenue and licenses payable aren't part of net working capital since they don't really affect short-term operations.</a:t>
          </a:r>
          <a:endParaRPr lang="en-US" sz="1100" b="0" i="0" u="none" strike="noStrike">
            <a:solidFill>
              <a:schemeClr val="dk1"/>
            </a:solidFill>
            <a:effectLst/>
            <a:latin typeface="+mn-lt"/>
            <a:ea typeface="+mn-ea"/>
            <a:cs typeface="+mn-cs"/>
          </a:endParaRPr>
        </a:p>
      </xdr:txBody>
    </xdr:sp>
    <xdr:clientData/>
  </xdr:twoCellAnchor>
  <xdr:twoCellAnchor>
    <xdr:from>
      <xdr:col>18</xdr:col>
      <xdr:colOff>34091</xdr:colOff>
      <xdr:row>27</xdr:row>
      <xdr:rowOff>140365</xdr:rowOff>
    </xdr:from>
    <xdr:to>
      <xdr:col>26</xdr:col>
      <xdr:colOff>20730</xdr:colOff>
      <xdr:row>33</xdr:row>
      <xdr:rowOff>112059</xdr:rowOff>
    </xdr:to>
    <xdr:sp macro="" textlink="">
      <xdr:nvSpPr>
        <xdr:cNvPr id="3" name="TextBox 2">
          <a:extLst>
            <a:ext uri="{FF2B5EF4-FFF2-40B4-BE49-F238E27FC236}">
              <a16:creationId xmlns:a16="http://schemas.microsoft.com/office/drawing/2014/main" id="{6F738273-B580-16EE-10E2-A777B9A57A80}"/>
            </a:ext>
          </a:extLst>
        </xdr:cNvPr>
        <xdr:cNvSpPr txBox="1"/>
      </xdr:nvSpPr>
      <xdr:spPr>
        <a:xfrm>
          <a:off x="10780532" y="5407130"/>
          <a:ext cx="4379345" cy="111469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t>Used 90 days instead of 365 since the data is based on quarters, not full years.</a:t>
          </a:r>
        </a:p>
        <a:p>
          <a:endParaRPr lang="en-US" sz="1100" baseline="0"/>
        </a:p>
        <a:p>
          <a:r>
            <a:rPr lang="en-US" sz="1100" baseline="0"/>
            <a:t>Couldn't find total credit sales for calculating DSO, so revenue was used instead.</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31</xdr:col>
      <xdr:colOff>231539</xdr:colOff>
      <xdr:row>5</xdr:row>
      <xdr:rowOff>151224</xdr:rowOff>
    </xdr:from>
    <xdr:to>
      <xdr:col>37</xdr:col>
      <xdr:colOff>539280</xdr:colOff>
      <xdr:row>10</xdr:row>
      <xdr:rowOff>164630</xdr:rowOff>
    </xdr:to>
    <xdr:sp macro="" textlink="">
      <xdr:nvSpPr>
        <xdr:cNvPr id="2" name="TextBox 1">
          <a:extLst>
            <a:ext uri="{FF2B5EF4-FFF2-40B4-BE49-F238E27FC236}">
              <a16:creationId xmlns:a16="http://schemas.microsoft.com/office/drawing/2014/main" id="{AED1122E-8CE8-92E3-9488-87B01B28CF7A}"/>
            </a:ext>
          </a:extLst>
        </xdr:cNvPr>
        <xdr:cNvSpPr txBox="1"/>
      </xdr:nvSpPr>
      <xdr:spPr>
        <a:xfrm>
          <a:off x="18011539" y="1221317"/>
          <a:ext cx="3894315" cy="95414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t>Assumed minor debt repayments in line with historical behaviour. Interest rate kept flat at around -0.7% pre-tax based on past data. No major upcoming maturities noted as of late 2025.</a:t>
          </a:r>
        </a:p>
        <a:p>
          <a:endParaRPr lang="en-US" sz="1100" baseline="0"/>
        </a:p>
        <a:p>
          <a:endParaRPr lang="en-US" sz="1100" baseline="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31</xdr:col>
      <xdr:colOff>180876</xdr:colOff>
      <xdr:row>7</xdr:row>
      <xdr:rowOff>123531</xdr:rowOff>
    </xdr:from>
    <xdr:to>
      <xdr:col>35</xdr:col>
      <xdr:colOff>390426</xdr:colOff>
      <xdr:row>12</xdr:row>
      <xdr:rowOff>100852</xdr:rowOff>
    </xdr:to>
    <xdr:sp macro="" textlink="">
      <xdr:nvSpPr>
        <xdr:cNvPr id="2" name="TextBox 1">
          <a:extLst>
            <a:ext uri="{FF2B5EF4-FFF2-40B4-BE49-F238E27FC236}">
              <a16:creationId xmlns:a16="http://schemas.microsoft.com/office/drawing/2014/main" id="{CA96BC5E-A164-0A6E-5D77-3F166488A013}"/>
            </a:ext>
          </a:extLst>
        </xdr:cNvPr>
        <xdr:cNvSpPr txBox="1"/>
      </xdr:nvSpPr>
      <xdr:spPr>
        <a:xfrm>
          <a:off x="19701523" y="1613913"/>
          <a:ext cx="2618815" cy="92982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Checked how much was spent on property, equipment,</a:t>
          </a:r>
          <a:r>
            <a:rPr lang="en-US" sz="1100" baseline="0"/>
            <a:t> and intangibles, and made sure it matched what's in the cash flow.</a:t>
          </a:r>
        </a:p>
        <a:p>
          <a:endParaRPr lang="LID4096" sz="1100"/>
        </a:p>
      </xdr:txBody>
    </xdr:sp>
    <xdr:clientData/>
  </xdr:twoCellAnchor>
  <xdr:twoCellAnchor>
    <xdr:from>
      <xdr:col>31</xdr:col>
      <xdr:colOff>229280</xdr:colOff>
      <xdr:row>18</xdr:row>
      <xdr:rowOff>18758</xdr:rowOff>
    </xdr:from>
    <xdr:to>
      <xdr:col>35</xdr:col>
      <xdr:colOff>276905</xdr:colOff>
      <xdr:row>21</xdr:row>
      <xdr:rowOff>67236</xdr:rowOff>
    </xdr:to>
    <xdr:sp macro="" textlink="">
      <xdr:nvSpPr>
        <xdr:cNvPr id="3" name="TextBox 2">
          <a:extLst>
            <a:ext uri="{FF2B5EF4-FFF2-40B4-BE49-F238E27FC236}">
              <a16:creationId xmlns:a16="http://schemas.microsoft.com/office/drawing/2014/main" id="{2631F86B-6932-9AFD-B239-279DD44A13B5}"/>
            </a:ext>
          </a:extLst>
        </xdr:cNvPr>
        <xdr:cNvSpPr txBox="1"/>
      </xdr:nvSpPr>
      <xdr:spPr>
        <a:xfrm>
          <a:off x="19749927" y="3604640"/>
          <a:ext cx="2456890" cy="61997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Also</a:t>
          </a:r>
          <a:r>
            <a:rPr lang="en-US" sz="1100" baseline="0"/>
            <a:t> explained why it makes sense to keep net purchases at 0 going forward.</a:t>
          </a:r>
        </a:p>
        <a:p>
          <a:endParaRPr lang="LID4096"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10</xdr:col>
      <xdr:colOff>306258</xdr:colOff>
      <xdr:row>2</xdr:row>
      <xdr:rowOff>125591</xdr:rowOff>
    </xdr:from>
    <xdr:to>
      <xdr:col>17</xdr:col>
      <xdr:colOff>150190</xdr:colOff>
      <xdr:row>29</xdr:row>
      <xdr:rowOff>171449</xdr:rowOff>
    </xdr:to>
    <xdr:sp macro="" textlink="">
      <xdr:nvSpPr>
        <xdr:cNvPr id="2" name="TextBox 1">
          <a:extLst>
            <a:ext uri="{FF2B5EF4-FFF2-40B4-BE49-F238E27FC236}">
              <a16:creationId xmlns:a16="http://schemas.microsoft.com/office/drawing/2014/main" id="{1CB5E50C-75D8-254F-BBC3-E16755C4A7FF}"/>
            </a:ext>
          </a:extLst>
        </xdr:cNvPr>
        <xdr:cNvSpPr txBox="1"/>
      </xdr:nvSpPr>
      <xdr:spPr>
        <a:xfrm>
          <a:off x="6935658" y="506591"/>
          <a:ext cx="5473207" cy="56179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aseline="0"/>
            <a:t>WACC Input Notes</a:t>
          </a:r>
        </a:p>
        <a:p>
          <a:endParaRPr lang="en-US" sz="1100" baseline="0"/>
        </a:p>
        <a:p>
          <a:r>
            <a:rPr lang="en-US" sz="1100" b="1" baseline="0"/>
            <a:t>1. Cost of Debt</a:t>
          </a:r>
        </a:p>
        <a:p>
          <a:endParaRPr lang="en-US" sz="1100" baseline="0"/>
        </a:p>
        <a:p>
          <a:r>
            <a:rPr lang="en-US" sz="1100" baseline="0"/>
            <a:t>Looked at the interest rates from NVIDIA's outstanding notes. Weighted average was also based on the notional values and effective interest rates listed in their financials. Also cross-checked with general market rates and credit spreads for similar companies.</a:t>
          </a:r>
        </a:p>
        <a:p>
          <a:endParaRPr lang="en-US" sz="1100" baseline="0"/>
        </a:p>
        <a:p>
          <a:r>
            <a:rPr lang="en-US" sz="1100" b="1" baseline="0"/>
            <a:t>2. Risk-Free Rate</a:t>
          </a:r>
        </a:p>
        <a:p>
          <a:endParaRPr lang="en-US" sz="1100" baseline="0"/>
        </a:p>
        <a:p>
          <a:r>
            <a:rPr lang="en-US" sz="1100" baseline="0"/>
            <a:t>Used the 10-year U.S. Treasury yield since it's the standard base rate in most WACC/DCF models.</a:t>
          </a:r>
        </a:p>
        <a:p>
          <a:endParaRPr lang="en-US" sz="1100" baseline="0"/>
        </a:p>
        <a:p>
          <a:r>
            <a:rPr lang="en-US" sz="1100" b="1" baseline="0"/>
            <a:t>3. Beta</a:t>
          </a:r>
        </a:p>
        <a:p>
          <a:endParaRPr lang="en-US" sz="1100" baseline="0"/>
        </a:p>
        <a:p>
          <a:r>
            <a:rPr lang="en-US" sz="1100" b="0" i="0">
              <a:solidFill>
                <a:schemeClr val="dk1"/>
              </a:solidFill>
              <a:effectLst/>
              <a:latin typeface="+mn-lt"/>
              <a:ea typeface="+mn-ea"/>
              <a:cs typeface="+mn-cs"/>
            </a:rPr>
            <a:t>・Self-calculation</a:t>
          </a:r>
        </a:p>
        <a:p>
          <a:r>
            <a:rPr lang="en-US" sz="1100" b="0" i="0">
              <a:solidFill>
                <a:schemeClr val="dk1"/>
              </a:solidFill>
              <a:effectLst/>
              <a:latin typeface="+mn-lt"/>
              <a:ea typeface="+mn-ea"/>
              <a:cs typeface="+mn-cs"/>
            </a:rPr>
            <a:t>・Sources (Bloomberg, Yahoo Finance, GuruFocus, AlphaSpread,</a:t>
          </a:r>
          <a:r>
            <a:rPr lang="en-US" sz="1100" b="0" i="0" baseline="0">
              <a:solidFill>
                <a:schemeClr val="dk1"/>
              </a:solidFill>
              <a:effectLst/>
              <a:latin typeface="+mn-lt"/>
              <a:ea typeface="+mn-ea"/>
              <a:cs typeface="+mn-cs"/>
            </a:rPr>
            <a:t> Reuters, Morningstar, FactSet, Finbox, ValueInvesting)</a:t>
          </a:r>
        </a:p>
        <a:p>
          <a:endParaRPr lang="en-US" sz="1100" b="0" i="0" baseline="0">
            <a:solidFill>
              <a:schemeClr val="dk1"/>
            </a:solidFill>
            <a:effectLst/>
            <a:latin typeface="+mn-lt"/>
            <a:ea typeface="+mn-ea"/>
            <a:cs typeface="+mn-cs"/>
          </a:endParaRPr>
        </a:p>
        <a:p>
          <a:r>
            <a:rPr lang="en-US" sz="1100" b="0" i="0" baseline="0">
              <a:solidFill>
                <a:schemeClr val="dk1"/>
              </a:solidFill>
              <a:effectLst/>
              <a:latin typeface="+mn-lt"/>
              <a:ea typeface="+mn-ea"/>
              <a:cs typeface="+mn-cs"/>
            </a:rPr>
            <a:t>Most platforms report a raw beta around 2.2-2.3, but that reflects short-term volatility, especially with how NVIDIA stock has moved in recent years. For WACC purposes, an adjusted beta of 1.2 was used to better reflect long-term, normalized risk.</a:t>
          </a:r>
        </a:p>
        <a:p>
          <a:endParaRPr lang="en-US" sz="1100" b="0" i="0" baseline="0">
            <a:solidFill>
              <a:schemeClr val="dk1"/>
            </a:solidFill>
            <a:effectLst/>
            <a:latin typeface="+mn-lt"/>
            <a:ea typeface="+mn-ea"/>
            <a:cs typeface="+mn-cs"/>
          </a:endParaRPr>
        </a:p>
        <a:p>
          <a:r>
            <a:rPr lang="en-US" sz="1100" b="1" i="0" baseline="0">
              <a:solidFill>
                <a:schemeClr val="dk1"/>
              </a:solidFill>
              <a:effectLst/>
              <a:latin typeface="+mn-lt"/>
              <a:ea typeface="+mn-ea"/>
              <a:cs typeface="+mn-cs"/>
            </a:rPr>
            <a:t>4. </a:t>
          </a:r>
          <a:r>
            <a:rPr lang="en-US" sz="1100" b="1" i="0" u="none" baseline="0">
              <a:solidFill>
                <a:schemeClr val="dk1"/>
              </a:solidFill>
              <a:effectLst/>
              <a:latin typeface="+mn-lt"/>
              <a:ea typeface="+mn-ea"/>
              <a:cs typeface="+mn-cs"/>
            </a:rPr>
            <a:t>Market Risk Premium</a:t>
          </a:r>
        </a:p>
        <a:p>
          <a:endParaRPr lang="en-US" sz="1100" b="0" i="0" baseline="0">
            <a:solidFill>
              <a:schemeClr val="dk1"/>
            </a:solidFill>
            <a:effectLst/>
            <a:latin typeface="+mn-lt"/>
            <a:ea typeface="+mn-ea"/>
            <a:cs typeface="+mn-cs"/>
          </a:endParaRPr>
        </a:p>
        <a:p>
          <a:r>
            <a:rPr lang="en-US" sz="1100" b="0" i="0" baseline="0">
              <a:solidFill>
                <a:schemeClr val="dk1"/>
              </a:solidFill>
              <a:effectLst/>
              <a:latin typeface="+mn-lt"/>
              <a:ea typeface="+mn-ea"/>
              <a:cs typeface="+mn-cs"/>
            </a:rPr>
            <a:t>A market risk premium of 5.1% was used based on current estimates from several financial research sources and platforms.</a:t>
          </a:r>
        </a:p>
        <a:p>
          <a:endParaRPr lang="en-US" sz="1100" b="0" i="0" baseline="0">
            <a:solidFill>
              <a:schemeClr val="dk1"/>
            </a:solidFill>
            <a:effectLst/>
            <a:latin typeface="+mn-lt"/>
            <a:ea typeface="+mn-ea"/>
            <a:cs typeface="+mn-cs"/>
          </a:endParaRPr>
        </a:p>
        <a:p>
          <a:r>
            <a:rPr lang="en-US" sz="1100" b="0" i="0" baseline="0">
              <a:solidFill>
                <a:schemeClr val="dk1"/>
              </a:solidFill>
              <a:effectLst/>
              <a:latin typeface="+mn-lt"/>
              <a:ea typeface="+mn-ea"/>
              <a:cs typeface="+mn-cs"/>
            </a:rPr>
            <a:t>This reflects the expected excess return of the overall market over the risk-free rate. While the exact number can vary depending on the source, 5.1% falls within the typical range used in recent valuation work and aligns with what's currently seen across the U.S. equity market.</a:t>
          </a:r>
        </a:p>
      </xdr:txBody>
    </xdr:sp>
    <xdr:clientData/>
  </xdr:twoCellAnchor>
  <xdr:twoCellAnchor>
    <xdr:from>
      <xdr:col>1</xdr:col>
      <xdr:colOff>26570</xdr:colOff>
      <xdr:row>26</xdr:row>
      <xdr:rowOff>116306</xdr:rowOff>
    </xdr:from>
    <xdr:to>
      <xdr:col>8</xdr:col>
      <xdr:colOff>592055</xdr:colOff>
      <xdr:row>34</xdr:row>
      <xdr:rowOff>9525</xdr:rowOff>
    </xdr:to>
    <xdr:sp macro="" textlink="">
      <xdr:nvSpPr>
        <xdr:cNvPr id="3" name="TextBox 2">
          <a:extLst>
            <a:ext uri="{FF2B5EF4-FFF2-40B4-BE49-F238E27FC236}">
              <a16:creationId xmlns:a16="http://schemas.microsoft.com/office/drawing/2014/main" id="{7D091089-31EF-A867-7F80-DA55487CEAA5}"/>
            </a:ext>
          </a:extLst>
        </xdr:cNvPr>
        <xdr:cNvSpPr txBox="1"/>
      </xdr:nvSpPr>
      <xdr:spPr>
        <a:xfrm>
          <a:off x="340895" y="5707481"/>
          <a:ext cx="5661360" cy="17982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calculated WACC is slightly above</a:t>
          </a:r>
          <a:r>
            <a:rPr lang="en-US" sz="1100" baseline="0"/>
            <a:t> long-term historical averages due to a higher equity risk premium and increased stock volatility in recent years. </a:t>
          </a:r>
        </a:p>
        <a:p>
          <a:endParaRPr lang="en-US" sz="1100" baseline="0"/>
        </a:p>
        <a:p>
          <a:r>
            <a:rPr lang="en-US" sz="1100" baseline="0"/>
            <a:t>NVIDIA remains almost fully equity-financed, which limits the impact of its relatively low cost of debt. The company's beta, while lower than recent raw market estimates, reflects a long-term adjusted view of risk based on its performance across broader timeframes.</a:t>
          </a:r>
        </a:p>
        <a:p>
          <a:endParaRPr lang="en-US" sz="1100" baseline="0"/>
        </a:p>
        <a:p>
          <a:r>
            <a:rPr lang="en-US" sz="1100" baseline="0"/>
            <a:t>Overall, WACC is appropriate for long-term valuation given current conditions, the company's capital structure, and updated macroeconomic inputs.</a:t>
          </a:r>
        </a:p>
        <a:p>
          <a:endParaRPr lang="en-US" sz="1100" baseline="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35</xdr:col>
      <xdr:colOff>261066</xdr:colOff>
      <xdr:row>18</xdr:row>
      <xdr:rowOff>155971</xdr:rowOff>
    </xdr:from>
    <xdr:to>
      <xdr:col>43</xdr:col>
      <xdr:colOff>492133</xdr:colOff>
      <xdr:row>28</xdr:row>
      <xdr:rowOff>47624</xdr:rowOff>
    </xdr:to>
    <xdr:sp macro="" textlink="">
      <xdr:nvSpPr>
        <xdr:cNvPr id="2" name="TextBox 1">
          <a:extLst>
            <a:ext uri="{FF2B5EF4-FFF2-40B4-BE49-F238E27FC236}">
              <a16:creationId xmlns:a16="http://schemas.microsoft.com/office/drawing/2014/main" id="{AA69257A-3789-D585-CD70-8083D53F25B4}"/>
            </a:ext>
          </a:extLst>
        </xdr:cNvPr>
        <xdr:cNvSpPr txBox="1"/>
      </xdr:nvSpPr>
      <xdr:spPr>
        <a:xfrm>
          <a:off x="19539666" y="3794521"/>
          <a:ext cx="5107867" cy="179665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0"/>
            <a:t>Q1 FY2026 expectations based on Q4 FY2025 guidance:</a:t>
          </a:r>
        </a:p>
        <a:p>
          <a:pPr rtl="0" fontAlgn="auto"/>
          <a:endParaRPr lang="en-US">
            <a:effectLst/>
          </a:endParaRPr>
        </a:p>
        <a:p>
          <a:pPr rtl="0" fontAlgn="auto"/>
          <a:r>
            <a:rPr lang="en-US" b="0" baseline="0">
              <a:effectLst/>
            </a:rPr>
            <a:t> - </a:t>
          </a:r>
          <a:r>
            <a:rPr lang="en-US" b="0"/>
            <a:t>Revenue: $43.0 billion ± 2%</a:t>
          </a:r>
        </a:p>
        <a:p>
          <a:r>
            <a:rPr lang="en-US" b="0"/>
            <a:t> - Gross Margin: Not explicitly guided, but recent quarters trend 76–77%</a:t>
          </a:r>
        </a:p>
        <a:p>
          <a:r>
            <a:rPr lang="en-US" b="0"/>
            <a:t> - Operating Expenses: $5.5 billion (based on recent run-rate)</a:t>
          </a:r>
        </a:p>
        <a:p>
          <a:r>
            <a:rPr lang="en-US" b="0"/>
            <a:t> - Tax Rate: NVIDIA expects a GAAP and non-GAAP tax rate of 17.0% ± 1% for FY2026</a:t>
          </a:r>
        </a:p>
        <a:p>
          <a:endParaRPr lang="en-US" b="0"/>
        </a:p>
        <a:p>
          <a:r>
            <a:rPr lang="en-US"/>
            <a:t>Nvidia has historically maintained a low tax rate for a profitable company. With rising earnings, the effective rate has edged up slightly but remains relatively low overall.</a:t>
          </a:r>
          <a:endParaRPr lang="en-US">
            <a:effectLst/>
          </a:endParaRPr>
        </a:p>
      </xdr:txBody>
    </xdr:sp>
    <xdr:clientData/>
  </xdr:twoCellAnchor>
  <xdr:twoCellAnchor>
    <xdr:from>
      <xdr:col>35</xdr:col>
      <xdr:colOff>261429</xdr:colOff>
      <xdr:row>7</xdr:row>
      <xdr:rowOff>182670</xdr:rowOff>
    </xdr:from>
    <xdr:to>
      <xdr:col>43</xdr:col>
      <xdr:colOff>542235</xdr:colOff>
      <xdr:row>17</xdr:row>
      <xdr:rowOff>172011</xdr:rowOff>
    </xdr:to>
    <xdr:sp macro="" textlink="">
      <xdr:nvSpPr>
        <xdr:cNvPr id="3" name="TextBox 2">
          <a:extLst>
            <a:ext uri="{FF2B5EF4-FFF2-40B4-BE49-F238E27FC236}">
              <a16:creationId xmlns:a16="http://schemas.microsoft.com/office/drawing/2014/main" id="{F98EAEF2-84F5-4E4E-B3A6-FE8030EF6D22}"/>
            </a:ext>
          </a:extLst>
        </xdr:cNvPr>
        <xdr:cNvSpPr txBox="1"/>
      </xdr:nvSpPr>
      <xdr:spPr>
        <a:xfrm>
          <a:off x="21778404" y="1697145"/>
          <a:ext cx="5157606" cy="189434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Revenue and EBIT are based on actuals and street consensus through Q2 FY2026.</a:t>
          </a:r>
        </a:p>
        <a:p>
          <a:r>
            <a:rPr lang="en-US" sz="1100" baseline="0"/>
            <a:t>Forecasting begins in Q3 FY2026 and extends through Q4 FY2028.</a:t>
          </a:r>
        </a:p>
        <a:p>
          <a:endParaRPr lang="en-US" sz="1100"/>
        </a:p>
        <a:p>
          <a:r>
            <a:rPr lang="en-US"/>
            <a:t>Revenue projections from FY2025 onward are elevated but justifiable, given Nvidia’s strong historical growth from 2022 to 2025 and the company’s dominant position in accelerated computing and AI infrastructure.</a:t>
          </a:r>
          <a:br>
            <a:rPr lang="en-US"/>
          </a:br>
          <a:r>
            <a:rPr lang="en-US"/>
            <a:t>Nvidia has significantly increased supply to meet demand across its Data Center segment, driven by generative AI and large-scale cloud deployments.</a:t>
          </a:r>
          <a:br>
            <a:rPr lang="en-US"/>
          </a:br>
          <a:r>
            <a:rPr lang="en-US"/>
            <a:t>The company’s leadership in GPUs, networking, and full-stack AI solutions provides a strong foundation for continued growth through FY2028.</a:t>
          </a:r>
          <a:endParaRPr lang="en-US" sz="1100" baseline="0"/>
        </a:p>
      </xdr:txBody>
    </xdr:sp>
    <xdr:clientData/>
  </xdr:twoCellAnchor>
  <xdr:twoCellAnchor>
    <xdr:from>
      <xdr:col>35</xdr:col>
      <xdr:colOff>260631</xdr:colOff>
      <xdr:row>46</xdr:row>
      <xdr:rowOff>151501</xdr:rowOff>
    </xdr:from>
    <xdr:to>
      <xdr:col>42</xdr:col>
      <xdr:colOff>432080</xdr:colOff>
      <xdr:row>50</xdr:row>
      <xdr:rowOff>28575</xdr:rowOff>
    </xdr:to>
    <xdr:sp macro="" textlink="">
      <xdr:nvSpPr>
        <xdr:cNvPr id="4" name="TextBox 3">
          <a:extLst>
            <a:ext uri="{FF2B5EF4-FFF2-40B4-BE49-F238E27FC236}">
              <a16:creationId xmlns:a16="http://schemas.microsoft.com/office/drawing/2014/main" id="{5E732C2D-EB4E-285C-364F-4F6CA7EF72DC}"/>
            </a:ext>
          </a:extLst>
        </xdr:cNvPr>
        <xdr:cNvSpPr txBox="1"/>
      </xdr:nvSpPr>
      <xdr:spPr>
        <a:xfrm>
          <a:off x="19539231" y="9124051"/>
          <a:ext cx="4438649" cy="6390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Revenue projections for Q3 2026 are largely aligned across analysts, so I’ve applied a consistent growth rate across all scenarios.</a:t>
          </a:r>
          <a:endParaRPr lang="LID4096" sz="1100"/>
        </a:p>
      </xdr:txBody>
    </xdr:sp>
    <xdr:clientData/>
  </xdr:twoCellAnchor>
  <xdr:twoCellAnchor>
    <xdr:from>
      <xdr:col>35</xdr:col>
      <xdr:colOff>292107</xdr:colOff>
      <xdr:row>53</xdr:row>
      <xdr:rowOff>83629</xdr:rowOff>
    </xdr:from>
    <xdr:to>
      <xdr:col>42</xdr:col>
      <xdr:colOff>463556</xdr:colOff>
      <xdr:row>59</xdr:row>
      <xdr:rowOff>161925</xdr:rowOff>
    </xdr:to>
    <xdr:sp macro="" textlink="">
      <xdr:nvSpPr>
        <xdr:cNvPr id="5" name="TextBox 4">
          <a:extLst>
            <a:ext uri="{FF2B5EF4-FFF2-40B4-BE49-F238E27FC236}">
              <a16:creationId xmlns:a16="http://schemas.microsoft.com/office/drawing/2014/main" id="{0668E3F9-78D1-4F0F-A63F-2B96AF83F09D}"/>
            </a:ext>
          </a:extLst>
        </xdr:cNvPr>
        <xdr:cNvSpPr txBox="1"/>
      </xdr:nvSpPr>
      <xdr:spPr>
        <a:xfrm>
          <a:off x="19570707" y="10389679"/>
          <a:ext cx="4438649" cy="122129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NVIDIA holds a leading position in the AI GPU space, with estimates placing its market share around 85–90%. The company has maintained strong margins thanks to sustained demand and pricing power. While analysts expect these margins to hold, that assumption depends on NVIDIA keeping its edge as competition and regulatory pressure grow.</a:t>
          </a:r>
          <a:endParaRPr lang="en-US" sz="1100" baseline="0"/>
        </a:p>
      </xdr:txBody>
    </xdr:sp>
    <xdr:clientData/>
  </xdr:twoCellAnchor>
  <xdr:twoCellAnchor>
    <xdr:from>
      <xdr:col>23</xdr:col>
      <xdr:colOff>255189</xdr:colOff>
      <xdr:row>37</xdr:row>
      <xdr:rowOff>23710</xdr:rowOff>
    </xdr:from>
    <xdr:to>
      <xdr:col>32</xdr:col>
      <xdr:colOff>116073</xdr:colOff>
      <xdr:row>43</xdr:row>
      <xdr:rowOff>95249</xdr:rowOff>
    </xdr:to>
    <xdr:sp macro="" textlink="">
      <xdr:nvSpPr>
        <xdr:cNvPr id="7" name="TextBox 6">
          <a:extLst>
            <a:ext uri="{FF2B5EF4-FFF2-40B4-BE49-F238E27FC236}">
              <a16:creationId xmlns:a16="http://schemas.microsoft.com/office/drawing/2014/main" id="{58A3F371-5406-45FF-8043-007429FEF4D7}"/>
            </a:ext>
          </a:extLst>
        </xdr:cNvPr>
        <xdr:cNvSpPr txBox="1"/>
      </xdr:nvSpPr>
      <xdr:spPr>
        <a:xfrm>
          <a:off x="13266339" y="7281760"/>
          <a:ext cx="4594809" cy="121453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a:t>Some analysts remain highly bullish on Nvidia, with long-term price targets exceeding $1,000 by 2030. However, terminal growth assumptions of 6–7% are aggressive given Nvidia’s $4 trillion valuation and the expected moderation in earnings growth. A more realistic long-term growth rate falls in the 2–4% range, in line with GDP growth and standard DCF modeling practices.</a:t>
          </a:r>
        </a:p>
        <a:p>
          <a:endParaRPr lang="en-US" sz="1100" baseline="0"/>
        </a:p>
      </xdr:txBody>
    </xdr:sp>
    <xdr:clientData/>
  </xdr:twoCellAnchor>
  <xdr:twoCellAnchor>
    <xdr:from>
      <xdr:col>35</xdr:col>
      <xdr:colOff>343475</xdr:colOff>
      <xdr:row>71</xdr:row>
      <xdr:rowOff>155012</xdr:rowOff>
    </xdr:from>
    <xdr:to>
      <xdr:col>42</xdr:col>
      <xdr:colOff>123825</xdr:colOff>
      <xdr:row>74</xdr:row>
      <xdr:rowOff>180975</xdr:rowOff>
    </xdr:to>
    <xdr:sp macro="" textlink="">
      <xdr:nvSpPr>
        <xdr:cNvPr id="8" name="TextBox 7">
          <a:extLst>
            <a:ext uri="{FF2B5EF4-FFF2-40B4-BE49-F238E27FC236}">
              <a16:creationId xmlns:a16="http://schemas.microsoft.com/office/drawing/2014/main" id="{E7496B30-079B-C19A-1EAE-06D57E5E587A}"/>
            </a:ext>
          </a:extLst>
        </xdr:cNvPr>
        <xdr:cNvSpPr txBox="1"/>
      </xdr:nvSpPr>
      <xdr:spPr>
        <a:xfrm>
          <a:off x="19622075" y="13890062"/>
          <a:ext cx="4047550" cy="5974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This model uses the end-of-period convention. Using the mid-year convention instead would slightly alter the valuation results.</a:t>
          </a:r>
          <a:endParaRPr lang="en-US" sz="11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548907C-6F7D-469C-B7BB-C303727AE67E}" name="Table3" displayName="Table3" ref="A6:T35" totalsRowShown="0" headerRowDxfId="62" dataDxfId="61" headerRowCellStyle="Currency 2" dataCellStyle="Comma">
  <tableColumns count="20">
    <tableColumn id="1" xr3:uid="{9E49EA74-1AED-4F61-9582-81EF0C800AB3}" name="Fiscal Year" dataDxfId="60"/>
    <tableColumn id="2" xr3:uid="{14D87DE0-3748-438F-BDEC-FA4ECCEF2641}" name="Q4 2020" dataDxfId="59" dataCellStyle="Comma"/>
    <tableColumn id="3" xr3:uid="{0C6F022F-7621-43EC-B931-F68C918A0BE5}" name="Q1 2021" dataDxfId="58" dataCellStyle="Comma"/>
    <tableColumn id="4" xr3:uid="{849ECF28-88DF-423D-84D5-582DE31C01FD}" name="Q2 2021" dataDxfId="57" dataCellStyle="Comma"/>
    <tableColumn id="5" xr3:uid="{F1BD75D5-F274-40A7-AE81-A73A72903D49}" name="Q3 2021" dataDxfId="56" dataCellStyle="Comma"/>
    <tableColumn id="6" xr3:uid="{38DF71D8-2F63-4E88-9F63-8BE840C4A00B}" name="Q4 2021" dataDxfId="55" dataCellStyle="Comma"/>
    <tableColumn id="7" xr3:uid="{31615700-EEED-49AF-AAAA-5C331F9395A0}" name="Q1 2022" dataDxfId="54" dataCellStyle="Comma"/>
    <tableColumn id="8" xr3:uid="{45569680-1AF1-4EF8-9994-C2C404EFDDCE}" name="Q2 2022" dataDxfId="53" dataCellStyle="Comma"/>
    <tableColumn id="9" xr3:uid="{DFAF1CA0-AF0D-449C-B90A-143DE7F07154}" name="Q3 2022" dataDxfId="52" dataCellStyle="Comma"/>
    <tableColumn id="10" xr3:uid="{2C4ACA06-E8E8-458A-B0F7-2BE8F442088C}" name="Q4 2022" dataDxfId="51" dataCellStyle="Comma"/>
    <tableColumn id="11" xr3:uid="{41279688-017F-41EC-854D-AAA96B7423D3}" name="Q1 2023" dataDxfId="50" dataCellStyle="Comma"/>
    <tableColumn id="12" xr3:uid="{580D2C60-BE33-446B-8C4C-AD2AC281138E}" name="Q2 2023" dataDxfId="49" dataCellStyle="Comma"/>
    <tableColumn id="13" xr3:uid="{83451022-ECEF-400F-A2C1-88B19AF3460C}" name="Q3 2023" dataDxfId="48" dataCellStyle="Comma"/>
    <tableColumn id="14" xr3:uid="{2E5CB6B1-FAE0-4FCC-9372-1158F93B31C1}" name="Q4 2023" dataDxfId="47" dataCellStyle="Comma"/>
    <tableColumn id="15" xr3:uid="{9C330830-D1B0-4C37-A593-D57755C149C1}" name="Q1 2024" dataDxfId="46" dataCellStyle="Comma"/>
    <tableColumn id="16" xr3:uid="{786F133D-39C0-455C-96ED-9C343BCA71A0}" name="Q2 2024" dataDxfId="45" dataCellStyle="Comma"/>
    <tableColumn id="17" xr3:uid="{36829DDE-74CA-44AA-BD0E-4931273A6A62}" name="Q3 2024" dataDxfId="44" dataCellStyle="Comma"/>
    <tableColumn id="18" xr3:uid="{076D725E-F820-4D8C-83C8-474D899DCC36}" name="Q4 2024" dataDxfId="43" dataCellStyle="Comma"/>
    <tableColumn id="19" xr3:uid="{5F480661-F2FA-4A87-914B-69C7BCCA038E}" name="Q1 2025" dataDxfId="42" dataCellStyle="Comma"/>
    <tableColumn id="20" xr3:uid="{8A701D1F-F372-42BD-9C54-27698EA49F8F}" name="Q2 2025"/>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7BA3FBB-D9F7-4CCA-884F-8564769EA227}" name="Table4" displayName="Table4" ref="A6:T44" totalsRowShown="0" headerRowDxfId="41" dataDxfId="40" headerRowCellStyle="Currency 2" dataCellStyle="Comma">
  <tableColumns count="20">
    <tableColumn id="1" xr3:uid="{8CBD5106-BB6E-425C-BF00-B7525AC1DF37}" name="Fiscal Year" dataDxfId="39"/>
    <tableColumn id="2" xr3:uid="{DB6CE828-B46B-4022-BCDC-D2AA90FB386F}" name="Q4 2020" dataDxfId="38" dataCellStyle="Comma"/>
    <tableColumn id="3" xr3:uid="{227F9494-4F75-48EE-B8BB-7F90C6EFF9D9}" name="Q1 2021" dataDxfId="37" dataCellStyle="Comma"/>
    <tableColumn id="4" xr3:uid="{3635DD14-47EE-4D14-9582-D1B4DEF9B3BF}" name="Q2 2021" dataDxfId="36" dataCellStyle="Comma"/>
    <tableColumn id="5" xr3:uid="{D7BC84E3-D0ED-49EF-AA5A-B4FC39A7B1D0}" name="Q3 2021" dataDxfId="35" dataCellStyle="Comma"/>
    <tableColumn id="6" xr3:uid="{4625F0AA-BA02-4DD4-BBE5-DA3BBDCBE65E}" name="Q4 2021" dataDxfId="34" dataCellStyle="Comma"/>
    <tableColumn id="7" xr3:uid="{218066DC-C3F3-4248-B94F-25B442F438E0}" name="Q1 2022" dataDxfId="33" dataCellStyle="Comma"/>
    <tableColumn id="8" xr3:uid="{AFFC8835-5F01-4C0E-BB8F-4EDD2472019A}" name="Q2 2022" dataDxfId="32" dataCellStyle="Comma"/>
    <tableColumn id="9" xr3:uid="{554614C6-A61E-4C68-B922-DA5664A0BA75}" name="Q3 2022" dataDxfId="31" dataCellStyle="Comma"/>
    <tableColumn id="10" xr3:uid="{C407179A-302F-477E-A436-A3BE066CC7C3}" name="Q4 2022" dataDxfId="30" dataCellStyle="Comma"/>
    <tableColumn id="11" xr3:uid="{8D3D0997-10D0-4D7F-A82E-1A0B1F906D8E}" name="Q1 2023" dataDxfId="29" dataCellStyle="Comma"/>
    <tableColumn id="12" xr3:uid="{28B1E62B-A3A3-4F1C-B5A1-E942CBB7F402}" name="Q2 2023" dataDxfId="28" dataCellStyle="Comma"/>
    <tableColumn id="13" xr3:uid="{B9641C57-6234-41B0-914C-A5E709B1EC06}" name="Q3 2023" dataDxfId="27" dataCellStyle="Comma"/>
    <tableColumn id="14" xr3:uid="{BFCA280D-BB59-417E-8C83-F3F31C8E114B}" name="Q4 2023" dataDxfId="26" dataCellStyle="Comma"/>
    <tableColumn id="15" xr3:uid="{430D0C4C-03B5-4D83-ABE2-5C6AA6AC1E5E}" name="Q1 2024" dataDxfId="25" dataCellStyle="Comma"/>
    <tableColumn id="16" xr3:uid="{2A85F7BB-3B2A-4727-ABAB-B92D3C09D585}" name="Q2 2024" dataDxfId="24" dataCellStyle="Comma"/>
    <tableColumn id="17" xr3:uid="{0B77B243-DAB7-43DE-BD7A-5F44A8A61A81}" name="Q3 2024" dataDxfId="23" dataCellStyle="Comma"/>
    <tableColumn id="18" xr3:uid="{08F6D74B-EC31-475F-96A4-F4805BBEDEFA}" name="Q4 2024" dataDxfId="22" dataCellStyle="Comma"/>
    <tableColumn id="19" xr3:uid="{77FBD4F7-46BC-4E20-A568-67A7998655BD}" name="Q1 2025" dataDxfId="21" dataCellStyle="Comma"/>
    <tableColumn id="20" xr3:uid="{DC0A8830-97B3-4952-9ACE-256CD1A0EF6D}" name="Q2 2025" dataDxfId="20" dataCellStyle="Comma"/>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53F0B98-D617-498A-889E-CB8CBBA57088}" name="Table5" displayName="Table5" ref="A6:S55" totalsRowShown="0" headerRowDxfId="19" dataDxfId="18" headerRowCellStyle="Currency 2" dataCellStyle="Comma">
  <tableColumns count="19">
    <tableColumn id="1" xr3:uid="{9C94450B-CBB0-48A1-8E33-4608DE65C7C6}" name="Fiscal Year"/>
    <tableColumn id="2" xr3:uid="{D8AB0490-E6A8-4455-98F2-9005182F112B}" name="Q1 2021" dataDxfId="17" dataCellStyle="Comma"/>
    <tableColumn id="3" xr3:uid="{65603814-A386-4FE7-B774-3361317B9E01}" name="Q2 2021" dataDxfId="16" dataCellStyle="Comma"/>
    <tableColumn id="4" xr3:uid="{BF2465F6-9DBB-4C59-AF16-4C6EB0A6311C}" name="Q3 2021" dataDxfId="15" dataCellStyle="Comma"/>
    <tableColumn id="5" xr3:uid="{A6B69AC9-FADA-41A5-85D2-980D92AC756C}" name="Q4 2021" dataDxfId="14" dataCellStyle="Comma"/>
    <tableColumn id="6" xr3:uid="{85390892-C399-4288-9F24-472D0D3BD04A}" name="Q1 2022" dataDxfId="13" dataCellStyle="Comma"/>
    <tableColumn id="7" xr3:uid="{194FF028-E2A4-44BF-ADA6-239F6CD80E73}" name="Q2 2022" dataDxfId="12" dataCellStyle="Comma"/>
    <tableColumn id="8" xr3:uid="{945A565A-C241-40BF-9AC3-5D62CB8E2913}" name="Q3 2022" dataDxfId="11" dataCellStyle="Comma"/>
    <tableColumn id="9" xr3:uid="{5531D183-5CD7-4108-92D4-BB6E4A2C0A09}" name="Q4 2022" dataDxfId="10" dataCellStyle="Comma"/>
    <tableColumn id="10" xr3:uid="{722881BE-23FC-4BED-8603-86C015440C64}" name="Q1 2023" dataDxfId="9" dataCellStyle="Comma"/>
    <tableColumn id="11" xr3:uid="{26F04C53-544C-495D-83A7-4F87FE93ED9F}" name="Q2 2023" dataDxfId="8" dataCellStyle="Comma"/>
    <tableColumn id="12" xr3:uid="{66C3AFD8-21D9-4DCE-A5FA-9BED5F5A71DF}" name="Q3 2023" dataDxfId="7" dataCellStyle="Comma"/>
    <tableColumn id="13" xr3:uid="{8317C87F-B03E-4927-B52E-F50F86352F2E}" name="Q4 2023" dataDxfId="6" dataCellStyle="Comma"/>
    <tableColumn id="14" xr3:uid="{3919A199-2935-4A88-98BF-C4049E2EC2BD}" name="Q1 2024" dataDxfId="5" dataCellStyle="Comma"/>
    <tableColumn id="15" xr3:uid="{AA287064-3779-4262-9CFA-29B499CB9B8E}" name="Q2 2024" dataDxfId="4" dataCellStyle="Comma"/>
    <tableColumn id="16" xr3:uid="{8ECF076F-DA7C-4976-9E23-DE9B6EFA33F6}" name="Q3 2024" dataDxfId="3" dataCellStyle="Comma"/>
    <tableColumn id="17" xr3:uid="{4B92BD0C-C8D9-4744-AF37-F374EBE813D8}" name="Q4 2024" dataDxfId="2" dataCellStyle="Comma"/>
    <tableColumn id="18" xr3:uid="{180BD272-DEFA-45D3-9C3F-7BF51E28925A}" name="Q1 2025" dataDxfId="1" dataCellStyle="Comma"/>
    <tableColumn id="19" xr3:uid="{DAF43E4C-AB51-453A-A24E-8264ABF9E309}" name="Q2 2025" dataDxfId="0" dataCellStyle="Comma"/>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93230-1CBC-4BAD-96E2-6D1F59873D38}">
  <dimension ref="B1:D36"/>
  <sheetViews>
    <sheetView showGridLines="0" tabSelected="1" topLeftCell="A29" zoomScaleNormal="100" workbookViewId="0">
      <selection activeCell="E13" sqref="E13"/>
    </sheetView>
  </sheetViews>
  <sheetFormatPr defaultRowHeight="15"/>
  <cols>
    <col min="1" max="1" width="1" customWidth="1"/>
    <col min="2" max="2" width="24.42578125" customWidth="1"/>
    <col min="3" max="3" width="48.140625" customWidth="1"/>
    <col min="4" max="4" width="9" customWidth="1"/>
  </cols>
  <sheetData>
    <row r="1" spans="2:4" ht="5.25" customHeight="1"/>
    <row r="2" spans="2:4" ht="26.25">
      <c r="B2" s="175" t="s">
        <v>0</v>
      </c>
      <c r="C2" s="175"/>
      <c r="D2" s="175"/>
    </row>
    <row r="4" spans="2:4">
      <c r="B4" s="20" t="s">
        <v>1</v>
      </c>
      <c r="C4" s="164" t="s">
        <v>2</v>
      </c>
    </row>
    <row r="5" spans="2:4">
      <c r="B5" s="20" t="s">
        <v>3</v>
      </c>
      <c r="C5" t="s">
        <v>4</v>
      </c>
    </row>
    <row r="6" spans="2:4" ht="90">
      <c r="B6" s="167" t="s">
        <v>5</v>
      </c>
      <c r="C6" s="165" t="s">
        <v>6</v>
      </c>
    </row>
    <row r="7" spans="2:4" ht="60">
      <c r="B7" s="167" t="s">
        <v>7</v>
      </c>
      <c r="C7" s="165" t="s">
        <v>8</v>
      </c>
    </row>
    <row r="9" spans="2:4">
      <c r="B9" s="20" t="s">
        <v>9</v>
      </c>
      <c r="C9" s="20" t="s">
        <v>10</v>
      </c>
    </row>
    <row r="10" spans="2:4">
      <c r="B10" t="s">
        <v>11</v>
      </c>
      <c r="C10" s="168">
        <f>'DCF Valuation'!J5</f>
        <v>193.16</v>
      </c>
    </row>
    <row r="11" spans="2:4">
      <c r="B11" t="s">
        <v>12</v>
      </c>
      <c r="C11" s="168">
        <f ca="1">'DCF Valuation'!J4</f>
        <v>739.15194797622496</v>
      </c>
    </row>
    <row r="12" spans="2:4">
      <c r="B12" t="s">
        <v>13</v>
      </c>
      <c r="C12" s="169">
        <f ca="1">'DCF Valuation'!J6</f>
        <v>2.8266305030866898</v>
      </c>
    </row>
    <row r="13" spans="2:4">
      <c r="B13" t="s">
        <v>14</v>
      </c>
      <c r="C13" s="170">
        <f>WACC!F21</f>
        <v>0.10255876862000769</v>
      </c>
    </row>
    <row r="14" spans="2:4">
      <c r="B14" t="s">
        <v>15</v>
      </c>
      <c r="C14" s="170" t="s">
        <v>16</v>
      </c>
    </row>
    <row r="15" spans="2:4">
      <c r="B15" t="s">
        <v>17</v>
      </c>
      <c r="C15" s="170" t="s">
        <v>2</v>
      </c>
    </row>
    <row r="16" spans="2:4">
      <c r="C16" s="171"/>
    </row>
    <row r="17" spans="2:3">
      <c r="B17" s="20" t="s">
        <v>18</v>
      </c>
      <c r="C17" s="174" t="s">
        <v>10</v>
      </c>
    </row>
    <row r="18" spans="2:3">
      <c r="B18" t="s">
        <v>19</v>
      </c>
      <c r="C18" s="170">
        <f>WACC!F11</f>
        <v>0.10269999999999999</v>
      </c>
    </row>
    <row r="19" spans="2:3">
      <c r="B19" t="s">
        <v>20</v>
      </c>
      <c r="C19" s="172">
        <v>1.2</v>
      </c>
    </row>
    <row r="20" spans="2:3">
      <c r="B20" t="s">
        <v>21</v>
      </c>
      <c r="C20" s="170">
        <f>WACC!F12</f>
        <v>4.1500000000000002E-2</v>
      </c>
    </row>
    <row r="21" spans="2:3">
      <c r="B21" t="s">
        <v>22</v>
      </c>
      <c r="C21" s="170">
        <f>WACC!F14</f>
        <v>5.0999999999999997E-2</v>
      </c>
    </row>
    <row r="22" spans="2:3">
      <c r="B22" t="s">
        <v>23</v>
      </c>
      <c r="C22" s="170">
        <f>WACC!F18</f>
        <v>3.9E-2</v>
      </c>
    </row>
    <row r="23" spans="2:3">
      <c r="B23" t="s">
        <v>24</v>
      </c>
      <c r="C23" s="170">
        <f>WACC!F19</f>
        <v>0.17</v>
      </c>
    </row>
    <row r="25" spans="2:3">
      <c r="B25" s="20" t="s">
        <v>25</v>
      </c>
      <c r="C25" s="20" t="s">
        <v>26</v>
      </c>
    </row>
    <row r="26" spans="2:3" ht="30">
      <c r="B26" s="166" t="s">
        <v>27</v>
      </c>
      <c r="C26" s="147" t="s">
        <v>28</v>
      </c>
    </row>
    <row r="27" spans="2:3" ht="30">
      <c r="B27" s="166" t="s">
        <v>29</v>
      </c>
      <c r="C27" s="147" t="s">
        <v>30</v>
      </c>
    </row>
    <row r="28" spans="2:3">
      <c r="B28" s="166" t="s">
        <v>31</v>
      </c>
      <c r="C28" s="147" t="s">
        <v>32</v>
      </c>
    </row>
    <row r="29" spans="2:3" ht="30">
      <c r="B29" s="166" t="s">
        <v>33</v>
      </c>
      <c r="C29" s="147" t="s">
        <v>34</v>
      </c>
    </row>
    <row r="30" spans="2:3" ht="30">
      <c r="B30" s="166" t="s">
        <v>35</v>
      </c>
      <c r="C30" s="147" t="s">
        <v>36</v>
      </c>
    </row>
    <row r="31" spans="2:3" ht="30">
      <c r="B31" s="166" t="s">
        <v>37</v>
      </c>
      <c r="C31" s="147" t="s">
        <v>38</v>
      </c>
    </row>
    <row r="32" spans="2:3" ht="30">
      <c r="B32" s="166" t="s">
        <v>39</v>
      </c>
      <c r="C32" s="147" t="s">
        <v>40</v>
      </c>
    </row>
    <row r="33" spans="2:3" ht="30">
      <c r="B33" s="166" t="s">
        <v>14</v>
      </c>
      <c r="C33" s="147" t="s">
        <v>41</v>
      </c>
    </row>
    <row r="34" spans="2:3" ht="30">
      <c r="B34" s="166" t="s">
        <v>42</v>
      </c>
      <c r="C34" s="147" t="s">
        <v>43</v>
      </c>
    </row>
    <row r="36" spans="2:3">
      <c r="B36" s="173" t="s">
        <v>44</v>
      </c>
    </row>
  </sheetData>
  <mergeCells count="1">
    <mergeCell ref="B2:D2"/>
  </mergeCells>
  <hyperlinks>
    <hyperlink ref="B26" location="'Revenue Streams'!A1" display="Revenue Streams" xr:uid="{14AAE5F1-C71C-49D3-B92D-C26B556AA0AA}"/>
    <hyperlink ref="B27" location="'Income Statement'!A1" display="Income Statement" xr:uid="{70672E5D-0C1F-45ED-AF7C-75511607854C}"/>
    <hyperlink ref="B28" location="'Balance Sheet'!A1" display="Balance Sheet" xr:uid="{B2AC23F8-16A2-4656-A40A-32D693188A94}"/>
    <hyperlink ref="B29" location="'Cash Flow Statement'!A1" display="Cash Flow Statement" xr:uid="{D2E8D2F0-46D7-4DD7-A2EC-B2FDBEE3C1B4}"/>
    <hyperlink ref="B30" location="'Working Capital'!A1" display="Working Capital" xr:uid="{B5FD7035-4CD3-44E4-AAED-19DBF1C07974}"/>
    <hyperlink ref="B31" location="Debt!A1" display="Debt" xr:uid="{1C84BB2C-983F-45F8-AFA7-C78E1F379FFD}"/>
    <hyperlink ref="B32" location="'Fixed Assets'!A1" display="Fixed Assets" xr:uid="{DF1F79D7-D2F8-4C4A-9A27-B86DB557F2DD}"/>
    <hyperlink ref="B33" location="WACC!A1" display="WACC" xr:uid="{8065CB1C-FF3D-4623-A435-C0A4E7F9C6BF}"/>
    <hyperlink ref="B34" location="'DCF Valuation'!A1" display="DCF Valuation" xr:uid="{03F30BB3-EB10-4837-9F36-C9C97045FA5F}"/>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A2C74-11E1-492F-93B0-F18A487CBE43}">
  <dimension ref="A1:X48"/>
  <sheetViews>
    <sheetView showGridLines="0" zoomScale="85" zoomScaleNormal="85" workbookViewId="0"/>
  </sheetViews>
  <sheetFormatPr defaultRowHeight="15"/>
  <cols>
    <col min="1" max="1" width="26.42578125" customWidth="1"/>
    <col min="2" max="2" width="9.5703125" customWidth="1"/>
    <col min="3" max="3" width="7.85546875" bestFit="1" customWidth="1"/>
    <col min="4" max="15" width="8.7109375" bestFit="1" customWidth="1"/>
    <col min="16" max="22" width="8.85546875" bestFit="1" customWidth="1"/>
  </cols>
  <sheetData>
    <row r="1" spans="1:21" ht="7.5" customHeight="1"/>
    <row r="2" spans="1:21" ht="18.75" customHeight="1">
      <c r="A2" s="161" t="s">
        <v>27</v>
      </c>
      <c r="C2" s="163"/>
      <c r="D2" s="163"/>
      <c r="E2" s="163"/>
      <c r="L2" s="102"/>
      <c r="M2" s="102"/>
      <c r="N2" s="102"/>
      <c r="O2" s="103"/>
      <c r="P2" s="103"/>
      <c r="Q2" s="103"/>
      <c r="R2" s="103"/>
      <c r="S2" s="103"/>
    </row>
    <row r="4" spans="1:21">
      <c r="A4" s="153" t="s">
        <v>45</v>
      </c>
      <c r="B4" s="153" t="s">
        <v>46</v>
      </c>
      <c r="C4" s="153" t="s">
        <v>47</v>
      </c>
      <c r="D4" s="153" t="s">
        <v>48</v>
      </c>
      <c r="E4" s="153" t="s">
        <v>49</v>
      </c>
      <c r="F4" s="153" t="s">
        <v>50</v>
      </c>
      <c r="G4" s="153" t="s">
        <v>51</v>
      </c>
      <c r="H4" s="153" t="s">
        <v>52</v>
      </c>
      <c r="I4" s="153" t="s">
        <v>53</v>
      </c>
      <c r="J4" s="153" t="s">
        <v>54</v>
      </c>
      <c r="K4" s="153" t="s">
        <v>55</v>
      </c>
      <c r="L4" s="153" t="s">
        <v>56</v>
      </c>
      <c r="M4" s="153" t="s">
        <v>57</v>
      </c>
      <c r="N4" s="153" t="s">
        <v>58</v>
      </c>
      <c r="O4" s="153" t="s">
        <v>59</v>
      </c>
      <c r="P4" s="153" t="s">
        <v>60</v>
      </c>
      <c r="Q4" s="153" t="s">
        <v>61</v>
      </c>
      <c r="R4" s="153" t="s">
        <v>62</v>
      </c>
      <c r="S4" s="153" t="s">
        <v>63</v>
      </c>
      <c r="T4" s="153" t="s">
        <v>64</v>
      </c>
      <c r="U4" s="153" t="s">
        <v>65</v>
      </c>
    </row>
    <row r="5" spans="1:21">
      <c r="A5" s="2" t="s">
        <v>66</v>
      </c>
      <c r="B5" s="16">
        <f>1/3*B25+2/3*C25</f>
        <v>1083.3333333333333</v>
      </c>
      <c r="C5" s="16">
        <f t="shared" ref="C5:O5" si="0">1/3*C25+2/3*D25</f>
        <v>1548.3333333333333</v>
      </c>
      <c r="D5" s="16">
        <f t="shared" si="0"/>
        <v>1850.6666666666665</v>
      </c>
      <c r="E5" s="16">
        <f t="shared" si="0"/>
        <v>1901.9999999999998</v>
      </c>
      <c r="F5" s="16">
        <f t="shared" si="0"/>
        <v>1999.6666666666665</v>
      </c>
      <c r="G5" s="16">
        <f t="shared" si="0"/>
        <v>2260</v>
      </c>
      <c r="H5" s="16">
        <f t="shared" si="0"/>
        <v>2746</v>
      </c>
      <c r="I5" s="16">
        <f t="shared" si="0"/>
        <v>3153.9999999999995</v>
      </c>
      <c r="J5" s="16">
        <f t="shared" si="0"/>
        <v>3587.6666666666665</v>
      </c>
      <c r="K5" s="16">
        <f t="shared" si="0"/>
        <v>3787.333333333333</v>
      </c>
      <c r="L5" s="16">
        <f t="shared" si="0"/>
        <v>3823.9999999999995</v>
      </c>
      <c r="M5" s="16">
        <f t="shared" si="0"/>
        <v>3688.333333333333</v>
      </c>
      <c r="N5" s="16">
        <f t="shared" si="0"/>
        <v>4061.333333333333</v>
      </c>
      <c r="O5" s="16">
        <f t="shared" si="0"/>
        <v>8310</v>
      </c>
      <c r="P5" s="16">
        <f>1/3*P25+2/3*Q25</f>
        <v>13117</v>
      </c>
      <c r="Q5" s="16">
        <f>1/3*Q25+2/3*R25</f>
        <v>17107.333333333332</v>
      </c>
      <c r="R5" s="16">
        <f>1/3*R25+2/3*S25</f>
        <v>21176.666666666664</v>
      </c>
      <c r="S5" s="16">
        <f>1/3*S25+2/3*T25</f>
        <v>25061.666666666664</v>
      </c>
      <c r="T5" s="16">
        <f>1/3*T25+2/3*U25</f>
        <v>29303.666666666664</v>
      </c>
      <c r="U5" s="16">
        <f>1/3*U25+2/3*W22</f>
        <v>10266.666666666666</v>
      </c>
    </row>
    <row r="6" spans="1:21">
      <c r="A6" s="2" t="s">
        <v>66</v>
      </c>
      <c r="B6" s="12">
        <f t="shared" ref="B6:U6" si="1">B5/B$20</f>
        <v>0.3507825148407987</v>
      </c>
      <c r="C6" s="12">
        <f t="shared" si="1"/>
        <v>0.42961524232334447</v>
      </c>
      <c r="D6" s="12">
        <f t="shared" si="1"/>
        <v>0.41687941132302153</v>
      </c>
      <c r="E6" s="12">
        <f t="shared" si="1"/>
        <v>0.38732011946782513</v>
      </c>
      <c r="F6" s="12">
        <f t="shared" si="1"/>
        <v>0.36747320061255745</v>
      </c>
      <c r="G6" s="12">
        <f t="shared" si="1"/>
        <v>0.36305220883534134</v>
      </c>
      <c r="H6" s="12">
        <f t="shared" si="1"/>
        <v>0.39772123786993679</v>
      </c>
      <c r="I6" s="12">
        <f t="shared" si="1"/>
        <v>0.42261825003349857</v>
      </c>
      <c r="J6" s="12">
        <f t="shared" si="1"/>
        <v>0.44440315454808205</v>
      </c>
      <c r="K6" s="12">
        <f t="shared" si="1"/>
        <v>0.52369100294985249</v>
      </c>
      <c r="L6" s="12">
        <f t="shared" si="1"/>
        <v>0.61790369492620911</v>
      </c>
      <c r="M6" s="12">
        <f t="shared" si="1"/>
        <v>0.61359729385016359</v>
      </c>
      <c r="N6" s="12">
        <f t="shared" si="1"/>
        <v>0.59623195497920234</v>
      </c>
      <c r="O6" s="12">
        <f t="shared" si="1"/>
        <v>0.72881950534993856</v>
      </c>
      <c r="P6" s="12">
        <f t="shared" si="1"/>
        <v>0.79102257422558153</v>
      </c>
      <c r="Q6" s="12">
        <f t="shared" si="1"/>
        <v>0.82344446940281757</v>
      </c>
      <c r="R6" s="12">
        <f t="shared" si="1"/>
        <v>0.85630332520116992</v>
      </c>
      <c r="S6" s="12">
        <f t="shared" si="1"/>
        <v>0.87298546282104872</v>
      </c>
      <c r="T6" s="12">
        <f t="shared" si="1"/>
        <v>0.87732026665602181</v>
      </c>
      <c r="U6" s="12">
        <f t="shared" si="1"/>
        <v>0.8779431047260704</v>
      </c>
    </row>
    <row r="8" spans="1:21">
      <c r="A8" s="2" t="s">
        <v>67</v>
      </c>
      <c r="B8" s="16">
        <f t="shared" ref="B8:Q8" si="2">1/3*B29+2/3*C29</f>
        <v>1389.6666666666665</v>
      </c>
      <c r="C8" s="16">
        <f t="shared" si="2"/>
        <v>1548.9999999999998</v>
      </c>
      <c r="D8" s="16">
        <f t="shared" si="2"/>
        <v>2065.333333333333</v>
      </c>
      <c r="E8" s="16">
        <f t="shared" si="2"/>
        <v>2420.333333333333</v>
      </c>
      <c r="F8" s="16">
        <f t="shared" si="2"/>
        <v>2671.6666666666665</v>
      </c>
      <c r="G8" s="16">
        <f t="shared" si="2"/>
        <v>2960.6666666666665</v>
      </c>
      <c r="H8" s="16">
        <f t="shared" si="2"/>
        <v>3167.6666666666661</v>
      </c>
      <c r="I8" s="16">
        <f t="shared" si="2"/>
        <v>3353.6666666666665</v>
      </c>
      <c r="J8" s="16">
        <f t="shared" si="2"/>
        <v>3553.333333333333</v>
      </c>
      <c r="K8" s="16">
        <f t="shared" si="2"/>
        <v>2568</v>
      </c>
      <c r="L8" s="16">
        <f t="shared" si="2"/>
        <v>1730</v>
      </c>
      <c r="M8" s="16">
        <f>1/3*M29+2/3*N29</f>
        <v>1745.333333333333</v>
      </c>
      <c r="N8" s="16">
        <f t="shared" si="2"/>
        <v>2103.6666666666665</v>
      </c>
      <c r="O8" s="16">
        <f t="shared" si="2"/>
        <v>2404</v>
      </c>
      <c r="P8" s="16">
        <f t="shared" si="2"/>
        <v>2732.6666666666665</v>
      </c>
      <c r="Q8" s="16">
        <f t="shared" si="2"/>
        <v>2862</v>
      </c>
      <c r="R8" s="16">
        <f t="shared" ref="R8" si="3">1/3*R29+2/3*S29</f>
        <v>2721</v>
      </c>
      <c r="S8" s="16">
        <f t="shared" ref="S8" si="4">1/3*S29+2/3*T29</f>
        <v>2813</v>
      </c>
      <c r="T8" s="16">
        <f t="shared" ref="T8" si="5">1/3*T29+2/3*U29</f>
        <v>3165</v>
      </c>
      <c r="U8" s="16">
        <f>1/3*U29+2/3*W26</f>
        <v>1100</v>
      </c>
    </row>
    <row r="9" spans="1:21">
      <c r="A9" s="2" t="s">
        <v>67</v>
      </c>
      <c r="B9" s="12">
        <f t="shared" ref="B9:U9" si="6">B8/B$20</f>
        <v>0.44997301672962764</v>
      </c>
      <c r="C9" s="12">
        <f t="shared" si="6"/>
        <v>0.42980022197558265</v>
      </c>
      <c r="D9" s="12">
        <f t="shared" si="6"/>
        <v>0.46523502027331437</v>
      </c>
      <c r="E9" s="12">
        <f t="shared" si="6"/>
        <v>0.49287265815910941</v>
      </c>
      <c r="F9" s="12">
        <f t="shared" si="6"/>
        <v>0.49096477794793264</v>
      </c>
      <c r="G9" s="12">
        <f t="shared" si="6"/>
        <v>0.47560910307898258</v>
      </c>
      <c r="H9" s="12">
        <f t="shared" si="6"/>
        <v>0.45879399410997918</v>
      </c>
      <c r="I9" s="12">
        <f t="shared" si="6"/>
        <v>0.44937245969002637</v>
      </c>
      <c r="J9" s="12">
        <f t="shared" si="6"/>
        <v>0.44015029522275895</v>
      </c>
      <c r="K9" s="12">
        <f t="shared" si="6"/>
        <v>0.35508849557522126</v>
      </c>
      <c r="L9" s="12">
        <f t="shared" si="6"/>
        <v>0.27954325110416889</v>
      </c>
      <c r="M9" s="12">
        <f t="shared" si="6"/>
        <v>0.29035656851328118</v>
      </c>
      <c r="N9" s="12">
        <f t="shared" si="6"/>
        <v>0.30883288475654513</v>
      </c>
      <c r="O9" s="12">
        <f t="shared" si="6"/>
        <v>0.21084020347307489</v>
      </c>
      <c r="P9" s="12">
        <f t="shared" si="6"/>
        <v>0.16479385691599494</v>
      </c>
      <c r="Q9" s="12">
        <f t="shared" si="6"/>
        <v>0.13775952251066972</v>
      </c>
      <c r="R9" s="12">
        <f t="shared" si="6"/>
        <v>0.11002682266043051</v>
      </c>
      <c r="S9" s="12">
        <f t="shared" si="6"/>
        <v>9.7986623937578385E-2</v>
      </c>
      <c r="T9" s="12">
        <f t="shared" si="6"/>
        <v>9.4756696339467497E-2</v>
      </c>
      <c r="U9" s="12">
        <f t="shared" si="6"/>
        <v>9.4065332649221844E-2</v>
      </c>
    </row>
    <row r="11" spans="1:21">
      <c r="A11" s="2" t="s">
        <v>68</v>
      </c>
      <c r="B11" s="16">
        <f t="shared" ref="B11:Q11" si="7">1/3*B33+2/3*C33</f>
        <v>315</v>
      </c>
      <c r="C11" s="16">
        <f t="shared" si="7"/>
        <v>237.66666666666663</v>
      </c>
      <c r="D11" s="16">
        <f t="shared" si="7"/>
        <v>224.99999999999997</v>
      </c>
      <c r="E11" s="16">
        <f t="shared" si="7"/>
        <v>283.33333333333331</v>
      </c>
      <c r="F11" s="16">
        <f t="shared" si="7"/>
        <v>350.33333333333331</v>
      </c>
      <c r="G11" s="16">
        <f t="shared" si="7"/>
        <v>470</v>
      </c>
      <c r="H11" s="16">
        <f t="shared" si="7"/>
        <v>557.66666666666663</v>
      </c>
      <c r="I11" s="16">
        <f t="shared" si="7"/>
        <v>621</v>
      </c>
      <c r="J11" s="16">
        <f t="shared" si="7"/>
        <v>629</v>
      </c>
      <c r="K11" s="16">
        <f t="shared" si="7"/>
        <v>538</v>
      </c>
      <c r="L11" s="16">
        <f t="shared" si="7"/>
        <v>298.66666666666663</v>
      </c>
      <c r="M11" s="16">
        <f t="shared" si="7"/>
        <v>217.33333333333331</v>
      </c>
      <c r="N11" s="16">
        <f t="shared" si="7"/>
        <v>272</v>
      </c>
      <c r="O11" s="16">
        <f t="shared" si="7"/>
        <v>351</v>
      </c>
      <c r="P11" s="16">
        <f t="shared" si="7"/>
        <v>403.66666666666663</v>
      </c>
      <c r="Q11" s="16">
        <f t="shared" si="7"/>
        <v>447.33333333333326</v>
      </c>
      <c r="R11" s="16">
        <f t="shared" ref="R11" si="8">1/3*R33+2/3*S33</f>
        <v>438.99999999999994</v>
      </c>
      <c r="S11" s="16">
        <f t="shared" ref="S11" si="9">1/3*S33+2/3*T33</f>
        <v>444.99999999999994</v>
      </c>
      <c r="T11" s="16">
        <f t="shared" ref="T11" si="10">1/3*T33+2/3*U33</f>
        <v>475.33333333333331</v>
      </c>
      <c r="U11" s="16">
        <f>1/3*U33+2/3*W30</f>
        <v>162</v>
      </c>
    </row>
    <row r="12" spans="1:21">
      <c r="A12" s="2" t="s">
        <v>68</v>
      </c>
      <c r="B12" s="12">
        <f t="shared" ref="B12:U12" si="11">B11/B$20</f>
        <v>0.10199676200755532</v>
      </c>
      <c r="C12" s="12">
        <f t="shared" si="11"/>
        <v>6.594524602293747E-2</v>
      </c>
      <c r="D12" s="12">
        <f t="shared" si="11"/>
        <v>5.0683285778645448E-2</v>
      </c>
      <c r="E12" s="12">
        <f t="shared" si="11"/>
        <v>5.7697529188161831E-2</v>
      </c>
      <c r="F12" s="12">
        <f t="shared" si="11"/>
        <v>6.4379785604900458E-2</v>
      </c>
      <c r="G12" s="12">
        <f t="shared" si="11"/>
        <v>7.5502008032128518E-2</v>
      </c>
      <c r="H12" s="12">
        <f t="shared" si="11"/>
        <v>8.0770530584656983E-2</v>
      </c>
      <c r="I12" s="12">
        <f t="shared" si="11"/>
        <v>8.3210505158783338E-2</v>
      </c>
      <c r="J12" s="12">
        <f t="shared" si="11"/>
        <v>7.7914034435773563E-2</v>
      </c>
      <c r="K12" s="12">
        <f t="shared" si="11"/>
        <v>7.439159292035398E-2</v>
      </c>
      <c r="L12" s="12">
        <f t="shared" si="11"/>
        <v>4.8260260691586766E-2</v>
      </c>
      <c r="M12" s="12">
        <f t="shared" si="11"/>
        <v>3.6155936338934179E-2</v>
      </c>
      <c r="N12" s="12">
        <f t="shared" si="11"/>
        <v>3.9931490090530958E-2</v>
      </c>
      <c r="O12" s="12">
        <f t="shared" si="11"/>
        <v>3.0784072969654446E-2</v>
      </c>
      <c r="P12" s="12">
        <f t="shared" si="11"/>
        <v>2.4343176472953143E-2</v>
      </c>
      <c r="Q12" s="12">
        <f t="shared" si="11"/>
        <v>2.1531944934698202E-2</v>
      </c>
      <c r="R12" s="12">
        <f t="shared" si="11"/>
        <v>1.7751479289940825E-2</v>
      </c>
      <c r="S12" s="12">
        <f t="shared" si="11"/>
        <v>1.5500905670893132E-2</v>
      </c>
      <c r="T12" s="12">
        <f t="shared" si="11"/>
        <v>1.4230968823599859E-2</v>
      </c>
      <c r="U12" s="12">
        <f t="shared" si="11"/>
        <v>1.3853258081067216E-2</v>
      </c>
    </row>
    <row r="14" spans="1:21">
      <c r="A14" s="2" t="s">
        <v>69</v>
      </c>
      <c r="B14" s="16">
        <f t="shared" ref="B14:O14" si="12">1/3*B37+2/3*C37</f>
        <v>157.66666666666666</v>
      </c>
      <c r="C14" s="16">
        <f t="shared" si="12"/>
        <v>125.66666666666666</v>
      </c>
      <c r="D14" s="16">
        <f t="shared" si="12"/>
        <v>120.33333333333333</v>
      </c>
      <c r="E14" s="16">
        <f t="shared" si="12"/>
        <v>138.33333333333331</v>
      </c>
      <c r="F14" s="16">
        <f t="shared" si="12"/>
        <v>151</v>
      </c>
      <c r="G14" s="16">
        <f t="shared" si="12"/>
        <v>152.66666666666666</v>
      </c>
      <c r="H14" s="16">
        <f t="shared" si="12"/>
        <v>140.66666666666666</v>
      </c>
      <c r="I14" s="16">
        <f t="shared" si="12"/>
        <v>128.33333333333331</v>
      </c>
      <c r="J14" s="16">
        <f t="shared" si="12"/>
        <v>133.66666666666666</v>
      </c>
      <c r="K14" s="16">
        <f t="shared" si="12"/>
        <v>192.66666666666666</v>
      </c>
      <c r="L14" s="16">
        <f t="shared" si="12"/>
        <v>240.66666666666663</v>
      </c>
      <c r="M14" s="16">
        <f t="shared" si="12"/>
        <v>279.66666666666663</v>
      </c>
      <c r="N14" s="16">
        <f t="shared" si="12"/>
        <v>295.33333333333331</v>
      </c>
      <c r="O14" s="16">
        <f t="shared" si="12"/>
        <v>267.33333333333331</v>
      </c>
      <c r="P14" s="16">
        <f>1/3*P37+2/3*Q37</f>
        <v>258.33333333333331</v>
      </c>
      <c r="Q14" s="16">
        <f>1/3*Q37+2/3*R37</f>
        <v>274.33333333333331</v>
      </c>
      <c r="R14" s="16">
        <f t="shared" ref="R14" si="13">1/3*R37+2/3*S37</f>
        <v>313</v>
      </c>
      <c r="S14" s="16">
        <f t="shared" ref="S14" si="14">1/3*S37+2/3*T37</f>
        <v>340.33333333333331</v>
      </c>
      <c r="T14" s="16">
        <f t="shared" ref="T14" si="15">1/3*T37+2/3*U37</f>
        <v>414.66666666666663</v>
      </c>
      <c r="U14" s="16">
        <f>1/3*U37+2/3*W34</f>
        <v>149.66666666666666</v>
      </c>
    </row>
    <row r="15" spans="1:21">
      <c r="A15" s="2" t="s">
        <v>69</v>
      </c>
      <c r="B15" s="12">
        <f t="shared" ref="B15:U15" si="16">B14/B$20</f>
        <v>5.1052347544522397E-2</v>
      </c>
      <c r="C15" s="12">
        <f t="shared" si="16"/>
        <v>3.4868664446910842E-2</v>
      </c>
      <c r="D15" s="12">
        <f t="shared" si="16"/>
        <v>2.7106172097912606E-2</v>
      </c>
      <c r="E15" s="12">
        <f t="shared" si="16"/>
        <v>2.8169970133043714E-2</v>
      </c>
      <c r="F15" s="12">
        <f t="shared" si="16"/>
        <v>2.7748851454823892E-2</v>
      </c>
      <c r="G15" s="12">
        <f t="shared" si="16"/>
        <v>2.4524765729585004E-2</v>
      </c>
      <c r="H15" s="12">
        <f t="shared" si="16"/>
        <v>2.037367836624342E-2</v>
      </c>
      <c r="I15" s="12">
        <f t="shared" si="16"/>
        <v>1.7195944437000312E-2</v>
      </c>
      <c r="J15" s="12">
        <f t="shared" si="16"/>
        <v>1.6557248441306412E-2</v>
      </c>
      <c r="K15" s="12">
        <f t="shared" si="16"/>
        <v>2.6640855457227136E-2</v>
      </c>
      <c r="L15" s="12">
        <f t="shared" si="16"/>
        <v>3.888829042335451E-2</v>
      </c>
      <c r="M15" s="12">
        <f t="shared" si="16"/>
        <v>4.6525813785837075E-2</v>
      </c>
      <c r="N15" s="12">
        <f t="shared" si="16"/>
        <v>4.3356985563983361E-2</v>
      </c>
      <c r="O15" s="12">
        <f t="shared" si="16"/>
        <v>2.34461790329182E-2</v>
      </c>
      <c r="P15" s="12">
        <f t="shared" si="16"/>
        <v>1.5578828874102961E-2</v>
      </c>
      <c r="Q15" s="12">
        <f t="shared" si="16"/>
        <v>1.3204762057568271E-2</v>
      </c>
      <c r="R15" s="12">
        <f t="shared" si="16"/>
        <v>1.2656521680527288E-2</v>
      </c>
      <c r="S15" s="12">
        <f t="shared" si="16"/>
        <v>1.1854999767776694E-2</v>
      </c>
      <c r="T15" s="12">
        <f t="shared" si="16"/>
        <v>1.2414674064907589E-2</v>
      </c>
      <c r="U15" s="12">
        <f t="shared" si="16"/>
        <v>1.2798586169545637E-2</v>
      </c>
    </row>
    <row r="17" spans="1:24">
      <c r="A17" s="2" t="s">
        <v>70</v>
      </c>
      <c r="B17" s="16">
        <f t="shared" ref="B17:Q17" si="17">1/3*B41+2/3*C41</f>
        <v>142.66666666666666</v>
      </c>
      <c r="C17" s="16">
        <f t="shared" si="17"/>
        <v>143.33333333333331</v>
      </c>
      <c r="D17" s="16">
        <f t="shared" si="17"/>
        <v>177.99999999999997</v>
      </c>
      <c r="E17" s="16">
        <f t="shared" si="17"/>
        <v>166.66666666666666</v>
      </c>
      <c r="F17" s="16">
        <f t="shared" si="17"/>
        <v>269</v>
      </c>
      <c r="G17" s="16">
        <f t="shared" si="17"/>
        <v>381.66666666666663</v>
      </c>
      <c r="H17" s="16">
        <f t="shared" si="17"/>
        <v>292.33333333333331</v>
      </c>
      <c r="I17" s="16">
        <f t="shared" si="17"/>
        <v>206</v>
      </c>
      <c r="J17" s="16">
        <f t="shared" si="17"/>
        <v>169.33333333333331</v>
      </c>
      <c r="K17" s="16">
        <f t="shared" si="17"/>
        <v>146</v>
      </c>
      <c r="L17" s="16">
        <f t="shared" si="17"/>
        <v>95.333333333333329</v>
      </c>
      <c r="M17" s="16">
        <f t="shared" si="17"/>
        <v>80.333333333333329</v>
      </c>
      <c r="N17" s="16">
        <f t="shared" si="17"/>
        <v>79.333333333333329</v>
      </c>
      <c r="O17" s="16">
        <f t="shared" si="17"/>
        <v>69.666666666666657</v>
      </c>
      <c r="P17" s="16">
        <f t="shared" si="17"/>
        <v>70.666666666666657</v>
      </c>
      <c r="Q17" s="16">
        <f t="shared" si="17"/>
        <v>84.333333333333329</v>
      </c>
      <c r="R17" s="16">
        <f t="shared" ref="R17" si="18">1/3*R41+2/3*S41</f>
        <v>80.666666666666657</v>
      </c>
      <c r="S17" s="16">
        <f t="shared" ref="S17" si="19">1/3*S41+2/3*T41</f>
        <v>48</v>
      </c>
      <c r="T17" s="16">
        <f t="shared" ref="T17" si="20">1/3*T41+2/3*U41</f>
        <v>42.666666666666664</v>
      </c>
      <c r="U17" s="16">
        <f>1/3*U41+2/3*W38</f>
        <v>15.666666666666666</v>
      </c>
    </row>
    <row r="18" spans="1:24">
      <c r="A18" s="2" t="s">
        <v>70</v>
      </c>
      <c r="B18" s="12">
        <f t="shared" ref="B18:U18" si="21">B17/B$20</f>
        <v>4.6195358877495957E-2</v>
      </c>
      <c r="C18" s="12">
        <f t="shared" si="21"/>
        <v>3.9770625231224564E-2</v>
      </c>
      <c r="D18" s="12">
        <f t="shared" si="21"/>
        <v>4.0096110527106175E-2</v>
      </c>
      <c r="E18" s="12">
        <f t="shared" si="21"/>
        <v>3.3939723051859896E-2</v>
      </c>
      <c r="F18" s="12">
        <f t="shared" si="21"/>
        <v>4.943338437978561E-2</v>
      </c>
      <c r="G18" s="12">
        <f t="shared" si="21"/>
        <v>6.1311914323962512E-2</v>
      </c>
      <c r="H18" s="12">
        <f t="shared" si="21"/>
        <v>4.2340559069183603E-2</v>
      </c>
      <c r="I18" s="12">
        <f t="shared" si="21"/>
        <v>2.7602840680691413E-2</v>
      </c>
      <c r="J18" s="12">
        <f t="shared" si="21"/>
        <v>2.0975267352078945E-2</v>
      </c>
      <c r="K18" s="12">
        <f t="shared" si="21"/>
        <v>2.0188053097345133E-2</v>
      </c>
      <c r="L18" s="12">
        <f t="shared" si="21"/>
        <v>1.5404502854680598E-2</v>
      </c>
      <c r="M18" s="12">
        <f t="shared" si="21"/>
        <v>1.3364387511783952E-2</v>
      </c>
      <c r="N18" s="12">
        <f t="shared" si="21"/>
        <v>1.1646684609738195E-2</v>
      </c>
      <c r="O18" s="12">
        <f t="shared" si="21"/>
        <v>6.1100391744138447E-3</v>
      </c>
      <c r="P18" s="12">
        <f t="shared" si="21"/>
        <v>4.261563511367519E-3</v>
      </c>
      <c r="Q18" s="12">
        <f t="shared" si="21"/>
        <v>4.0593010942463828E-3</v>
      </c>
      <c r="R18" s="12">
        <f t="shared" si="21"/>
        <v>3.2618511679314201E-3</v>
      </c>
      <c r="S18" s="12">
        <f t="shared" si="21"/>
        <v>1.6720078027030794E-3</v>
      </c>
      <c r="T18" s="12">
        <f t="shared" si="21"/>
        <v>1.2773941160033532E-3</v>
      </c>
      <c r="U18" s="12">
        <f t="shared" si="21"/>
        <v>1.3397183740949776E-3</v>
      </c>
    </row>
    <row r="20" spans="1:24">
      <c r="A20" s="9" t="s">
        <v>71</v>
      </c>
      <c r="B20" s="17">
        <f t="shared" ref="B20:T20" si="22">SUM(B5,B8,B11,B14,B17)</f>
        <v>3088.333333333333</v>
      </c>
      <c r="C20" s="17">
        <f t="shared" si="22"/>
        <v>3603.9999999999995</v>
      </c>
      <c r="D20" s="17">
        <f t="shared" si="22"/>
        <v>4439.3333333333321</v>
      </c>
      <c r="E20" s="17">
        <f t="shared" si="22"/>
        <v>4910.6666666666661</v>
      </c>
      <c r="F20" s="17">
        <f t="shared" si="22"/>
        <v>5441.6666666666661</v>
      </c>
      <c r="G20" s="17">
        <f t="shared" si="22"/>
        <v>6225</v>
      </c>
      <c r="H20" s="17">
        <f t="shared" si="22"/>
        <v>6904.333333333333</v>
      </c>
      <c r="I20" s="17">
        <f t="shared" si="22"/>
        <v>7462.9999999999991</v>
      </c>
      <c r="J20" s="17">
        <f t="shared" si="22"/>
        <v>8073</v>
      </c>
      <c r="K20" s="17">
        <f t="shared" si="22"/>
        <v>7232</v>
      </c>
      <c r="L20" s="17">
        <f t="shared" si="22"/>
        <v>6188.666666666667</v>
      </c>
      <c r="M20" s="17">
        <f t="shared" si="22"/>
        <v>6010.9999999999991</v>
      </c>
      <c r="N20" s="17">
        <f t="shared" si="22"/>
        <v>6811.6666666666661</v>
      </c>
      <c r="O20" s="17">
        <f t="shared" si="22"/>
        <v>11402</v>
      </c>
      <c r="P20" s="17">
        <f t="shared" si="22"/>
        <v>16582.333333333332</v>
      </c>
      <c r="Q20" s="17">
        <f t="shared" si="22"/>
        <v>20775.333333333328</v>
      </c>
      <c r="R20" s="17">
        <f t="shared" si="22"/>
        <v>24730.333333333332</v>
      </c>
      <c r="S20" s="17">
        <f t="shared" si="22"/>
        <v>28707.999999999996</v>
      </c>
      <c r="T20" s="17">
        <f t="shared" si="22"/>
        <v>33401.333333333328</v>
      </c>
      <c r="U20" s="17">
        <f>SUM(U5,U8,U11,U14,U17)</f>
        <v>11693.999999999998</v>
      </c>
    </row>
    <row r="21" spans="1:24">
      <c r="A21" s="9"/>
      <c r="B21" s="17"/>
      <c r="C21" s="17"/>
      <c r="D21" s="17"/>
      <c r="E21" s="17"/>
      <c r="F21" s="17"/>
      <c r="G21" s="17"/>
      <c r="H21" s="17"/>
      <c r="I21" s="17"/>
      <c r="J21" s="17"/>
      <c r="K21" s="17"/>
      <c r="L21" s="17"/>
      <c r="M21" s="17"/>
      <c r="N21" s="17"/>
      <c r="O21" s="17"/>
      <c r="P21" s="17"/>
      <c r="Q21" s="17"/>
      <c r="W21" s="45"/>
    </row>
    <row r="22" spans="1:24">
      <c r="A22" s="1" t="s">
        <v>27</v>
      </c>
    </row>
    <row r="23" spans="1:24">
      <c r="A23" s="1"/>
      <c r="B23" s="1"/>
    </row>
    <row r="24" spans="1:24">
      <c r="A24" s="153" t="s">
        <v>45</v>
      </c>
      <c r="B24" s="153" t="s">
        <v>49</v>
      </c>
      <c r="C24" s="153" t="s">
        <v>50</v>
      </c>
      <c r="D24" s="153" t="s">
        <v>51</v>
      </c>
      <c r="E24" s="153" t="s">
        <v>52</v>
      </c>
      <c r="F24" s="153" t="s">
        <v>53</v>
      </c>
      <c r="G24" s="153" t="s">
        <v>54</v>
      </c>
      <c r="H24" s="153" t="s">
        <v>55</v>
      </c>
      <c r="I24" s="153" t="s">
        <v>56</v>
      </c>
      <c r="J24" s="153" t="s">
        <v>57</v>
      </c>
      <c r="K24" s="153" t="s">
        <v>58</v>
      </c>
      <c r="L24" s="153" t="s">
        <v>59</v>
      </c>
      <c r="M24" s="153" t="s">
        <v>60</v>
      </c>
      <c r="N24" s="153" t="s">
        <v>61</v>
      </c>
      <c r="O24" s="153" t="s">
        <v>62</v>
      </c>
      <c r="P24" s="153" t="s">
        <v>63</v>
      </c>
      <c r="Q24" s="153" t="s">
        <v>64</v>
      </c>
      <c r="R24" s="153" t="s">
        <v>65</v>
      </c>
      <c r="S24" s="153" t="s">
        <v>72</v>
      </c>
      <c r="T24" s="153" t="s">
        <v>73</v>
      </c>
      <c r="U24" s="153" t="s">
        <v>74</v>
      </c>
    </row>
    <row r="25" spans="1:24">
      <c r="A25" s="2" t="s">
        <v>66</v>
      </c>
      <c r="B25" s="10">
        <v>968</v>
      </c>
      <c r="C25" s="10">
        <v>1141</v>
      </c>
      <c r="D25" s="10">
        <v>1752</v>
      </c>
      <c r="E25" s="11">
        <v>1900</v>
      </c>
      <c r="F25" s="11">
        <v>1903</v>
      </c>
      <c r="G25" s="11">
        <v>2048</v>
      </c>
      <c r="H25" s="11">
        <v>2366</v>
      </c>
      <c r="I25" s="11">
        <v>2936</v>
      </c>
      <c r="J25" s="11">
        <v>3263</v>
      </c>
      <c r="K25" s="11">
        <v>3750</v>
      </c>
      <c r="L25" s="11">
        <v>3806</v>
      </c>
      <c r="M25" s="11">
        <v>3833</v>
      </c>
      <c r="N25" s="11">
        <v>3616</v>
      </c>
      <c r="O25" s="11">
        <v>4284</v>
      </c>
      <c r="P25" s="11">
        <v>10323</v>
      </c>
      <c r="Q25" s="48">
        <v>14514</v>
      </c>
      <c r="R25" s="11">
        <v>18404</v>
      </c>
      <c r="S25" s="40">
        <v>22563</v>
      </c>
      <c r="T25" s="40">
        <v>26311</v>
      </c>
      <c r="U25" s="40">
        <v>30800</v>
      </c>
    </row>
    <row r="26" spans="1:24">
      <c r="A26" s="37" t="s">
        <v>75</v>
      </c>
      <c r="B26" s="10"/>
      <c r="C26" s="12">
        <f>C25/B25-1</f>
        <v>0.17871900826446274</v>
      </c>
      <c r="D26" s="12">
        <f t="shared" ref="D26:S26" si="23">D25/C25-1</f>
        <v>0.5354951796669587</v>
      </c>
      <c r="E26" s="12">
        <f t="shared" si="23"/>
        <v>8.4474885844748826E-2</v>
      </c>
      <c r="F26" s="12">
        <f t="shared" si="23"/>
        <v>1.5789473684211242E-3</v>
      </c>
      <c r="G26" s="12">
        <f t="shared" si="23"/>
        <v>7.6195480819758243E-2</v>
      </c>
      <c r="H26" s="12">
        <f t="shared" si="23"/>
        <v>0.1552734375</v>
      </c>
      <c r="I26" s="12">
        <f t="shared" si="23"/>
        <v>0.24091293322062546</v>
      </c>
      <c r="J26" s="12">
        <f t="shared" si="23"/>
        <v>0.11137602179836503</v>
      </c>
      <c r="K26" s="12">
        <f t="shared" si="23"/>
        <v>0.14924915721728471</v>
      </c>
      <c r="L26" s="12">
        <f t="shared" si="23"/>
        <v>1.4933333333333243E-2</v>
      </c>
      <c r="M26" s="12">
        <f t="shared" si="23"/>
        <v>7.0940620073567384E-3</v>
      </c>
      <c r="N26" s="12">
        <f t="shared" si="23"/>
        <v>-5.6613618575528268E-2</v>
      </c>
      <c r="O26" s="12">
        <f t="shared" si="23"/>
        <v>0.18473451327433632</v>
      </c>
      <c r="P26" s="12">
        <f t="shared" si="23"/>
        <v>1.4096638655462184</v>
      </c>
      <c r="Q26" s="12">
        <f t="shared" si="23"/>
        <v>0.40598663179308336</v>
      </c>
      <c r="R26" s="12">
        <f t="shared" si="23"/>
        <v>0.2680170869505305</v>
      </c>
      <c r="S26" s="12">
        <f t="shared" si="23"/>
        <v>0.22598348185177142</v>
      </c>
      <c r="T26" s="12">
        <f t="shared" ref="T26" si="24">T25/S25-1</f>
        <v>0.16611266232327271</v>
      </c>
      <c r="U26" s="12">
        <f t="shared" ref="U26" si="25">U25/T25-1</f>
        <v>0.17061305157538675</v>
      </c>
    </row>
    <row r="27" spans="1:24">
      <c r="A27" s="37" t="s">
        <v>76</v>
      </c>
      <c r="B27" s="12">
        <f t="shared" ref="B27:U27" si="26">B25/B$45</f>
        <v>0.3117552334943639</v>
      </c>
      <c r="C27" s="12">
        <f t="shared" si="26"/>
        <v>0.37045454545454548</v>
      </c>
      <c r="D27" s="12">
        <f t="shared" si="26"/>
        <v>0.45318158303155714</v>
      </c>
      <c r="E27" s="12">
        <f t="shared" si="26"/>
        <v>0.40203131612357174</v>
      </c>
      <c r="F27" s="12">
        <f t="shared" si="26"/>
        <v>0.38037177693383972</v>
      </c>
      <c r="G27" s="12">
        <f t="shared" si="26"/>
        <v>0.3617735382441265</v>
      </c>
      <c r="H27" s="12">
        <f t="shared" si="26"/>
        <v>0.36360842169970803</v>
      </c>
      <c r="I27" s="12">
        <f t="shared" si="26"/>
        <v>0.41334647332113189</v>
      </c>
      <c r="J27" s="12">
        <f t="shared" si="26"/>
        <v>0.42692659950281303</v>
      </c>
      <c r="K27" s="12">
        <f t="shared" si="26"/>
        <v>0.45246138996138996</v>
      </c>
      <c r="L27" s="12">
        <f t="shared" si="26"/>
        <v>0.56772076372315039</v>
      </c>
      <c r="M27" s="12">
        <f t="shared" si="26"/>
        <v>0.64626538526386779</v>
      </c>
      <c r="N27" s="12">
        <f t="shared" si="26"/>
        <v>0.59758717567344244</v>
      </c>
      <c r="O27" s="12">
        <f t="shared" si="26"/>
        <v>0.59566184649610676</v>
      </c>
      <c r="P27" s="12">
        <f t="shared" si="26"/>
        <v>0.76427037832235134</v>
      </c>
      <c r="Q27" s="12">
        <f t="shared" si="26"/>
        <v>0.80099337748344368</v>
      </c>
      <c r="R27" s="12">
        <f t="shared" si="26"/>
        <v>0.8326471519703208</v>
      </c>
      <c r="S27" s="12">
        <f t="shared" si="26"/>
        <v>0.86634157579480875</v>
      </c>
      <c r="T27" s="12">
        <f t="shared" si="26"/>
        <v>0.87586551264980028</v>
      </c>
      <c r="U27" s="12">
        <f t="shared" si="26"/>
        <v>0.8779431047260704</v>
      </c>
    </row>
    <row r="29" spans="1:24">
      <c r="A29" s="2" t="s">
        <v>67</v>
      </c>
      <c r="B29" s="10">
        <v>1491</v>
      </c>
      <c r="C29" s="10">
        <v>1339</v>
      </c>
      <c r="D29" s="10">
        <v>1654</v>
      </c>
      <c r="E29" s="11">
        <v>2271</v>
      </c>
      <c r="F29" s="11">
        <v>2495</v>
      </c>
      <c r="G29" s="11">
        <v>2760</v>
      </c>
      <c r="H29" s="11">
        <v>3061</v>
      </c>
      <c r="I29" s="11">
        <v>3221</v>
      </c>
      <c r="J29" s="11">
        <v>3420</v>
      </c>
      <c r="K29" s="11">
        <v>3620</v>
      </c>
      <c r="L29" s="11">
        <v>2042</v>
      </c>
      <c r="M29" s="11">
        <v>1574</v>
      </c>
      <c r="N29" s="11">
        <v>1831</v>
      </c>
      <c r="O29" s="11">
        <v>2240</v>
      </c>
      <c r="P29" s="11">
        <v>2486</v>
      </c>
      <c r="Q29" s="11">
        <v>2856</v>
      </c>
      <c r="R29" s="11">
        <v>2865</v>
      </c>
      <c r="S29" s="40">
        <v>2649</v>
      </c>
      <c r="T29" s="31">
        <v>2895</v>
      </c>
      <c r="U29" s="11">
        <v>3300</v>
      </c>
    </row>
    <row r="30" spans="1:24">
      <c r="A30" s="37" t="s">
        <v>75</v>
      </c>
      <c r="B30" s="10"/>
      <c r="C30" s="12">
        <f t="shared" ref="C30:S30" si="27">C29/B29-1</f>
        <v>-0.10194500335345402</v>
      </c>
      <c r="D30" s="12">
        <f t="shared" si="27"/>
        <v>0.23525018670649733</v>
      </c>
      <c r="E30" s="12">
        <f t="shared" si="27"/>
        <v>0.37303506650544138</v>
      </c>
      <c r="F30" s="12">
        <f t="shared" si="27"/>
        <v>9.8634962571554352E-2</v>
      </c>
      <c r="G30" s="12">
        <f t="shared" si="27"/>
        <v>0.10621242484969939</v>
      </c>
      <c r="H30" s="12">
        <f t="shared" si="27"/>
        <v>0.10905797101449277</v>
      </c>
      <c r="I30" s="12">
        <f t="shared" si="27"/>
        <v>5.2270499836654771E-2</v>
      </c>
      <c r="J30" s="12">
        <f t="shared" si="27"/>
        <v>6.1782055262340929E-2</v>
      </c>
      <c r="K30" s="12">
        <f t="shared" si="27"/>
        <v>5.8479532163742798E-2</v>
      </c>
      <c r="L30" s="12">
        <f t="shared" si="27"/>
        <v>-0.43591160220994474</v>
      </c>
      <c r="M30" s="12">
        <f t="shared" si="27"/>
        <v>-0.2291870714985309</v>
      </c>
      <c r="N30" s="12">
        <f t="shared" si="27"/>
        <v>0.1632782719186785</v>
      </c>
      <c r="O30" s="12">
        <f t="shared" si="27"/>
        <v>0.22337520480611683</v>
      </c>
      <c r="P30" s="12">
        <f t="shared" si="27"/>
        <v>0.10982142857142851</v>
      </c>
      <c r="Q30" s="12">
        <f t="shared" si="27"/>
        <v>0.14883346741753822</v>
      </c>
      <c r="R30" s="12">
        <f>R29/Q29-1</f>
        <v>3.1512605042016695E-3</v>
      </c>
      <c r="S30" s="12">
        <f t="shared" si="27"/>
        <v>-7.5392670157068076E-2</v>
      </c>
      <c r="T30" s="12">
        <f t="shared" ref="T30" si="28">T29/S29-1</f>
        <v>9.2865232163080513E-2</v>
      </c>
      <c r="U30" s="12">
        <f t="shared" ref="U30" si="29">U29/T29-1</f>
        <v>0.13989637305699487</v>
      </c>
      <c r="X30" s="8"/>
    </row>
    <row r="31" spans="1:24">
      <c r="A31" s="37" t="s">
        <v>76</v>
      </c>
      <c r="B31" s="12">
        <f t="shared" ref="B31:U31" si="30">B29/B$45</f>
        <v>0.48019323671497582</v>
      </c>
      <c r="C31" s="12">
        <f t="shared" si="30"/>
        <v>0.43474025974025976</v>
      </c>
      <c r="D31" s="12">
        <f t="shared" si="30"/>
        <v>0.42783238489394726</v>
      </c>
      <c r="E31" s="12">
        <f t="shared" si="30"/>
        <v>0.48053322048243757</v>
      </c>
      <c r="F31" s="12">
        <f t="shared" si="30"/>
        <v>0.49870077953228065</v>
      </c>
      <c r="G31" s="12">
        <f t="shared" si="30"/>
        <v>0.48754636989931105</v>
      </c>
      <c r="H31" s="12">
        <f t="shared" si="30"/>
        <v>0.47041647456585217</v>
      </c>
      <c r="I31" s="12">
        <f t="shared" si="30"/>
        <v>0.45347036463466139</v>
      </c>
      <c r="J31" s="12">
        <f t="shared" si="30"/>
        <v>0.44746827162109121</v>
      </c>
      <c r="K31" s="12">
        <f t="shared" si="30"/>
        <v>0.43677606177606176</v>
      </c>
      <c r="L31" s="12">
        <f t="shared" si="30"/>
        <v>0.3045942720763723</v>
      </c>
      <c r="M31" s="12">
        <f t="shared" si="30"/>
        <v>0.26538526386781319</v>
      </c>
      <c r="N31" s="12">
        <f t="shared" si="30"/>
        <v>0.30259461246075031</v>
      </c>
      <c r="O31" s="12">
        <f t="shared" si="30"/>
        <v>0.31145717463848721</v>
      </c>
      <c r="P31" s="12">
        <f t="shared" si="30"/>
        <v>0.18405271340786258</v>
      </c>
      <c r="Q31" s="12">
        <f t="shared" si="30"/>
        <v>0.15761589403973511</v>
      </c>
      <c r="R31" s="12">
        <f t="shared" si="30"/>
        <v>0.12962041351852691</v>
      </c>
      <c r="S31" s="12">
        <f t="shared" si="30"/>
        <v>0.10171248656120412</v>
      </c>
      <c r="T31" s="12">
        <f t="shared" si="30"/>
        <v>9.6371504660452731E-2</v>
      </c>
      <c r="U31" s="12">
        <f t="shared" si="30"/>
        <v>9.4065332649221817E-2</v>
      </c>
    </row>
    <row r="33" spans="1:21">
      <c r="A33" s="2" t="s">
        <v>68</v>
      </c>
      <c r="B33" s="10">
        <v>331</v>
      </c>
      <c r="C33" s="10">
        <v>307</v>
      </c>
      <c r="D33" s="10">
        <v>203</v>
      </c>
      <c r="E33" s="11">
        <v>236</v>
      </c>
      <c r="F33" s="11">
        <v>307</v>
      </c>
      <c r="G33" s="11">
        <v>372</v>
      </c>
      <c r="H33" s="11">
        <v>519</v>
      </c>
      <c r="I33" s="11">
        <v>577</v>
      </c>
      <c r="J33" s="11">
        <v>643</v>
      </c>
      <c r="K33" s="11">
        <v>622</v>
      </c>
      <c r="L33" s="11">
        <v>496</v>
      </c>
      <c r="M33" s="11">
        <v>200</v>
      </c>
      <c r="N33" s="11">
        <v>226</v>
      </c>
      <c r="O33" s="11">
        <v>295</v>
      </c>
      <c r="P33" s="11">
        <v>379</v>
      </c>
      <c r="Q33" s="11">
        <v>416</v>
      </c>
      <c r="R33" s="11">
        <v>463</v>
      </c>
      <c r="S33" s="11">
        <v>427</v>
      </c>
      <c r="T33" s="11">
        <v>454</v>
      </c>
      <c r="U33" s="11">
        <v>486</v>
      </c>
    </row>
    <row r="34" spans="1:21">
      <c r="A34" s="37" t="s">
        <v>75</v>
      </c>
      <c r="B34" s="10"/>
      <c r="C34" s="12">
        <f t="shared" ref="C34:S34" si="31">C33/B33-1</f>
        <v>-7.2507552870090586E-2</v>
      </c>
      <c r="D34" s="12">
        <f t="shared" si="31"/>
        <v>-0.33876221498371339</v>
      </c>
      <c r="E34" s="12">
        <f t="shared" si="31"/>
        <v>0.16256157635467972</v>
      </c>
      <c r="F34" s="12">
        <f t="shared" si="31"/>
        <v>0.30084745762711873</v>
      </c>
      <c r="G34" s="12">
        <f t="shared" si="31"/>
        <v>0.21172638436482094</v>
      </c>
      <c r="H34" s="12">
        <f t="shared" si="31"/>
        <v>0.39516129032258074</v>
      </c>
      <c r="I34" s="12">
        <f t="shared" si="31"/>
        <v>0.11175337186897871</v>
      </c>
      <c r="J34" s="12">
        <f t="shared" si="31"/>
        <v>0.11438474870017323</v>
      </c>
      <c r="K34" s="12">
        <f t="shared" si="31"/>
        <v>-3.2659409020217689E-2</v>
      </c>
      <c r="L34" s="12">
        <f t="shared" si="31"/>
        <v>-0.202572347266881</v>
      </c>
      <c r="M34" s="12">
        <f t="shared" si="31"/>
        <v>-0.59677419354838712</v>
      </c>
      <c r="N34" s="12">
        <f t="shared" si="31"/>
        <v>0.12999999999999989</v>
      </c>
      <c r="O34" s="12">
        <f t="shared" si="31"/>
        <v>0.30530973451327426</v>
      </c>
      <c r="P34" s="12">
        <f t="shared" si="31"/>
        <v>0.28474576271186436</v>
      </c>
      <c r="Q34" s="12">
        <f t="shared" si="31"/>
        <v>9.7625329815303363E-2</v>
      </c>
      <c r="R34" s="12">
        <f t="shared" si="31"/>
        <v>0.11298076923076916</v>
      </c>
      <c r="S34" s="12">
        <f t="shared" si="31"/>
        <v>-7.7753779697624203E-2</v>
      </c>
      <c r="T34" s="12">
        <f t="shared" ref="T34" si="32">T33/S33-1</f>
        <v>6.3231850117096089E-2</v>
      </c>
      <c r="U34" s="12">
        <f t="shared" ref="U34" si="33">U33/T33-1</f>
        <v>7.0484581497797461E-2</v>
      </c>
    </row>
    <row r="35" spans="1:21">
      <c r="A35" s="37" t="s">
        <v>76</v>
      </c>
      <c r="B35" s="12">
        <f t="shared" ref="B35:U35" si="34">B33/B$45</f>
        <v>0.10660225442834138</v>
      </c>
      <c r="C35" s="12">
        <f t="shared" si="34"/>
        <v>9.9675324675324681E-2</v>
      </c>
      <c r="D35" s="12">
        <f t="shared" si="34"/>
        <v>5.2509053285049144E-2</v>
      </c>
      <c r="E35" s="12">
        <f t="shared" si="34"/>
        <v>4.9936521371138382E-2</v>
      </c>
      <c r="F35" s="12">
        <f t="shared" si="34"/>
        <v>6.1363182090745552E-2</v>
      </c>
      <c r="G35" s="12">
        <f t="shared" si="34"/>
        <v>6.5712771595124536E-2</v>
      </c>
      <c r="H35" s="12">
        <f t="shared" si="34"/>
        <v>7.9760258183494692E-2</v>
      </c>
      <c r="I35" s="12">
        <f t="shared" si="34"/>
        <v>8.1233281711952696E-2</v>
      </c>
      <c r="J35" s="12">
        <f t="shared" si="34"/>
        <v>8.4129268611801644E-2</v>
      </c>
      <c r="K35" s="12">
        <f t="shared" si="34"/>
        <v>7.5048262548262551E-2</v>
      </c>
      <c r="L35" s="12">
        <f t="shared" si="34"/>
        <v>7.3985680190930783E-2</v>
      </c>
      <c r="M35" s="12">
        <f t="shared" si="34"/>
        <v>3.3721126285617943E-2</v>
      </c>
      <c r="N35" s="12">
        <f t="shared" si="34"/>
        <v>3.7349198479590152E-2</v>
      </c>
      <c r="O35" s="12">
        <f t="shared" si="34"/>
        <v>4.1017797552836487E-2</v>
      </c>
      <c r="P35" s="12">
        <f t="shared" si="34"/>
        <v>2.8059524690901016E-2</v>
      </c>
      <c r="Q35" s="12">
        <f t="shared" si="34"/>
        <v>2.2958057395143488E-2</v>
      </c>
      <c r="R35" s="12">
        <f t="shared" si="34"/>
        <v>2.0947382708229653E-2</v>
      </c>
      <c r="S35" s="12">
        <f t="shared" si="34"/>
        <v>1.6395330978344339E-2</v>
      </c>
      <c r="T35" s="12">
        <f t="shared" si="34"/>
        <v>1.511318242343542E-2</v>
      </c>
      <c r="U35" s="12">
        <f t="shared" si="34"/>
        <v>1.3853258081067214E-2</v>
      </c>
    </row>
    <row r="37" spans="1:21">
      <c r="A37" s="2" t="s">
        <v>69</v>
      </c>
      <c r="B37" s="10">
        <v>163</v>
      </c>
      <c r="C37" s="10">
        <v>155</v>
      </c>
      <c r="D37" s="10">
        <v>111</v>
      </c>
      <c r="E37" s="11">
        <v>125</v>
      </c>
      <c r="F37" s="11">
        <v>145</v>
      </c>
      <c r="G37" s="11">
        <v>154</v>
      </c>
      <c r="H37" s="11">
        <v>152</v>
      </c>
      <c r="I37" s="11">
        <v>135</v>
      </c>
      <c r="J37" s="11">
        <v>125</v>
      </c>
      <c r="K37" s="11">
        <v>138</v>
      </c>
      <c r="L37" s="11">
        <v>220</v>
      </c>
      <c r="M37" s="11">
        <v>251</v>
      </c>
      <c r="N37" s="11">
        <v>294</v>
      </c>
      <c r="O37" s="11">
        <v>296</v>
      </c>
      <c r="P37" s="11">
        <v>253</v>
      </c>
      <c r="Q37" s="11">
        <v>261</v>
      </c>
      <c r="R37" s="11">
        <v>281</v>
      </c>
      <c r="S37" s="48">
        <v>329</v>
      </c>
      <c r="T37" s="11">
        <v>346</v>
      </c>
      <c r="U37" s="11">
        <v>449</v>
      </c>
    </row>
    <row r="38" spans="1:21">
      <c r="A38" s="37" t="s">
        <v>75</v>
      </c>
      <c r="B38" s="10"/>
      <c r="C38" s="12">
        <f t="shared" ref="C38:Q38" si="35">C37/B37-1</f>
        <v>-4.9079754601227044E-2</v>
      </c>
      <c r="D38" s="12">
        <f t="shared" si="35"/>
        <v>-0.28387096774193543</v>
      </c>
      <c r="E38" s="12">
        <f t="shared" si="35"/>
        <v>0.12612612612612617</v>
      </c>
      <c r="F38" s="12">
        <f t="shared" si="35"/>
        <v>0.15999999999999992</v>
      </c>
      <c r="G38" s="12">
        <f t="shared" si="35"/>
        <v>6.2068965517241281E-2</v>
      </c>
      <c r="H38" s="12">
        <f t="shared" si="35"/>
        <v>-1.2987012987012991E-2</v>
      </c>
      <c r="I38" s="12">
        <f t="shared" si="35"/>
        <v>-0.11184210526315785</v>
      </c>
      <c r="J38" s="12">
        <f t="shared" si="35"/>
        <v>-7.407407407407407E-2</v>
      </c>
      <c r="K38" s="12">
        <f t="shared" si="35"/>
        <v>0.10400000000000009</v>
      </c>
      <c r="L38" s="12">
        <f t="shared" si="35"/>
        <v>0.59420289855072461</v>
      </c>
      <c r="M38" s="12">
        <f t="shared" si="35"/>
        <v>0.14090909090909087</v>
      </c>
      <c r="N38" s="12">
        <f t="shared" si="35"/>
        <v>0.17131474103585664</v>
      </c>
      <c r="O38" s="12">
        <f t="shared" si="35"/>
        <v>6.8027210884353817E-3</v>
      </c>
      <c r="P38" s="12">
        <f t="shared" si="35"/>
        <v>-0.14527027027027029</v>
      </c>
      <c r="Q38" s="12">
        <f t="shared" si="35"/>
        <v>3.1620553359683834E-2</v>
      </c>
      <c r="R38" s="12">
        <f>R37/Q37-1</f>
        <v>7.6628352490421436E-2</v>
      </c>
      <c r="S38" s="12">
        <f>S37/R37-1</f>
        <v>0.17081850533807819</v>
      </c>
      <c r="T38" s="12">
        <f t="shared" ref="T38:U38" si="36">T37/S37-1</f>
        <v>5.1671732522796443E-2</v>
      </c>
      <c r="U38" s="12">
        <f t="shared" si="36"/>
        <v>0.29768786127167624</v>
      </c>
    </row>
    <row r="39" spans="1:21">
      <c r="A39" s="37" t="s">
        <v>76</v>
      </c>
      <c r="B39" s="12">
        <f t="shared" ref="B39:U39" si="37">B37/B$45</f>
        <v>5.2495974235104673E-2</v>
      </c>
      <c r="C39" s="12">
        <f t="shared" si="37"/>
        <v>5.0324675324675328E-2</v>
      </c>
      <c r="D39" s="12">
        <f t="shared" si="37"/>
        <v>2.8711846870150024E-2</v>
      </c>
      <c r="E39" s="12">
        <f t="shared" si="37"/>
        <v>2.6449428692340245E-2</v>
      </c>
      <c r="F39" s="12">
        <f t="shared" si="37"/>
        <v>2.8982610433739755E-2</v>
      </c>
      <c r="G39" s="12">
        <f t="shared" si="37"/>
        <v>2.7203674262497791E-2</v>
      </c>
      <c r="H39" s="12">
        <f t="shared" si="37"/>
        <v>2.3359459044106346E-2</v>
      </c>
      <c r="I39" s="12">
        <f t="shared" si="37"/>
        <v>1.9006053780092919E-2</v>
      </c>
      <c r="J39" s="12">
        <f t="shared" si="37"/>
        <v>1.635483448907497E-2</v>
      </c>
      <c r="K39" s="12">
        <f t="shared" si="37"/>
        <v>1.6650579150579152E-2</v>
      </c>
      <c r="L39" s="12">
        <f t="shared" si="37"/>
        <v>3.2816229116945109E-2</v>
      </c>
      <c r="M39" s="12">
        <f t="shared" si="37"/>
        <v>4.2320013488450513E-2</v>
      </c>
      <c r="N39" s="12">
        <f t="shared" si="37"/>
        <v>4.8587010411502228E-2</v>
      </c>
      <c r="O39" s="12">
        <f t="shared" si="37"/>
        <v>4.1156840934371525E-2</v>
      </c>
      <c r="P39" s="12">
        <f t="shared" si="37"/>
        <v>1.8731028355667433E-2</v>
      </c>
      <c r="Q39" s="12">
        <f t="shared" si="37"/>
        <v>1.4403973509933774E-2</v>
      </c>
      <c r="R39" s="12">
        <f t="shared" si="37"/>
        <v>1.2713206352078904E-2</v>
      </c>
      <c r="S39" s="12">
        <f t="shared" si="37"/>
        <v>1.2632468130855475E-2</v>
      </c>
      <c r="T39" s="12">
        <f t="shared" si="37"/>
        <v>1.1517976031957391E-2</v>
      </c>
      <c r="U39" s="12">
        <f t="shared" si="37"/>
        <v>1.2798586169545635E-2</v>
      </c>
    </row>
    <row r="41" spans="1:21">
      <c r="A41" s="2" t="s">
        <v>70</v>
      </c>
      <c r="B41" s="10">
        <v>152</v>
      </c>
      <c r="C41" s="10">
        <v>138</v>
      </c>
      <c r="D41" s="10">
        <v>146</v>
      </c>
      <c r="E41" s="11">
        <v>194</v>
      </c>
      <c r="F41" s="11">
        <v>153</v>
      </c>
      <c r="G41" s="11">
        <v>327</v>
      </c>
      <c r="H41" s="11">
        <v>409</v>
      </c>
      <c r="I41" s="11">
        <v>234</v>
      </c>
      <c r="J41" s="11">
        <v>192</v>
      </c>
      <c r="K41" s="11">
        <v>158</v>
      </c>
      <c r="L41" s="11">
        <v>140</v>
      </c>
      <c r="M41" s="11">
        <v>73</v>
      </c>
      <c r="N41" s="11">
        <v>84</v>
      </c>
      <c r="O41" s="11">
        <v>77</v>
      </c>
      <c r="P41" s="11">
        <v>66</v>
      </c>
      <c r="Q41" s="11">
        <v>73</v>
      </c>
      <c r="R41" s="11">
        <v>90</v>
      </c>
      <c r="S41" s="48">
        <v>76</v>
      </c>
      <c r="T41" s="11">
        <v>34</v>
      </c>
      <c r="U41" s="11">
        <v>47</v>
      </c>
    </row>
    <row r="42" spans="1:21">
      <c r="A42" s="37" t="s">
        <v>75</v>
      </c>
      <c r="B42" s="10"/>
      <c r="C42" s="12">
        <f t="shared" ref="C42:S42" si="38">C41/B41-1</f>
        <v>-9.210526315789469E-2</v>
      </c>
      <c r="D42" s="12">
        <f t="shared" si="38"/>
        <v>5.7971014492753659E-2</v>
      </c>
      <c r="E42" s="12">
        <f t="shared" si="38"/>
        <v>0.32876712328767121</v>
      </c>
      <c r="F42" s="12">
        <f t="shared" si="38"/>
        <v>-0.21134020618556704</v>
      </c>
      <c r="G42" s="12">
        <f t="shared" si="38"/>
        <v>1.1372549019607843</v>
      </c>
      <c r="H42" s="12">
        <f t="shared" si="38"/>
        <v>0.25076452599388377</v>
      </c>
      <c r="I42" s="12">
        <f t="shared" si="38"/>
        <v>-0.42787286063569685</v>
      </c>
      <c r="J42" s="12">
        <f t="shared" si="38"/>
        <v>-0.17948717948717952</v>
      </c>
      <c r="K42" s="12">
        <f t="shared" si="38"/>
        <v>-0.17708333333333337</v>
      </c>
      <c r="L42" s="12">
        <f t="shared" si="38"/>
        <v>-0.11392405063291144</v>
      </c>
      <c r="M42" s="12">
        <f t="shared" si="38"/>
        <v>-0.47857142857142854</v>
      </c>
      <c r="N42" s="12">
        <f t="shared" si="38"/>
        <v>0.15068493150684925</v>
      </c>
      <c r="O42" s="12">
        <f t="shared" si="38"/>
        <v>-8.333333333333337E-2</v>
      </c>
      <c r="P42" s="12">
        <f t="shared" si="38"/>
        <v>-0.1428571428571429</v>
      </c>
      <c r="Q42" s="12">
        <f t="shared" si="38"/>
        <v>0.10606060606060597</v>
      </c>
      <c r="R42" s="12">
        <f t="shared" si="38"/>
        <v>0.23287671232876717</v>
      </c>
      <c r="S42" s="12">
        <f t="shared" si="38"/>
        <v>-0.15555555555555556</v>
      </c>
      <c r="T42" s="12">
        <f t="shared" ref="T42" si="39">T41/S41-1</f>
        <v>-0.55263157894736836</v>
      </c>
      <c r="U42" s="12">
        <f t="shared" ref="U42" si="40">U41/T41-1</f>
        <v>0.38235294117647056</v>
      </c>
    </row>
    <row r="43" spans="1:21">
      <c r="A43" s="37" t="s">
        <v>76</v>
      </c>
      <c r="B43" s="12">
        <f t="shared" ref="B43:U43" si="41">B41/B$45</f>
        <v>4.8953301127214167E-2</v>
      </c>
      <c r="C43" s="12">
        <f t="shared" si="41"/>
        <v>4.4805194805194806E-2</v>
      </c>
      <c r="D43" s="12">
        <f t="shared" si="41"/>
        <v>3.7765131919296431E-2</v>
      </c>
      <c r="E43" s="12">
        <f t="shared" si="41"/>
        <v>4.1049513330512058E-2</v>
      </c>
      <c r="F43" s="12">
        <f t="shared" si="41"/>
        <v>3.0581651009394362E-2</v>
      </c>
      <c r="G43" s="12">
        <f t="shared" si="41"/>
        <v>5.7763645998940114E-2</v>
      </c>
      <c r="H43" s="12">
        <f t="shared" si="41"/>
        <v>6.2855386506838792E-2</v>
      </c>
      <c r="I43" s="12">
        <f t="shared" si="41"/>
        <v>3.2943826552161055E-2</v>
      </c>
      <c r="J43" s="12">
        <f t="shared" si="41"/>
        <v>2.5121025775219154E-2</v>
      </c>
      <c r="K43" s="12">
        <f t="shared" si="41"/>
        <v>1.9063706563706564E-2</v>
      </c>
      <c r="L43" s="12">
        <f t="shared" si="41"/>
        <v>2.0883054892601432E-2</v>
      </c>
      <c r="M43" s="12">
        <f t="shared" si="41"/>
        <v>1.2308211094250548E-2</v>
      </c>
      <c r="N43" s="12">
        <f t="shared" si="41"/>
        <v>1.3882002974714923E-2</v>
      </c>
      <c r="O43" s="12">
        <f t="shared" si="41"/>
        <v>1.0706340378197997E-2</v>
      </c>
      <c r="P43" s="12">
        <f t="shared" si="41"/>
        <v>4.8863552232175905E-3</v>
      </c>
      <c r="Q43" s="12">
        <f t="shared" si="41"/>
        <v>4.0286975717439295E-3</v>
      </c>
      <c r="R43" s="12">
        <f t="shared" si="41"/>
        <v>4.0718454508437765E-3</v>
      </c>
      <c r="S43" s="12">
        <f t="shared" si="41"/>
        <v>2.9181385347872833E-3</v>
      </c>
      <c r="T43" s="12">
        <f t="shared" si="41"/>
        <v>1.1318242343541945E-3</v>
      </c>
      <c r="U43" s="12">
        <f t="shared" si="41"/>
        <v>1.3397183740949774E-3</v>
      </c>
    </row>
    <row r="45" spans="1:21">
      <c r="A45" s="9" t="s">
        <v>71</v>
      </c>
      <c r="B45" s="13">
        <f t="shared" ref="B45:Q45" si="42">SUM(B25,B29,B33,B37,B41)</f>
        <v>3105</v>
      </c>
      <c r="C45" s="13">
        <f t="shared" si="42"/>
        <v>3080</v>
      </c>
      <c r="D45" s="13">
        <f t="shared" si="42"/>
        <v>3866</v>
      </c>
      <c r="E45" s="14">
        <f t="shared" si="42"/>
        <v>4726</v>
      </c>
      <c r="F45" s="14">
        <f t="shared" si="42"/>
        <v>5003</v>
      </c>
      <c r="G45" s="14">
        <f t="shared" si="42"/>
        <v>5661</v>
      </c>
      <c r="H45" s="14">
        <f t="shared" si="42"/>
        <v>6507</v>
      </c>
      <c r="I45" s="14">
        <f t="shared" si="42"/>
        <v>7103</v>
      </c>
      <c r="J45" s="14">
        <f t="shared" si="42"/>
        <v>7643</v>
      </c>
      <c r="K45" s="14">
        <f t="shared" si="42"/>
        <v>8288</v>
      </c>
      <c r="L45" s="14">
        <f t="shared" si="42"/>
        <v>6704</v>
      </c>
      <c r="M45" s="14">
        <f t="shared" si="42"/>
        <v>5931</v>
      </c>
      <c r="N45" s="14">
        <f t="shared" si="42"/>
        <v>6051</v>
      </c>
      <c r="O45" s="14">
        <f t="shared" si="42"/>
        <v>7192</v>
      </c>
      <c r="P45" s="14">
        <f t="shared" si="42"/>
        <v>13507</v>
      </c>
      <c r="Q45" s="14">
        <f t="shared" si="42"/>
        <v>18120</v>
      </c>
      <c r="R45" s="14">
        <f>SUM(R25,R29,R33,R37,R41)</f>
        <v>22103</v>
      </c>
      <c r="S45" s="14">
        <f>SUM(S25,S29,S33,S37,S41)</f>
        <v>26044</v>
      </c>
      <c r="T45" s="14">
        <f t="shared" ref="T45:U45" si="43">SUM(T25,T29,T33,T37,T41)</f>
        <v>30040</v>
      </c>
      <c r="U45" s="14">
        <f t="shared" si="43"/>
        <v>35082</v>
      </c>
    </row>
    <row r="46" spans="1:21">
      <c r="A46" s="2" t="s">
        <v>75</v>
      </c>
      <c r="B46" s="15"/>
      <c r="C46" s="12">
        <f t="shared" ref="C46:Q46" si="44">C45/B45-1</f>
        <v>-8.0515297906602612E-3</v>
      </c>
      <c r="D46" s="12">
        <f t="shared" si="44"/>
        <v>0.2551948051948052</v>
      </c>
      <c r="E46" s="12">
        <f t="shared" si="44"/>
        <v>0.22245214692188298</v>
      </c>
      <c r="F46" s="12">
        <f t="shared" si="44"/>
        <v>5.8611933982225972E-2</v>
      </c>
      <c r="G46" s="12">
        <f t="shared" si="44"/>
        <v>0.13152108734759138</v>
      </c>
      <c r="H46" s="12">
        <f t="shared" si="44"/>
        <v>0.14944356120826718</v>
      </c>
      <c r="I46" s="12">
        <f t="shared" si="44"/>
        <v>9.1593668357153879E-2</v>
      </c>
      <c r="J46" s="12">
        <f t="shared" si="44"/>
        <v>7.6024215120371608E-2</v>
      </c>
      <c r="K46" s="12">
        <f t="shared" si="44"/>
        <v>8.4390945963626951E-2</v>
      </c>
      <c r="L46" s="12">
        <f t="shared" si="44"/>
        <v>-0.19111969111969107</v>
      </c>
      <c r="M46" s="12">
        <f t="shared" si="44"/>
        <v>-0.11530429594272074</v>
      </c>
      <c r="N46" s="12">
        <f t="shared" si="44"/>
        <v>2.0232675771370667E-2</v>
      </c>
      <c r="O46" s="12">
        <f t="shared" si="44"/>
        <v>0.1885638737398776</v>
      </c>
      <c r="P46" s="12">
        <f t="shared" si="44"/>
        <v>0.87805895439377091</v>
      </c>
      <c r="Q46" s="12">
        <f t="shared" si="44"/>
        <v>0.34152661582882948</v>
      </c>
      <c r="R46" s="12">
        <f>R45/Q45-1</f>
        <v>0.21981236203090515</v>
      </c>
      <c r="S46" s="12">
        <f>S45/R45-1</f>
        <v>0.17830158801972584</v>
      </c>
      <c r="T46" s="12">
        <f t="shared" ref="T46:U46" si="45">T45/S45-1</f>
        <v>0.1534326524343419</v>
      </c>
      <c r="U46" s="12">
        <f t="shared" si="45"/>
        <v>0.16784287616511318</v>
      </c>
    </row>
    <row r="48" spans="1:21">
      <c r="A48" s="2" t="s">
        <v>70</v>
      </c>
      <c r="B48" t="s">
        <v>77</v>
      </c>
    </row>
  </sheetData>
  <phoneticPr fontId="7"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1A028-7668-4433-90E3-21FA98D03955}">
  <dimension ref="A1:V35"/>
  <sheetViews>
    <sheetView showGridLines="0" zoomScaleNormal="100" workbookViewId="0"/>
  </sheetViews>
  <sheetFormatPr defaultRowHeight="15"/>
  <cols>
    <col min="1" max="1" width="49.28515625" bestFit="1" customWidth="1"/>
    <col min="2" max="20" width="11" bestFit="1" customWidth="1"/>
    <col min="21" max="22" width="11.140625" bestFit="1" customWidth="1"/>
  </cols>
  <sheetData>
    <row r="1" spans="1:22" ht="8.25" customHeight="1"/>
    <row r="2" spans="1:22" ht="18" customHeight="1">
      <c r="A2" s="161" t="s">
        <v>29</v>
      </c>
      <c r="L2" s="102"/>
      <c r="M2" s="102"/>
      <c r="N2" s="102"/>
      <c r="O2" s="103"/>
      <c r="P2" s="103"/>
      <c r="Q2" s="103"/>
      <c r="R2" s="103"/>
      <c r="S2" s="103"/>
    </row>
    <row r="3" spans="1:22">
      <c r="A3" s="5" t="s">
        <v>78</v>
      </c>
      <c r="L3" s="101"/>
      <c r="M3" s="101"/>
      <c r="N3" s="101"/>
      <c r="O3" s="48"/>
      <c r="P3" s="48"/>
      <c r="Q3" s="48"/>
      <c r="R3" s="48"/>
      <c r="S3" s="48"/>
    </row>
    <row r="5" spans="1:22">
      <c r="A5" s="138"/>
      <c r="B5" s="88"/>
      <c r="C5" s="88"/>
      <c r="D5" s="88"/>
      <c r="E5" s="88"/>
      <c r="F5" s="88"/>
      <c r="H5" s="88"/>
      <c r="I5" s="88"/>
      <c r="J5" s="88"/>
    </row>
    <row r="6" spans="1:22">
      <c r="A6" t="s">
        <v>79</v>
      </c>
      <c r="B6" s="137" t="s">
        <v>49</v>
      </c>
      <c r="C6" s="137" t="s">
        <v>50</v>
      </c>
      <c r="D6" s="137" t="s">
        <v>51</v>
      </c>
      <c r="E6" s="137" t="s">
        <v>52</v>
      </c>
      <c r="F6" s="137" t="s">
        <v>53</v>
      </c>
      <c r="G6" s="140" t="s">
        <v>54</v>
      </c>
      <c r="H6" s="137" t="s">
        <v>55</v>
      </c>
      <c r="I6" s="137" t="s">
        <v>56</v>
      </c>
      <c r="J6" s="137" t="s">
        <v>57</v>
      </c>
      <c r="K6" s="140" t="s">
        <v>58</v>
      </c>
      <c r="L6" s="140" t="s">
        <v>59</v>
      </c>
      <c r="M6" s="140" t="s">
        <v>60</v>
      </c>
      <c r="N6" s="140" t="s">
        <v>61</v>
      </c>
      <c r="O6" s="140" t="s">
        <v>62</v>
      </c>
      <c r="P6" s="140" t="s">
        <v>63</v>
      </c>
      <c r="Q6" s="140" t="s">
        <v>64</v>
      </c>
      <c r="R6" s="140" t="s">
        <v>65</v>
      </c>
      <c r="S6" s="140" t="s">
        <v>72</v>
      </c>
      <c r="T6" s="140" t="s">
        <v>73</v>
      </c>
    </row>
    <row r="7" spans="1:22">
      <c r="A7" s="139" t="s">
        <v>80</v>
      </c>
      <c r="B7" s="142">
        <v>44227</v>
      </c>
      <c r="C7" s="142">
        <v>44318</v>
      </c>
      <c r="D7" s="142">
        <v>44409</v>
      </c>
      <c r="E7" s="142">
        <v>44500</v>
      </c>
      <c r="F7" s="142">
        <v>44591</v>
      </c>
      <c r="G7" s="142">
        <v>44682</v>
      </c>
      <c r="H7" s="142">
        <v>44773</v>
      </c>
      <c r="I7" s="142">
        <v>44864</v>
      </c>
      <c r="J7" s="142">
        <v>44955</v>
      </c>
      <c r="K7" s="142">
        <v>45046</v>
      </c>
      <c r="L7" s="142">
        <v>45137</v>
      </c>
      <c r="M7" s="142">
        <v>45228</v>
      </c>
      <c r="N7" s="142">
        <v>45319</v>
      </c>
      <c r="O7" s="142">
        <v>45410</v>
      </c>
      <c r="P7" s="142">
        <v>45501</v>
      </c>
      <c r="Q7" s="142">
        <v>45592</v>
      </c>
      <c r="R7" s="142">
        <v>45683</v>
      </c>
      <c r="S7" s="142">
        <v>45774</v>
      </c>
      <c r="T7" s="142">
        <v>45865</v>
      </c>
    </row>
    <row r="8" spans="1:22">
      <c r="U8" s="141"/>
      <c r="V8" s="141"/>
    </row>
    <row r="9" spans="1:22">
      <c r="A9" t="s">
        <v>81</v>
      </c>
      <c r="B9" s="102">
        <v>5003</v>
      </c>
      <c r="C9" s="102" t="s">
        <v>82</v>
      </c>
      <c r="D9" s="102" t="s">
        <v>83</v>
      </c>
      <c r="E9" s="102">
        <v>7103</v>
      </c>
      <c r="F9" s="102">
        <v>7643</v>
      </c>
      <c r="G9" s="102">
        <v>8288</v>
      </c>
      <c r="H9" s="102" t="s">
        <v>84</v>
      </c>
      <c r="I9" s="102" t="s">
        <v>85</v>
      </c>
      <c r="J9" s="102">
        <v>6051</v>
      </c>
      <c r="K9" s="102">
        <v>7192</v>
      </c>
      <c r="L9" s="102">
        <v>13507</v>
      </c>
      <c r="M9" s="102">
        <v>18120</v>
      </c>
      <c r="N9" s="102">
        <v>22103</v>
      </c>
      <c r="O9" s="103">
        <v>26044</v>
      </c>
      <c r="P9" s="103">
        <v>30040</v>
      </c>
      <c r="Q9" s="103">
        <v>35082</v>
      </c>
      <c r="R9" s="103">
        <v>39331</v>
      </c>
      <c r="S9" s="103">
        <v>44062</v>
      </c>
      <c r="T9" s="103">
        <v>46743</v>
      </c>
    </row>
    <row r="10" spans="1:22">
      <c r="A10" t="s">
        <v>86</v>
      </c>
      <c r="B10" s="102">
        <v>1846</v>
      </c>
      <c r="C10" s="102" t="s">
        <v>87</v>
      </c>
      <c r="D10" s="102" t="s">
        <v>88</v>
      </c>
      <c r="E10" s="102" t="s">
        <v>89</v>
      </c>
      <c r="F10" s="102">
        <v>2643</v>
      </c>
      <c r="G10" s="102">
        <v>2857</v>
      </c>
      <c r="H10" s="102" t="s">
        <v>90</v>
      </c>
      <c r="I10" s="102" t="s">
        <v>91</v>
      </c>
      <c r="J10" s="102">
        <v>2218</v>
      </c>
      <c r="K10" s="102">
        <v>2544</v>
      </c>
      <c r="L10" s="102">
        <v>4045</v>
      </c>
      <c r="M10" s="102">
        <v>4720</v>
      </c>
      <c r="N10" s="102">
        <v>5312</v>
      </c>
      <c r="O10" s="103">
        <v>5638</v>
      </c>
      <c r="P10" s="103">
        <v>7466</v>
      </c>
      <c r="Q10" s="103">
        <v>8926</v>
      </c>
      <c r="R10" s="103">
        <v>10608</v>
      </c>
      <c r="S10" s="103">
        <v>17394</v>
      </c>
      <c r="T10" s="103">
        <v>12890</v>
      </c>
    </row>
    <row r="11" spans="1:22">
      <c r="A11" s="21" t="s">
        <v>92</v>
      </c>
      <c r="B11" s="134">
        <v>3157</v>
      </c>
      <c r="C11" s="134" t="s">
        <v>93</v>
      </c>
      <c r="D11" s="134" t="s">
        <v>94</v>
      </c>
      <c r="E11" s="134" t="s">
        <v>95</v>
      </c>
      <c r="F11" s="134">
        <v>5000</v>
      </c>
      <c r="G11" s="134">
        <v>5431</v>
      </c>
      <c r="H11" s="134" t="s">
        <v>96</v>
      </c>
      <c r="I11" s="134" t="s">
        <v>97</v>
      </c>
      <c r="J11" s="134">
        <v>3833</v>
      </c>
      <c r="K11" s="134">
        <v>4648</v>
      </c>
      <c r="L11" s="134">
        <v>9462</v>
      </c>
      <c r="M11" s="134">
        <v>13400</v>
      </c>
      <c r="N11" s="134">
        <v>16791</v>
      </c>
      <c r="O11" s="135">
        <v>20406</v>
      </c>
      <c r="P11" s="135">
        <v>22574</v>
      </c>
      <c r="Q11" s="135">
        <v>26156</v>
      </c>
      <c r="R11" s="135">
        <v>28723</v>
      </c>
      <c r="S11" s="135">
        <v>26668</v>
      </c>
      <c r="T11" s="135">
        <v>33853</v>
      </c>
    </row>
    <row r="12" spans="1:22">
      <c r="B12" s="101"/>
      <c r="C12" s="101"/>
      <c r="D12" s="101"/>
      <c r="E12" s="101"/>
      <c r="F12" s="101"/>
      <c r="G12" s="101"/>
      <c r="H12" s="101"/>
      <c r="I12" s="101"/>
      <c r="J12" s="101"/>
      <c r="K12" s="101"/>
      <c r="L12" s="101"/>
      <c r="M12" s="101"/>
      <c r="N12" s="101"/>
      <c r="O12" s="48"/>
      <c r="P12" s="48"/>
      <c r="Q12" s="48"/>
      <c r="R12" s="48"/>
      <c r="S12" s="48"/>
    </row>
    <row r="13" spans="1:22">
      <c r="A13" t="s">
        <v>98</v>
      </c>
      <c r="B13" s="102"/>
      <c r="C13" s="102"/>
      <c r="D13" s="102"/>
      <c r="E13" s="102"/>
      <c r="F13" s="102"/>
      <c r="G13" s="102"/>
      <c r="H13" s="102"/>
      <c r="I13" s="102"/>
      <c r="J13" s="102"/>
      <c r="K13" s="102"/>
      <c r="L13" s="102"/>
      <c r="M13" s="102"/>
      <c r="N13" s="102"/>
      <c r="O13" s="103"/>
      <c r="P13" s="103"/>
      <c r="Q13" s="103"/>
      <c r="R13" s="103"/>
      <c r="S13" s="103"/>
      <c r="T13" s="103"/>
    </row>
    <row r="14" spans="1:22">
      <c r="A14" t="s">
        <v>99</v>
      </c>
      <c r="B14" s="102">
        <v>1145</v>
      </c>
      <c r="C14" s="102" t="s">
        <v>100</v>
      </c>
      <c r="D14" s="102" t="s">
        <v>101</v>
      </c>
      <c r="E14" s="102" t="s">
        <v>102</v>
      </c>
      <c r="F14" s="102">
        <v>1467</v>
      </c>
      <c r="G14" s="102">
        <v>1618</v>
      </c>
      <c r="H14" s="102" t="s">
        <v>103</v>
      </c>
      <c r="I14" s="102" t="s">
        <v>104</v>
      </c>
      <c r="J14" s="102">
        <v>1952</v>
      </c>
      <c r="K14" s="102">
        <v>1875</v>
      </c>
      <c r="L14" s="102">
        <v>2040</v>
      </c>
      <c r="M14" s="102">
        <v>2294</v>
      </c>
      <c r="N14" s="102">
        <v>2466</v>
      </c>
      <c r="O14" s="103">
        <v>2720</v>
      </c>
      <c r="P14" s="103">
        <v>3090</v>
      </c>
      <c r="Q14" s="103">
        <v>3390</v>
      </c>
      <c r="R14" s="103">
        <v>3714</v>
      </c>
      <c r="S14" s="103">
        <v>3989</v>
      </c>
      <c r="T14" s="103">
        <v>4291</v>
      </c>
    </row>
    <row r="15" spans="1:22">
      <c r="A15" t="s">
        <v>105</v>
      </c>
      <c r="B15" s="102">
        <v>505</v>
      </c>
      <c r="C15" s="102" t="s">
        <v>106</v>
      </c>
      <c r="D15" s="102" t="s">
        <v>107</v>
      </c>
      <c r="E15" s="102" t="s">
        <v>108</v>
      </c>
      <c r="F15" s="102">
        <v>563</v>
      </c>
      <c r="G15" s="102">
        <v>592</v>
      </c>
      <c r="H15" s="102" t="s">
        <v>109</v>
      </c>
      <c r="I15" s="102" t="s">
        <v>110</v>
      </c>
      <c r="J15" s="102">
        <v>625</v>
      </c>
      <c r="K15" s="102">
        <v>633</v>
      </c>
      <c r="L15" s="102">
        <v>622</v>
      </c>
      <c r="M15" s="102">
        <v>689</v>
      </c>
      <c r="N15" s="102">
        <v>710</v>
      </c>
      <c r="O15" s="103">
        <v>777</v>
      </c>
      <c r="P15" s="103">
        <v>842</v>
      </c>
      <c r="Q15" s="103">
        <v>897</v>
      </c>
      <c r="R15" s="103">
        <v>975</v>
      </c>
      <c r="S15" s="103">
        <v>1041</v>
      </c>
      <c r="T15" s="103">
        <v>1122</v>
      </c>
    </row>
    <row r="16" spans="1:22">
      <c r="A16" t="s">
        <v>111</v>
      </c>
      <c r="B16" s="102" t="s">
        <v>112</v>
      </c>
      <c r="C16" s="102" t="s">
        <v>112</v>
      </c>
      <c r="D16" s="102" t="s">
        <v>112</v>
      </c>
      <c r="E16" s="102" t="s">
        <v>112</v>
      </c>
      <c r="F16" s="102" t="s">
        <v>112</v>
      </c>
      <c r="G16" s="102">
        <v>1353</v>
      </c>
      <c r="H16" s="102" t="s">
        <v>112</v>
      </c>
      <c r="I16" s="102" t="s">
        <v>112</v>
      </c>
      <c r="J16" s="102" t="s">
        <v>112</v>
      </c>
      <c r="K16" s="102" t="s">
        <v>112</v>
      </c>
      <c r="L16" s="102" t="s">
        <v>112</v>
      </c>
      <c r="M16" s="102" t="s">
        <v>112</v>
      </c>
      <c r="N16" s="102" t="s">
        <v>112</v>
      </c>
      <c r="O16" s="103" t="s">
        <v>112</v>
      </c>
      <c r="P16" s="103" t="s">
        <v>112</v>
      </c>
      <c r="Q16" s="103" t="s">
        <v>112</v>
      </c>
      <c r="R16" s="103" t="s">
        <v>112</v>
      </c>
      <c r="S16" s="103" t="s">
        <v>112</v>
      </c>
      <c r="T16" s="102" t="s">
        <v>112</v>
      </c>
    </row>
    <row r="17" spans="1:20">
      <c r="A17" s="21" t="s">
        <v>113</v>
      </c>
      <c r="B17" s="134">
        <v>1650</v>
      </c>
      <c r="C17" s="134" t="s">
        <v>114</v>
      </c>
      <c r="D17" s="134" t="s">
        <v>115</v>
      </c>
      <c r="E17" s="134" t="s">
        <v>116</v>
      </c>
      <c r="F17" s="134">
        <v>2030</v>
      </c>
      <c r="G17" s="134">
        <v>3563</v>
      </c>
      <c r="H17" s="134" t="s">
        <v>117</v>
      </c>
      <c r="I17" s="134" t="s">
        <v>118</v>
      </c>
      <c r="J17" s="134">
        <v>2577</v>
      </c>
      <c r="K17" s="134">
        <v>2508</v>
      </c>
      <c r="L17" s="134">
        <v>2662</v>
      </c>
      <c r="M17" s="134">
        <v>2983</v>
      </c>
      <c r="N17" s="134">
        <v>3176</v>
      </c>
      <c r="O17" s="135">
        <v>3497</v>
      </c>
      <c r="P17" s="135">
        <v>3932</v>
      </c>
      <c r="Q17" s="135">
        <v>4287</v>
      </c>
      <c r="R17" s="135">
        <v>4689</v>
      </c>
      <c r="S17" s="135">
        <v>5030</v>
      </c>
      <c r="T17" s="135">
        <v>5413</v>
      </c>
    </row>
    <row r="18" spans="1:20">
      <c r="B18" s="101"/>
      <c r="C18" s="101"/>
      <c r="D18" s="101"/>
      <c r="E18" s="101"/>
      <c r="F18" s="101"/>
      <c r="G18" s="101"/>
      <c r="H18" s="101"/>
      <c r="I18" s="101"/>
      <c r="J18" s="101"/>
      <c r="K18" s="101"/>
      <c r="L18" s="101"/>
      <c r="M18" s="101"/>
      <c r="N18" s="101"/>
      <c r="O18" s="48"/>
      <c r="P18" s="48"/>
      <c r="Q18" s="48"/>
      <c r="R18" s="48"/>
      <c r="S18" s="48"/>
    </row>
    <row r="19" spans="1:20">
      <c r="A19" t="s">
        <v>119</v>
      </c>
      <c r="B19" s="102">
        <v>1507</v>
      </c>
      <c r="C19" s="102" t="s">
        <v>120</v>
      </c>
      <c r="D19" s="102" t="s">
        <v>121</v>
      </c>
      <c r="E19" s="102" t="s">
        <v>122</v>
      </c>
      <c r="F19" s="102">
        <v>2970</v>
      </c>
      <c r="G19" s="102">
        <v>1868</v>
      </c>
      <c r="H19" s="102" t="s">
        <v>123</v>
      </c>
      <c r="I19" s="102" t="s">
        <v>124</v>
      </c>
      <c r="J19" s="102">
        <v>1256</v>
      </c>
      <c r="K19" s="102">
        <v>2140</v>
      </c>
      <c r="L19" s="102">
        <v>6800</v>
      </c>
      <c r="M19" s="102">
        <v>10417</v>
      </c>
      <c r="N19" s="102">
        <v>13615</v>
      </c>
      <c r="O19" s="103">
        <v>16909</v>
      </c>
      <c r="P19" s="103">
        <v>18642</v>
      </c>
      <c r="Q19" s="103">
        <v>21869</v>
      </c>
      <c r="R19" s="103">
        <v>24034</v>
      </c>
      <c r="S19" s="103">
        <v>21638</v>
      </c>
      <c r="T19" s="103">
        <v>28440</v>
      </c>
    </row>
    <row r="20" spans="1:20">
      <c r="A20" t="s">
        <v>125</v>
      </c>
      <c r="B20" s="102">
        <v>7</v>
      </c>
      <c r="C20" s="102" t="s">
        <v>126</v>
      </c>
      <c r="D20" s="102" t="s">
        <v>126</v>
      </c>
      <c r="E20" s="102" t="s">
        <v>127</v>
      </c>
      <c r="F20" s="102">
        <v>10</v>
      </c>
      <c r="G20" s="102">
        <v>18</v>
      </c>
      <c r="H20" s="102" t="s">
        <v>128</v>
      </c>
      <c r="I20" s="102" t="s">
        <v>129</v>
      </c>
      <c r="J20" s="102">
        <v>115</v>
      </c>
      <c r="K20" s="102">
        <v>150</v>
      </c>
      <c r="L20" s="102">
        <v>187</v>
      </c>
      <c r="M20" s="102">
        <v>234</v>
      </c>
      <c r="N20" s="102">
        <v>295</v>
      </c>
      <c r="O20" s="103">
        <v>359</v>
      </c>
      <c r="P20" s="103">
        <v>444</v>
      </c>
      <c r="Q20" s="103">
        <v>472</v>
      </c>
      <c r="R20" s="103">
        <v>511</v>
      </c>
      <c r="S20" s="103">
        <v>515</v>
      </c>
      <c r="T20" s="103">
        <v>592</v>
      </c>
    </row>
    <row r="21" spans="1:20">
      <c r="A21" t="s">
        <v>130</v>
      </c>
      <c r="B21" s="102">
        <v>-52</v>
      </c>
      <c r="C21" s="102">
        <v>-53</v>
      </c>
      <c r="D21" s="102" t="s">
        <v>131</v>
      </c>
      <c r="E21" s="102" t="s">
        <v>132</v>
      </c>
      <c r="F21" s="102">
        <v>-61</v>
      </c>
      <c r="G21" s="102">
        <v>-68</v>
      </c>
      <c r="H21" s="102" t="s">
        <v>133</v>
      </c>
      <c r="I21" s="102" t="s">
        <v>133</v>
      </c>
      <c r="J21" s="102">
        <v>-64</v>
      </c>
      <c r="K21" s="102">
        <v>-66</v>
      </c>
      <c r="L21" s="102">
        <v>-65</v>
      </c>
      <c r="M21" s="102">
        <v>-63</v>
      </c>
      <c r="N21" s="102">
        <v>-63</v>
      </c>
      <c r="O21" s="103">
        <v>-64</v>
      </c>
      <c r="P21" s="103">
        <v>-61</v>
      </c>
      <c r="Q21" s="103">
        <v>-61</v>
      </c>
      <c r="R21" s="103">
        <v>-61</v>
      </c>
      <c r="S21" s="103">
        <v>-63</v>
      </c>
      <c r="T21" s="103">
        <v>-62</v>
      </c>
    </row>
    <row r="22" spans="1:20" s="1" customFormat="1">
      <c r="A22" t="s">
        <v>134</v>
      </c>
      <c r="B22" s="102">
        <v>10</v>
      </c>
      <c r="C22" s="102" t="s">
        <v>135</v>
      </c>
      <c r="D22" s="102" t="s">
        <v>136</v>
      </c>
      <c r="E22" s="102" t="s">
        <v>137</v>
      </c>
      <c r="F22" s="102">
        <v>-54</v>
      </c>
      <c r="G22" s="102">
        <v>-13</v>
      </c>
      <c r="H22" s="102" t="s">
        <v>138</v>
      </c>
      <c r="I22" s="102" t="s">
        <v>139</v>
      </c>
      <c r="J22" s="102">
        <v>-19</v>
      </c>
      <c r="K22" s="102">
        <v>-15</v>
      </c>
      <c r="L22" s="102">
        <v>59</v>
      </c>
      <c r="M22" s="102">
        <v>-66</v>
      </c>
      <c r="N22" s="102">
        <v>259</v>
      </c>
      <c r="O22" s="103">
        <v>75</v>
      </c>
      <c r="P22" s="103">
        <v>189</v>
      </c>
      <c r="Q22" s="103">
        <v>36</v>
      </c>
      <c r="R22" s="103">
        <v>733</v>
      </c>
      <c r="S22" s="103">
        <v>-180</v>
      </c>
      <c r="T22" s="103">
        <v>2236</v>
      </c>
    </row>
    <row r="23" spans="1:20">
      <c r="A23" s="21" t="s">
        <v>140</v>
      </c>
      <c r="B23" s="134">
        <v>-36</v>
      </c>
      <c r="C23" s="134" t="s">
        <v>129</v>
      </c>
      <c r="D23" s="134" t="s">
        <v>141</v>
      </c>
      <c r="E23" s="134" t="s">
        <v>142</v>
      </c>
      <c r="F23" s="134">
        <v>-105</v>
      </c>
      <c r="G23" s="134">
        <v>-63</v>
      </c>
      <c r="H23" s="134" t="s">
        <v>143</v>
      </c>
      <c r="I23" s="134" t="s">
        <v>144</v>
      </c>
      <c r="J23" s="134">
        <v>32</v>
      </c>
      <c r="K23" s="134">
        <v>69</v>
      </c>
      <c r="L23" s="134">
        <v>181</v>
      </c>
      <c r="M23" s="134">
        <v>105</v>
      </c>
      <c r="N23" s="134">
        <v>491</v>
      </c>
      <c r="O23" s="135">
        <v>370</v>
      </c>
      <c r="P23" s="135">
        <v>249</v>
      </c>
      <c r="Q23" s="135">
        <v>447</v>
      </c>
      <c r="R23" s="135">
        <v>1183</v>
      </c>
      <c r="S23" s="135">
        <v>272</v>
      </c>
      <c r="T23" s="135">
        <v>2766</v>
      </c>
    </row>
    <row r="24" spans="1:20">
      <c r="B24" s="101"/>
      <c r="C24" s="101"/>
      <c r="D24" s="101"/>
      <c r="E24" s="101"/>
      <c r="F24" s="101"/>
      <c r="G24" s="101"/>
      <c r="H24" s="101"/>
      <c r="I24" s="101"/>
      <c r="J24" s="101"/>
      <c r="K24" s="101"/>
      <c r="L24" s="101"/>
      <c r="M24" s="101"/>
      <c r="N24" s="101"/>
      <c r="O24" s="48"/>
      <c r="P24" s="48"/>
      <c r="Q24" s="48"/>
      <c r="R24" s="48"/>
      <c r="S24" s="48"/>
    </row>
    <row r="25" spans="1:20">
      <c r="A25" t="s">
        <v>145</v>
      </c>
      <c r="B25" s="102">
        <v>1471</v>
      </c>
      <c r="C25" s="102" t="s">
        <v>146</v>
      </c>
      <c r="D25" s="102" t="s">
        <v>147</v>
      </c>
      <c r="E25" s="102" t="s">
        <v>148</v>
      </c>
      <c r="F25" s="102">
        <v>2865</v>
      </c>
      <c r="G25" s="102">
        <v>1805</v>
      </c>
      <c r="H25" s="102" t="s">
        <v>149</v>
      </c>
      <c r="I25" s="102" t="s">
        <v>150</v>
      </c>
      <c r="J25" s="102">
        <v>1288</v>
      </c>
      <c r="K25" s="102">
        <v>2209</v>
      </c>
      <c r="L25" s="102">
        <v>6981</v>
      </c>
      <c r="M25" s="102">
        <v>10522</v>
      </c>
      <c r="N25" s="102">
        <v>14106</v>
      </c>
      <c r="O25" s="103">
        <v>17279</v>
      </c>
      <c r="P25" s="103">
        <v>19214</v>
      </c>
      <c r="Q25" s="103">
        <v>22316</v>
      </c>
      <c r="R25" s="103">
        <v>25217</v>
      </c>
      <c r="S25" s="103">
        <v>21910</v>
      </c>
      <c r="T25" s="103">
        <v>31206</v>
      </c>
    </row>
    <row r="26" spans="1:20">
      <c r="A26" t="s">
        <v>151</v>
      </c>
      <c r="B26" s="102">
        <v>14</v>
      </c>
      <c r="C26" s="102" t="s">
        <v>152</v>
      </c>
      <c r="D26" s="102" t="s">
        <v>153</v>
      </c>
      <c r="E26" s="102" t="s">
        <v>154</v>
      </c>
      <c r="F26" s="102">
        <v>-137</v>
      </c>
      <c r="G26" s="102">
        <v>187</v>
      </c>
      <c r="H26" s="102" t="s">
        <v>155</v>
      </c>
      <c r="I26" s="102" t="s">
        <v>156</v>
      </c>
      <c r="J26" s="102">
        <v>-126</v>
      </c>
      <c r="K26" s="102">
        <v>166</v>
      </c>
      <c r="L26" s="102">
        <v>793</v>
      </c>
      <c r="M26" s="102">
        <v>1279</v>
      </c>
      <c r="N26" s="102">
        <v>1820</v>
      </c>
      <c r="O26" s="103">
        <v>2398</v>
      </c>
      <c r="P26" s="103">
        <v>2615</v>
      </c>
      <c r="Q26" s="103">
        <v>3007</v>
      </c>
      <c r="R26" s="103">
        <v>3126</v>
      </c>
      <c r="S26" s="103">
        <v>3135</v>
      </c>
      <c r="T26" s="103">
        <v>4784</v>
      </c>
    </row>
    <row r="27" spans="1:20">
      <c r="A27" s="21" t="s">
        <v>157</v>
      </c>
      <c r="B27" s="134">
        <v>1457</v>
      </c>
      <c r="C27" s="134" t="s">
        <v>158</v>
      </c>
      <c r="D27" s="134" t="s">
        <v>159</v>
      </c>
      <c r="E27" s="134" t="s">
        <v>160</v>
      </c>
      <c r="F27" s="134">
        <v>3002</v>
      </c>
      <c r="G27" s="134">
        <v>1618</v>
      </c>
      <c r="H27" s="134" t="s">
        <v>161</v>
      </c>
      <c r="I27" s="134" t="s">
        <v>162</v>
      </c>
      <c r="J27" s="134">
        <v>1414</v>
      </c>
      <c r="K27" s="134">
        <v>2043</v>
      </c>
      <c r="L27" s="134">
        <v>6188</v>
      </c>
      <c r="M27" s="134">
        <v>9243</v>
      </c>
      <c r="N27" s="134">
        <v>12286</v>
      </c>
      <c r="O27" s="135">
        <v>14881</v>
      </c>
      <c r="P27" s="135">
        <v>16599</v>
      </c>
      <c r="Q27" s="135">
        <v>19309</v>
      </c>
      <c r="R27" s="135">
        <v>22091</v>
      </c>
      <c r="S27" s="135">
        <v>18775</v>
      </c>
      <c r="T27" s="135">
        <v>26422</v>
      </c>
    </row>
    <row r="28" spans="1:20">
      <c r="A28" t="s">
        <v>163</v>
      </c>
      <c r="B28" s="102"/>
      <c r="C28" s="102"/>
      <c r="D28" s="102"/>
      <c r="E28" s="102"/>
      <c r="F28" s="102"/>
      <c r="G28" s="102"/>
      <c r="H28" s="102"/>
      <c r="I28" s="102"/>
      <c r="J28" s="102"/>
      <c r="K28" s="102"/>
      <c r="L28" s="102" t="s">
        <v>163</v>
      </c>
      <c r="M28" s="102"/>
      <c r="N28" s="102"/>
      <c r="O28" s="103"/>
      <c r="P28" s="103"/>
      <c r="Q28" s="103"/>
      <c r="R28" s="103"/>
      <c r="S28" s="103"/>
      <c r="T28" s="104"/>
    </row>
    <row r="29" spans="1:20">
      <c r="A29" t="s">
        <v>164</v>
      </c>
      <c r="B29" s="102"/>
      <c r="C29" s="102"/>
      <c r="D29" s="102"/>
      <c r="E29" s="102"/>
      <c r="F29" s="102"/>
      <c r="G29" s="102"/>
      <c r="H29" s="102"/>
      <c r="I29" s="102"/>
      <c r="J29" s="102"/>
      <c r="K29" s="102"/>
      <c r="L29" s="102"/>
      <c r="M29" s="102"/>
      <c r="N29" s="102"/>
      <c r="O29" s="103"/>
      <c r="P29" s="103"/>
      <c r="Q29" s="103"/>
      <c r="R29" s="103"/>
      <c r="S29" s="103"/>
      <c r="T29" s="104"/>
    </row>
    <row r="30" spans="1:20">
      <c r="A30" t="s">
        <v>165</v>
      </c>
      <c r="B30" s="102">
        <v>2.3599999999999994</v>
      </c>
      <c r="C30" s="102">
        <v>0.77</v>
      </c>
      <c r="D30" s="102">
        <v>0.95</v>
      </c>
      <c r="E30" s="102">
        <v>0.99</v>
      </c>
      <c r="F30" s="102">
        <v>1.2000000000000002</v>
      </c>
      <c r="G30" s="102">
        <v>0.65</v>
      </c>
      <c r="H30" s="102">
        <v>0.26</v>
      </c>
      <c r="I30" s="102">
        <v>0.27</v>
      </c>
      <c r="J30" s="102">
        <v>0.57999999999999985</v>
      </c>
      <c r="K30" s="102">
        <v>0.83</v>
      </c>
      <c r="L30" s="102">
        <v>0.25</v>
      </c>
      <c r="M30" s="102">
        <v>0.37</v>
      </c>
      <c r="N30" s="102">
        <v>4.9700000000000006</v>
      </c>
      <c r="O30" s="103">
        <v>0.6</v>
      </c>
      <c r="P30" s="103">
        <v>0.68</v>
      </c>
      <c r="Q30" s="103">
        <v>0.79</v>
      </c>
      <c r="R30" s="103">
        <v>0.9</v>
      </c>
      <c r="S30" s="103">
        <v>0.77</v>
      </c>
      <c r="T30" s="136">
        <v>1.08</v>
      </c>
    </row>
    <row r="31" spans="1:20">
      <c r="A31" t="s">
        <v>166</v>
      </c>
      <c r="B31" s="102">
        <v>2.3200000000000003</v>
      </c>
      <c r="C31" s="102">
        <v>0.76</v>
      </c>
      <c r="D31" s="102">
        <v>0.94</v>
      </c>
      <c r="E31" s="102">
        <v>0.97</v>
      </c>
      <c r="F31" s="102">
        <v>1.1800000000000002</v>
      </c>
      <c r="G31" s="102">
        <v>0.64</v>
      </c>
      <c r="H31" s="102">
        <v>0.26</v>
      </c>
      <c r="I31" s="102">
        <v>0.27</v>
      </c>
      <c r="J31" s="102">
        <v>0.57000000000000006</v>
      </c>
      <c r="K31" s="102">
        <v>0.82</v>
      </c>
      <c r="L31" s="102">
        <v>0.25</v>
      </c>
      <c r="M31" s="102">
        <v>0.37</v>
      </c>
      <c r="N31" s="102">
        <v>4.92</v>
      </c>
      <c r="O31" s="103">
        <v>0.6</v>
      </c>
      <c r="P31" s="103">
        <v>0.67</v>
      </c>
      <c r="Q31" s="103">
        <v>0.78</v>
      </c>
      <c r="R31" s="103">
        <v>0.89</v>
      </c>
      <c r="S31" s="103">
        <v>0.76</v>
      </c>
      <c r="T31" s="136">
        <v>1.08</v>
      </c>
    </row>
    <row r="32" spans="1:20">
      <c r="A32" t="s">
        <v>163</v>
      </c>
      <c r="B32" s="102"/>
      <c r="C32" s="102"/>
      <c r="D32" s="102"/>
      <c r="E32" s="102"/>
      <c r="F32" s="102"/>
      <c r="G32" s="102"/>
      <c r="H32" s="102"/>
      <c r="I32" s="102"/>
      <c r="J32" s="102"/>
      <c r="K32" s="102"/>
      <c r="L32" s="102" t="s">
        <v>163</v>
      </c>
      <c r="M32" s="102"/>
      <c r="N32" s="102"/>
      <c r="O32" s="103"/>
      <c r="P32" s="103"/>
      <c r="Q32" s="103"/>
      <c r="R32" s="103"/>
      <c r="S32" s="103"/>
      <c r="T32" s="104"/>
    </row>
    <row r="33" spans="1:20">
      <c r="A33" t="s">
        <v>167</v>
      </c>
      <c r="B33" s="102"/>
      <c r="C33" s="102"/>
      <c r="D33" s="102"/>
      <c r="E33" s="102"/>
      <c r="F33" s="102"/>
      <c r="G33" s="102"/>
      <c r="H33" s="102"/>
      <c r="I33" s="102"/>
      <c r="J33" s="102"/>
      <c r="K33" s="102"/>
      <c r="L33" s="102"/>
      <c r="M33" s="102"/>
      <c r="N33" s="102"/>
      <c r="O33" s="103"/>
      <c r="P33" s="103"/>
      <c r="Q33" s="103"/>
      <c r="R33" s="103"/>
      <c r="S33" s="103"/>
      <c r="T33" s="104"/>
    </row>
    <row r="34" spans="1:20">
      <c r="A34" t="s">
        <v>165</v>
      </c>
      <c r="B34" s="102">
        <v>617</v>
      </c>
      <c r="C34" s="102" t="s">
        <v>168</v>
      </c>
      <c r="D34" s="102" t="s">
        <v>169</v>
      </c>
      <c r="E34" s="102" t="s">
        <v>170</v>
      </c>
      <c r="F34" s="102" t="s">
        <v>171</v>
      </c>
      <c r="G34" s="102">
        <v>2506</v>
      </c>
      <c r="H34" s="102" t="s">
        <v>172</v>
      </c>
      <c r="I34" s="102">
        <v>2483</v>
      </c>
      <c r="J34" s="102" t="s">
        <v>173</v>
      </c>
      <c r="K34" s="102">
        <v>2470</v>
      </c>
      <c r="L34" s="102">
        <v>2473</v>
      </c>
      <c r="M34" s="102">
        <v>2468</v>
      </c>
      <c r="N34" s="102">
        <v>2469</v>
      </c>
      <c r="O34" s="103">
        <v>2462</v>
      </c>
      <c r="P34" s="103">
        <v>2458</v>
      </c>
      <c r="Q34" s="103">
        <v>2453</v>
      </c>
      <c r="R34" s="103">
        <v>2449</v>
      </c>
      <c r="S34" s="103">
        <v>244</v>
      </c>
      <c r="T34" s="103">
        <v>2437</v>
      </c>
    </row>
    <row r="35" spans="1:20">
      <c r="A35" t="s">
        <v>166</v>
      </c>
      <c r="B35" s="102">
        <v>628</v>
      </c>
      <c r="C35" s="102" t="s">
        <v>174</v>
      </c>
      <c r="D35" s="102" t="s">
        <v>175</v>
      </c>
      <c r="E35" s="102" t="s">
        <v>176</v>
      </c>
      <c r="F35" s="102" t="s">
        <v>177</v>
      </c>
      <c r="G35" s="102">
        <v>2537</v>
      </c>
      <c r="H35" s="102" t="s">
        <v>178</v>
      </c>
      <c r="I35" s="102">
        <v>2499</v>
      </c>
      <c r="J35" s="102" t="s">
        <v>179</v>
      </c>
      <c r="K35" s="102">
        <v>2490</v>
      </c>
      <c r="L35" s="102">
        <v>2499</v>
      </c>
      <c r="M35" s="102">
        <v>2494</v>
      </c>
      <c r="N35" s="102">
        <v>2494</v>
      </c>
      <c r="O35" s="103">
        <v>2489</v>
      </c>
      <c r="P35" s="103">
        <v>2485</v>
      </c>
      <c r="Q35" s="103">
        <v>2477</v>
      </c>
      <c r="R35" s="103">
        <v>2471</v>
      </c>
      <c r="S35" s="103">
        <v>2461</v>
      </c>
      <c r="T35" s="103">
        <v>2453</v>
      </c>
    </row>
  </sheetData>
  <phoneticPr fontId="7" type="noConversion"/>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608E1-1885-45A1-8C98-D32F1F53087C}">
  <dimension ref="A1:T44"/>
  <sheetViews>
    <sheetView showGridLines="0" zoomScale="85" zoomScaleNormal="85" workbookViewId="0"/>
  </sheetViews>
  <sheetFormatPr defaultRowHeight="15"/>
  <cols>
    <col min="1" max="1" width="49.28515625" bestFit="1" customWidth="1"/>
    <col min="2" max="7" width="10.5703125" bestFit="1" customWidth="1"/>
    <col min="8" max="8" width="10.5703125" customWidth="1"/>
    <col min="9" max="16" width="10.5703125" bestFit="1" customWidth="1"/>
    <col min="17" max="19" width="10.5703125" customWidth="1"/>
    <col min="20" max="20" width="10.5703125" bestFit="1" customWidth="1"/>
  </cols>
  <sheetData>
    <row r="1" spans="1:20" ht="3.75" customHeight="1"/>
    <row r="2" spans="1:20" ht="22.5" customHeight="1">
      <c r="A2" s="161" t="s">
        <v>31</v>
      </c>
      <c r="L2" s="102"/>
      <c r="M2" s="102"/>
      <c r="N2" s="102"/>
      <c r="O2" s="103"/>
      <c r="P2" s="103"/>
      <c r="Q2" s="103"/>
      <c r="R2" s="103"/>
      <c r="S2" s="103"/>
    </row>
    <row r="3" spans="1:20">
      <c r="A3" s="5" t="s">
        <v>78</v>
      </c>
      <c r="L3" s="101"/>
      <c r="M3" s="101"/>
      <c r="N3" s="101"/>
      <c r="O3" s="48"/>
      <c r="P3" s="48"/>
      <c r="Q3" s="48"/>
      <c r="R3" s="48"/>
      <c r="S3" s="48"/>
    </row>
    <row r="5" spans="1:20">
      <c r="A5" s="138"/>
      <c r="B5" s="88"/>
      <c r="C5" s="88"/>
      <c r="D5" s="88"/>
      <c r="E5" s="88"/>
      <c r="F5" s="88"/>
      <c r="H5" s="88"/>
      <c r="I5" s="88"/>
      <c r="J5" s="88"/>
    </row>
    <row r="6" spans="1:20">
      <c r="A6" t="s">
        <v>79</v>
      </c>
      <c r="B6" s="137" t="s">
        <v>49</v>
      </c>
      <c r="C6" s="137" t="s">
        <v>50</v>
      </c>
      <c r="D6" s="137" t="s">
        <v>51</v>
      </c>
      <c r="E6" s="137" t="s">
        <v>52</v>
      </c>
      <c r="F6" s="137" t="s">
        <v>53</v>
      </c>
      <c r="G6" s="140" t="s">
        <v>54</v>
      </c>
      <c r="H6" s="137" t="s">
        <v>55</v>
      </c>
      <c r="I6" s="137" t="s">
        <v>56</v>
      </c>
      <c r="J6" s="137" t="s">
        <v>57</v>
      </c>
      <c r="K6" s="140" t="s">
        <v>58</v>
      </c>
      <c r="L6" s="140" t="s">
        <v>59</v>
      </c>
      <c r="M6" s="140" t="s">
        <v>60</v>
      </c>
      <c r="N6" s="140" t="s">
        <v>61</v>
      </c>
      <c r="O6" s="140" t="s">
        <v>62</v>
      </c>
      <c r="P6" s="140" t="s">
        <v>63</v>
      </c>
      <c r="Q6" s="140" t="s">
        <v>64</v>
      </c>
      <c r="R6" s="140" t="s">
        <v>65</v>
      </c>
      <c r="S6" s="140" t="s">
        <v>72</v>
      </c>
      <c r="T6" s="140" t="s">
        <v>73</v>
      </c>
    </row>
    <row r="7" spans="1:20">
      <c r="A7" s="139" t="s">
        <v>80</v>
      </c>
      <c r="B7" s="142">
        <v>44227</v>
      </c>
      <c r="C7" s="142">
        <v>44318</v>
      </c>
      <c r="D7" s="142">
        <v>44409</v>
      </c>
      <c r="E7" s="142">
        <v>44500</v>
      </c>
      <c r="F7" s="142">
        <v>44591</v>
      </c>
      <c r="G7" s="142">
        <v>44682</v>
      </c>
      <c r="H7" s="142">
        <v>44773</v>
      </c>
      <c r="I7" s="142">
        <v>44864</v>
      </c>
      <c r="J7" s="142">
        <v>44955</v>
      </c>
      <c r="K7" s="142">
        <v>45046</v>
      </c>
      <c r="L7" s="142">
        <v>45137</v>
      </c>
      <c r="M7" s="142">
        <v>45228</v>
      </c>
      <c r="N7" s="142">
        <v>45319</v>
      </c>
      <c r="O7" s="142">
        <v>45410</v>
      </c>
      <c r="P7" s="142">
        <v>45501</v>
      </c>
      <c r="Q7" s="142">
        <v>45592</v>
      </c>
      <c r="R7" s="142">
        <v>45683</v>
      </c>
      <c r="S7" s="142">
        <v>45774</v>
      </c>
      <c r="T7" s="142">
        <v>45865</v>
      </c>
    </row>
    <row r="9" spans="1:20">
      <c r="A9" t="s">
        <v>180</v>
      </c>
      <c r="Q9" s="8"/>
      <c r="R9" s="8"/>
      <c r="S9" s="8"/>
      <c r="T9" s="8"/>
    </row>
    <row r="10" spans="1:20">
      <c r="A10" t="s">
        <v>181</v>
      </c>
    </row>
    <row r="11" spans="1:20">
      <c r="A11" t="s">
        <v>182</v>
      </c>
      <c r="B11" s="108">
        <v>847</v>
      </c>
      <c r="C11" s="108">
        <v>978</v>
      </c>
      <c r="D11" s="108">
        <v>5628</v>
      </c>
      <c r="E11" s="108">
        <v>1288</v>
      </c>
      <c r="F11" s="108">
        <v>1990</v>
      </c>
      <c r="G11" s="108">
        <v>3887</v>
      </c>
      <c r="H11" s="108">
        <v>3013</v>
      </c>
      <c r="I11" s="108">
        <v>2800</v>
      </c>
      <c r="J11" s="109" t="s">
        <v>183</v>
      </c>
      <c r="K11" s="109">
        <v>5079</v>
      </c>
      <c r="L11" s="109" t="s">
        <v>184</v>
      </c>
      <c r="M11" s="108">
        <v>5519</v>
      </c>
      <c r="N11" s="108">
        <v>7280</v>
      </c>
      <c r="O11" s="106">
        <v>7587</v>
      </c>
      <c r="P11" s="106">
        <v>8571</v>
      </c>
      <c r="Q11" s="106">
        <v>9107</v>
      </c>
      <c r="R11" s="106">
        <v>8589</v>
      </c>
      <c r="S11" s="106">
        <v>15234</v>
      </c>
      <c r="T11" s="106">
        <v>11639</v>
      </c>
    </row>
    <row r="12" spans="1:20">
      <c r="A12" t="s">
        <v>185</v>
      </c>
      <c r="B12" s="108">
        <v>10714</v>
      </c>
      <c r="C12" s="108">
        <v>11689</v>
      </c>
      <c r="D12" s="108">
        <v>14026</v>
      </c>
      <c r="E12" s="108">
        <v>18010</v>
      </c>
      <c r="F12" s="108">
        <v>19218</v>
      </c>
      <c r="G12" s="108">
        <v>16451</v>
      </c>
      <c r="H12" s="108">
        <v>14024</v>
      </c>
      <c r="I12" s="108">
        <v>10343</v>
      </c>
      <c r="J12" s="109" t="s">
        <v>186</v>
      </c>
      <c r="K12" s="109">
        <v>10241</v>
      </c>
      <c r="L12" s="109" t="s">
        <v>187</v>
      </c>
      <c r="M12" s="108">
        <v>12762</v>
      </c>
      <c r="N12" s="108">
        <v>18704</v>
      </c>
      <c r="O12" s="109">
        <v>23851</v>
      </c>
      <c r="P12" s="109">
        <v>26229</v>
      </c>
      <c r="Q12" s="143">
        <v>29380</v>
      </c>
      <c r="R12" s="143">
        <v>34621</v>
      </c>
      <c r="S12" s="143">
        <v>38457</v>
      </c>
      <c r="T12" s="143">
        <v>45152</v>
      </c>
    </row>
    <row r="13" spans="1:20">
      <c r="A13" t="s">
        <v>188</v>
      </c>
      <c r="B13" s="108">
        <v>2429</v>
      </c>
      <c r="C13" s="108">
        <v>3024</v>
      </c>
      <c r="D13" s="108">
        <v>3586</v>
      </c>
      <c r="E13" s="108">
        <v>3954</v>
      </c>
      <c r="F13" s="108">
        <v>4650</v>
      </c>
      <c r="G13" s="108">
        <v>5438</v>
      </c>
      <c r="H13" s="108">
        <v>5317</v>
      </c>
      <c r="I13" s="108">
        <v>4908</v>
      </c>
      <c r="J13" s="109" t="s">
        <v>189</v>
      </c>
      <c r="K13" s="109">
        <v>4080</v>
      </c>
      <c r="L13" s="109" t="s">
        <v>190</v>
      </c>
      <c r="M13" s="108">
        <v>8309</v>
      </c>
      <c r="N13" s="108">
        <v>9999</v>
      </c>
      <c r="O13" s="109">
        <v>12365</v>
      </c>
      <c r="P13" s="109">
        <v>14132</v>
      </c>
      <c r="Q13" s="109">
        <v>17693</v>
      </c>
      <c r="R13" s="109">
        <v>23065</v>
      </c>
      <c r="S13" s="109">
        <v>22132</v>
      </c>
      <c r="T13" s="109">
        <v>27808</v>
      </c>
    </row>
    <row r="14" spans="1:20">
      <c r="A14" t="s">
        <v>191</v>
      </c>
      <c r="B14" s="108">
        <v>1826</v>
      </c>
      <c r="C14" s="108">
        <v>1992</v>
      </c>
      <c r="D14" s="108">
        <v>2114</v>
      </c>
      <c r="E14" s="108">
        <v>2233</v>
      </c>
      <c r="F14" s="108">
        <v>2605</v>
      </c>
      <c r="G14" s="108">
        <v>3163</v>
      </c>
      <c r="H14" s="108">
        <v>3889</v>
      </c>
      <c r="I14" s="108">
        <v>4454</v>
      </c>
      <c r="J14" s="109" t="s">
        <v>192</v>
      </c>
      <c r="K14" s="109">
        <v>4611</v>
      </c>
      <c r="L14" s="109" t="s">
        <v>193</v>
      </c>
      <c r="M14" s="108">
        <v>4779</v>
      </c>
      <c r="N14" s="108">
        <v>5282</v>
      </c>
      <c r="O14" s="109">
        <v>5864</v>
      </c>
      <c r="P14" s="109">
        <v>6675</v>
      </c>
      <c r="Q14" s="109">
        <v>7654</v>
      </c>
      <c r="R14" s="109">
        <v>10080</v>
      </c>
      <c r="S14" s="109">
        <v>11333</v>
      </c>
      <c r="T14" s="109">
        <v>14962</v>
      </c>
    </row>
    <row r="15" spans="1:20">
      <c r="A15" t="s">
        <v>194</v>
      </c>
      <c r="B15" s="108">
        <v>239</v>
      </c>
      <c r="C15" s="108">
        <v>444</v>
      </c>
      <c r="D15" s="108">
        <v>452</v>
      </c>
      <c r="E15" s="108">
        <v>321</v>
      </c>
      <c r="F15" s="108">
        <v>366</v>
      </c>
      <c r="G15" s="108">
        <v>636</v>
      </c>
      <c r="H15" s="108">
        <v>1175</v>
      </c>
      <c r="I15" s="108">
        <v>718</v>
      </c>
      <c r="J15" s="109" t="s">
        <v>195</v>
      </c>
      <c r="K15" s="109">
        <v>872</v>
      </c>
      <c r="L15" s="109" t="s">
        <v>196</v>
      </c>
      <c r="M15" s="108">
        <v>1289</v>
      </c>
      <c r="N15" s="108">
        <v>3080</v>
      </c>
      <c r="O15" s="105">
        <v>4062</v>
      </c>
      <c r="P15" s="105">
        <v>4026</v>
      </c>
      <c r="Q15" s="105">
        <v>3806</v>
      </c>
      <c r="R15" s="105">
        <v>3771</v>
      </c>
      <c r="S15" s="105">
        <v>2779</v>
      </c>
      <c r="T15" s="105">
        <v>2658</v>
      </c>
    </row>
    <row r="16" spans="1:20">
      <c r="A16" s="21" t="s">
        <v>197</v>
      </c>
      <c r="B16" s="144">
        <v>16055</v>
      </c>
      <c r="C16" s="144">
        <v>18127</v>
      </c>
      <c r="D16" s="144">
        <v>25806</v>
      </c>
      <c r="E16" s="144">
        <v>25806</v>
      </c>
      <c r="F16" s="144">
        <v>28829</v>
      </c>
      <c r="G16" s="144">
        <v>29575</v>
      </c>
      <c r="H16" s="144">
        <v>27418</v>
      </c>
      <c r="I16" s="144">
        <v>23223</v>
      </c>
      <c r="J16" s="145" t="s">
        <v>198</v>
      </c>
      <c r="K16" s="145">
        <v>24883</v>
      </c>
      <c r="L16" s="145" t="s">
        <v>199</v>
      </c>
      <c r="M16" s="144">
        <v>32658</v>
      </c>
      <c r="N16" s="144">
        <v>44345</v>
      </c>
      <c r="O16" s="146">
        <v>53729</v>
      </c>
      <c r="P16" s="146">
        <v>59633</v>
      </c>
      <c r="Q16" s="146">
        <v>67640</v>
      </c>
      <c r="R16" s="146">
        <v>80126</v>
      </c>
      <c r="S16" s="146">
        <v>89935</v>
      </c>
      <c r="T16" s="146">
        <v>102219</v>
      </c>
    </row>
    <row r="17" spans="1:20">
      <c r="A17" t="s">
        <v>200</v>
      </c>
      <c r="B17" s="108">
        <v>2149</v>
      </c>
      <c r="C17" s="108">
        <v>2268</v>
      </c>
      <c r="D17" s="108">
        <v>2364</v>
      </c>
      <c r="E17" s="108">
        <v>2509</v>
      </c>
      <c r="F17" s="108">
        <v>2778</v>
      </c>
      <c r="G17" s="108">
        <v>2916</v>
      </c>
      <c r="H17" s="108">
        <v>3233</v>
      </c>
      <c r="I17" s="108">
        <v>3774</v>
      </c>
      <c r="J17" s="109" t="s">
        <v>201</v>
      </c>
      <c r="K17" s="109">
        <v>3740</v>
      </c>
      <c r="L17" s="109" t="s">
        <v>202</v>
      </c>
      <c r="M17" s="108">
        <v>3844</v>
      </c>
      <c r="N17" s="108">
        <v>3914</v>
      </c>
      <c r="O17" s="109">
        <v>4006</v>
      </c>
      <c r="P17" s="109">
        <v>4885</v>
      </c>
      <c r="Q17" s="109">
        <v>5343</v>
      </c>
      <c r="R17" s="109">
        <v>6283</v>
      </c>
      <c r="S17" s="109">
        <v>7136</v>
      </c>
      <c r="T17" s="109">
        <v>9141</v>
      </c>
    </row>
    <row r="18" spans="1:20">
      <c r="A18" t="s">
        <v>203</v>
      </c>
      <c r="B18" s="108">
        <v>707</v>
      </c>
      <c r="C18" s="108">
        <v>727</v>
      </c>
      <c r="D18" s="108">
        <v>801</v>
      </c>
      <c r="E18" s="108">
        <v>830</v>
      </c>
      <c r="F18" s="108">
        <v>829</v>
      </c>
      <c r="G18" s="108">
        <v>856</v>
      </c>
      <c r="H18" s="108">
        <v>852</v>
      </c>
      <c r="I18" s="108">
        <v>927</v>
      </c>
      <c r="J18" s="109" t="s">
        <v>204</v>
      </c>
      <c r="K18" s="109">
        <v>1094</v>
      </c>
      <c r="L18" s="109" t="s">
        <v>205</v>
      </c>
      <c r="M18" s="108">
        <v>1316</v>
      </c>
      <c r="N18" s="108">
        <v>1346</v>
      </c>
      <c r="O18" s="109">
        <v>1532</v>
      </c>
      <c r="P18" s="109">
        <v>1556</v>
      </c>
      <c r="Q18" s="109">
        <v>1755</v>
      </c>
      <c r="R18" s="109">
        <v>1793</v>
      </c>
      <c r="S18" s="109">
        <v>1810</v>
      </c>
      <c r="T18" s="109">
        <v>2084</v>
      </c>
    </row>
    <row r="19" spans="1:20">
      <c r="A19" t="s">
        <v>206</v>
      </c>
      <c r="B19" s="108">
        <v>4193</v>
      </c>
      <c r="C19" s="108">
        <v>4193</v>
      </c>
      <c r="D19" s="108">
        <v>4193</v>
      </c>
      <c r="E19" s="108">
        <v>4302</v>
      </c>
      <c r="F19" s="108">
        <v>4349</v>
      </c>
      <c r="G19" s="108">
        <v>4365</v>
      </c>
      <c r="H19" s="108">
        <v>4372</v>
      </c>
      <c r="I19" s="108">
        <v>4372</v>
      </c>
      <c r="J19" s="109" t="s">
        <v>207</v>
      </c>
      <c r="K19" s="109">
        <v>4430</v>
      </c>
      <c r="L19" s="109" t="s">
        <v>208</v>
      </c>
      <c r="M19" s="108">
        <v>4430</v>
      </c>
      <c r="N19" s="108">
        <v>4430</v>
      </c>
      <c r="O19" s="109">
        <v>4453</v>
      </c>
      <c r="P19" s="109">
        <v>4622</v>
      </c>
      <c r="Q19" s="109">
        <v>4724</v>
      </c>
      <c r="R19" s="109">
        <v>5188</v>
      </c>
      <c r="S19" s="109">
        <v>5498</v>
      </c>
      <c r="T19" s="109">
        <v>5755</v>
      </c>
    </row>
    <row r="20" spans="1:20">
      <c r="A20" t="s">
        <v>209</v>
      </c>
      <c r="B20" s="108">
        <v>2737</v>
      </c>
      <c r="C20" s="108">
        <v>2613</v>
      </c>
      <c r="D20" s="108">
        <v>2478</v>
      </c>
      <c r="E20" s="108">
        <v>2454</v>
      </c>
      <c r="F20" s="108">
        <v>2339</v>
      </c>
      <c r="G20" s="108">
        <v>2211</v>
      </c>
      <c r="H20" s="108">
        <v>2036</v>
      </c>
      <c r="I20" s="108">
        <v>1850</v>
      </c>
      <c r="J20" s="109" t="s">
        <v>210</v>
      </c>
      <c r="K20" s="109">
        <v>1541</v>
      </c>
      <c r="L20" s="109" t="s">
        <v>211</v>
      </c>
      <c r="M20" s="108">
        <v>1251</v>
      </c>
      <c r="N20" s="108">
        <v>1112</v>
      </c>
      <c r="O20" s="109">
        <v>986</v>
      </c>
      <c r="P20" s="109">
        <v>952</v>
      </c>
      <c r="Q20" s="109">
        <v>838</v>
      </c>
      <c r="R20" s="109">
        <v>807</v>
      </c>
      <c r="S20" s="109">
        <v>769</v>
      </c>
      <c r="T20" s="109">
        <v>755</v>
      </c>
    </row>
    <row r="21" spans="1:20">
      <c r="A21" t="s">
        <v>212</v>
      </c>
      <c r="B21" s="108">
        <v>806</v>
      </c>
      <c r="C21" s="108">
        <v>778</v>
      </c>
      <c r="D21" s="108">
        <v>958</v>
      </c>
      <c r="E21" s="108">
        <v>970</v>
      </c>
      <c r="F21" s="108">
        <v>1222</v>
      </c>
      <c r="G21" s="108">
        <v>1784</v>
      </c>
      <c r="H21" s="108">
        <v>2225</v>
      </c>
      <c r="I21" s="108">
        <v>2762</v>
      </c>
      <c r="J21" s="109" t="s">
        <v>213</v>
      </c>
      <c r="K21" s="109">
        <v>4568</v>
      </c>
      <c r="L21" s="109" t="s">
        <v>214</v>
      </c>
      <c r="M21" s="108">
        <v>5982</v>
      </c>
      <c r="N21" s="108">
        <v>6081</v>
      </c>
      <c r="O21" s="109">
        <v>7798</v>
      </c>
      <c r="P21" s="109">
        <v>9578</v>
      </c>
      <c r="Q21" s="109">
        <v>10276</v>
      </c>
      <c r="R21" s="109">
        <v>10979</v>
      </c>
      <c r="S21" s="109">
        <v>13318</v>
      </c>
      <c r="T21" s="109">
        <v>13570</v>
      </c>
    </row>
    <row r="22" spans="1:20">
      <c r="A22" t="s">
        <v>215</v>
      </c>
      <c r="B22" s="108">
        <v>2144</v>
      </c>
      <c r="C22" s="108">
        <v>2090</v>
      </c>
      <c r="D22" s="108">
        <v>2050</v>
      </c>
      <c r="E22" s="108">
        <v>3761</v>
      </c>
      <c r="F22" s="108">
        <v>3841</v>
      </c>
      <c r="G22" s="108">
        <v>3505</v>
      </c>
      <c r="H22" s="108">
        <v>3340</v>
      </c>
      <c r="I22" s="108">
        <v>3580</v>
      </c>
      <c r="J22" s="109" t="s">
        <v>216</v>
      </c>
      <c r="K22" s="109">
        <v>4204</v>
      </c>
      <c r="L22" s="109" t="s">
        <v>217</v>
      </c>
      <c r="M22" s="108">
        <v>4667</v>
      </c>
      <c r="N22" s="108">
        <v>4500</v>
      </c>
      <c r="O22" s="105">
        <v>4568</v>
      </c>
      <c r="P22" s="105">
        <v>4001</v>
      </c>
      <c r="Q22" s="105">
        <v>5437</v>
      </c>
      <c r="R22" s="105">
        <v>6425</v>
      </c>
      <c r="S22" s="105">
        <v>6788</v>
      </c>
      <c r="T22" s="109">
        <v>7216</v>
      </c>
    </row>
    <row r="23" spans="1:20">
      <c r="A23" s="21" t="s">
        <v>218</v>
      </c>
      <c r="B23" s="144">
        <v>28791</v>
      </c>
      <c r="C23" s="144">
        <v>30796</v>
      </c>
      <c r="D23" s="144">
        <v>38650</v>
      </c>
      <c r="E23" s="144">
        <v>40632</v>
      </c>
      <c r="F23" s="144">
        <v>44187</v>
      </c>
      <c r="G23" s="144">
        <v>45212</v>
      </c>
      <c r="H23" s="144">
        <v>43476</v>
      </c>
      <c r="I23" s="144">
        <v>40488</v>
      </c>
      <c r="J23" s="145" t="s">
        <v>219</v>
      </c>
      <c r="K23" s="145">
        <v>44460</v>
      </c>
      <c r="L23" s="145" t="s">
        <v>220</v>
      </c>
      <c r="M23" s="144">
        <v>54148</v>
      </c>
      <c r="N23" s="144">
        <v>65728</v>
      </c>
      <c r="O23" s="146">
        <v>77072</v>
      </c>
      <c r="P23" s="146">
        <v>85227</v>
      </c>
      <c r="Q23" s="146">
        <v>96013</v>
      </c>
      <c r="R23" s="146">
        <v>111601</v>
      </c>
      <c r="S23" s="146">
        <v>125254</v>
      </c>
      <c r="T23" s="145">
        <v>140740</v>
      </c>
    </row>
    <row r="24" spans="1:20">
      <c r="A24" t="s">
        <v>163</v>
      </c>
      <c r="B24" s="105"/>
      <c r="C24" s="106"/>
      <c r="D24" s="106"/>
      <c r="E24" s="106"/>
      <c r="F24" s="106"/>
      <c r="G24" s="106"/>
      <c r="H24" s="106"/>
      <c r="I24" s="106"/>
      <c r="J24" s="107"/>
      <c r="K24" s="107"/>
      <c r="L24" s="107"/>
      <c r="M24" s="107"/>
      <c r="N24" s="107"/>
      <c r="O24" s="143"/>
      <c r="P24" s="143"/>
      <c r="Q24" s="143"/>
      <c r="R24" s="143"/>
      <c r="S24" s="143"/>
      <c r="T24" s="143"/>
    </row>
    <row r="25" spans="1:20">
      <c r="A25" t="s">
        <v>221</v>
      </c>
      <c r="B25" s="108"/>
      <c r="C25" s="106"/>
      <c r="D25" s="106"/>
      <c r="E25" s="106"/>
      <c r="F25" s="106"/>
      <c r="G25" s="106"/>
      <c r="H25" s="106"/>
      <c r="I25" s="106"/>
      <c r="J25" s="107"/>
      <c r="K25" s="107"/>
      <c r="L25" s="107"/>
      <c r="M25" s="108"/>
      <c r="N25" s="108"/>
      <c r="O25" s="143"/>
      <c r="P25" s="143"/>
      <c r="Q25" s="143"/>
      <c r="R25" s="143"/>
      <c r="S25" s="143"/>
      <c r="T25" s="143"/>
    </row>
    <row r="26" spans="1:20">
      <c r="A26" t="s">
        <v>222</v>
      </c>
      <c r="B26" s="108"/>
      <c r="C26" s="106"/>
      <c r="D26" s="106"/>
      <c r="E26" s="106"/>
      <c r="F26" s="106"/>
      <c r="G26" s="106"/>
      <c r="H26" s="106"/>
      <c r="I26" s="106"/>
      <c r="J26" s="107"/>
      <c r="K26" s="107"/>
      <c r="L26" s="107"/>
      <c r="M26" s="108"/>
      <c r="N26" s="108"/>
      <c r="O26" s="143"/>
      <c r="P26" s="143"/>
      <c r="Q26" s="143"/>
      <c r="R26" s="143"/>
      <c r="S26" s="143"/>
      <c r="T26" s="143"/>
    </row>
    <row r="27" spans="1:20">
      <c r="A27" t="s">
        <v>223</v>
      </c>
      <c r="B27" s="108">
        <v>1201</v>
      </c>
      <c r="C27" s="108">
        <v>1218</v>
      </c>
      <c r="D27" s="108">
        <v>1474</v>
      </c>
      <c r="E27" s="108">
        <v>1664</v>
      </c>
      <c r="F27" s="108">
        <v>1783</v>
      </c>
      <c r="G27" s="108">
        <v>1999</v>
      </c>
      <c r="H27" s="108">
        <v>2421</v>
      </c>
      <c r="I27" s="108">
        <v>1491</v>
      </c>
      <c r="J27" s="109" t="s">
        <v>224</v>
      </c>
      <c r="K27" s="109">
        <v>1141</v>
      </c>
      <c r="L27" s="109" t="s">
        <v>225</v>
      </c>
      <c r="M27" s="108">
        <v>2380</v>
      </c>
      <c r="N27" s="108">
        <v>2699</v>
      </c>
      <c r="O27" s="109">
        <v>2715</v>
      </c>
      <c r="P27" s="109">
        <v>3680</v>
      </c>
      <c r="Q27" s="109">
        <v>5353</v>
      </c>
      <c r="R27" s="109">
        <v>6310</v>
      </c>
      <c r="S27" s="109">
        <v>7331</v>
      </c>
      <c r="T27" s="109">
        <v>9064</v>
      </c>
    </row>
    <row r="28" spans="1:20">
      <c r="A28" t="s">
        <v>226</v>
      </c>
      <c r="B28" s="108">
        <v>1725</v>
      </c>
      <c r="C28" s="108">
        <v>1787</v>
      </c>
      <c r="D28" s="108">
        <v>1974</v>
      </c>
      <c r="E28" s="108">
        <v>1948</v>
      </c>
      <c r="F28" s="108">
        <v>2552</v>
      </c>
      <c r="G28" s="108">
        <v>3563</v>
      </c>
      <c r="H28" s="108">
        <v>3903</v>
      </c>
      <c r="I28" s="108">
        <v>4115</v>
      </c>
      <c r="J28" s="109" t="s">
        <v>227</v>
      </c>
      <c r="K28" s="109">
        <v>4869</v>
      </c>
      <c r="L28" s="109" t="s">
        <v>228</v>
      </c>
      <c r="M28" s="108">
        <v>5472</v>
      </c>
      <c r="N28" s="108">
        <v>6682</v>
      </c>
      <c r="O28" s="109">
        <v>11258</v>
      </c>
      <c r="P28" s="109">
        <v>10289</v>
      </c>
      <c r="Q28" s="109">
        <v>11126</v>
      </c>
      <c r="R28" s="109">
        <v>11737</v>
      </c>
      <c r="S28" s="109">
        <v>19211</v>
      </c>
      <c r="T28" s="109">
        <v>15193</v>
      </c>
    </row>
    <row r="29" spans="1:20">
      <c r="A29" t="s">
        <v>229</v>
      </c>
      <c r="B29" s="108">
        <v>999</v>
      </c>
      <c r="C29" s="108">
        <v>999</v>
      </c>
      <c r="D29" s="108">
        <v>1000</v>
      </c>
      <c r="E29" s="109">
        <v>0</v>
      </c>
      <c r="F29" s="109">
        <v>0</v>
      </c>
      <c r="G29" s="109">
        <v>0</v>
      </c>
      <c r="H29" s="108">
        <v>1249</v>
      </c>
      <c r="I29" s="108">
        <v>1249</v>
      </c>
      <c r="J29" s="109" t="s">
        <v>230</v>
      </c>
      <c r="K29" s="109">
        <v>1250</v>
      </c>
      <c r="L29" s="109" t="s">
        <v>231</v>
      </c>
      <c r="M29" s="108">
        <v>1249</v>
      </c>
      <c r="N29" s="108">
        <v>1250</v>
      </c>
      <c r="O29" s="109">
        <v>1250</v>
      </c>
      <c r="P29" s="109">
        <v>0</v>
      </c>
      <c r="Q29" s="109">
        <v>0</v>
      </c>
      <c r="R29" s="109">
        <v>0</v>
      </c>
      <c r="S29" s="109">
        <v>0</v>
      </c>
      <c r="T29" s="109">
        <v>0</v>
      </c>
    </row>
    <row r="30" spans="1:20">
      <c r="A30" s="21" t="s">
        <v>232</v>
      </c>
      <c r="B30" s="144">
        <v>3925</v>
      </c>
      <c r="C30" s="144">
        <v>4004</v>
      </c>
      <c r="D30" s="144">
        <v>4448</v>
      </c>
      <c r="E30" s="144">
        <v>3612</v>
      </c>
      <c r="F30" s="144">
        <v>4335</v>
      </c>
      <c r="G30" s="144">
        <v>5562</v>
      </c>
      <c r="H30" s="144">
        <v>7573</v>
      </c>
      <c r="I30" s="144">
        <v>6855</v>
      </c>
      <c r="J30" s="145" t="s">
        <v>233</v>
      </c>
      <c r="K30" s="145">
        <v>7260</v>
      </c>
      <c r="L30" s="145" t="s">
        <v>234</v>
      </c>
      <c r="M30" s="144">
        <v>9101</v>
      </c>
      <c r="N30" s="144">
        <v>10631</v>
      </c>
      <c r="O30" s="145">
        <v>15223</v>
      </c>
      <c r="P30" s="146">
        <v>13969</v>
      </c>
      <c r="Q30" s="146">
        <v>16479</v>
      </c>
      <c r="R30" s="146">
        <v>18047</v>
      </c>
      <c r="S30" s="146">
        <v>26542</v>
      </c>
      <c r="T30" s="146">
        <v>24257</v>
      </c>
    </row>
    <row r="31" spans="1:20">
      <c r="A31" t="s">
        <v>235</v>
      </c>
      <c r="B31" s="108">
        <v>5964</v>
      </c>
      <c r="C31" s="108">
        <v>5964</v>
      </c>
      <c r="D31" s="108">
        <v>10943</v>
      </c>
      <c r="E31" s="108">
        <v>10944</v>
      </c>
      <c r="F31" s="108">
        <v>10946</v>
      </c>
      <c r="G31" s="108">
        <v>10947</v>
      </c>
      <c r="H31" s="108">
        <v>9700</v>
      </c>
      <c r="I31" s="108">
        <v>9701</v>
      </c>
      <c r="J31" s="109" t="s">
        <v>236</v>
      </c>
      <c r="K31" s="109">
        <v>9704</v>
      </c>
      <c r="L31" s="109" t="s">
        <v>237</v>
      </c>
      <c r="M31" s="108">
        <v>8457</v>
      </c>
      <c r="N31" s="108">
        <v>8459</v>
      </c>
      <c r="O31" s="109">
        <v>8460</v>
      </c>
      <c r="P31" s="109">
        <v>8461</v>
      </c>
      <c r="Q31" s="109">
        <v>8462</v>
      </c>
      <c r="R31" s="109">
        <v>8463</v>
      </c>
      <c r="S31" s="109">
        <v>8464</v>
      </c>
      <c r="T31" s="109">
        <v>8466</v>
      </c>
    </row>
    <row r="32" spans="1:20">
      <c r="A32" t="s">
        <v>238</v>
      </c>
      <c r="B32" s="108">
        <v>634</v>
      </c>
      <c r="C32" s="108">
        <v>640</v>
      </c>
      <c r="D32" s="108">
        <v>716</v>
      </c>
      <c r="E32" s="108">
        <v>743</v>
      </c>
      <c r="F32" s="108">
        <v>741</v>
      </c>
      <c r="G32" s="108">
        <v>752</v>
      </c>
      <c r="H32" s="108">
        <v>743</v>
      </c>
      <c r="I32" s="108">
        <v>798</v>
      </c>
      <c r="J32" s="109" t="s">
        <v>239</v>
      </c>
      <c r="K32" s="109">
        <v>939</v>
      </c>
      <c r="L32" s="109" t="s">
        <v>240</v>
      </c>
      <c r="M32" s="108">
        <v>1091</v>
      </c>
      <c r="N32" s="108">
        <v>1119</v>
      </c>
      <c r="O32" s="109">
        <v>1281</v>
      </c>
      <c r="P32" s="109">
        <v>1304</v>
      </c>
      <c r="Q32" s="109">
        <v>1490</v>
      </c>
      <c r="R32" s="109">
        <v>1519</v>
      </c>
      <c r="S32" s="109">
        <v>1521</v>
      </c>
      <c r="T32" s="109">
        <v>1831</v>
      </c>
    </row>
    <row r="33" spans="1:20">
      <c r="A33" t="s">
        <v>241</v>
      </c>
      <c r="B33" s="108">
        <v>1375</v>
      </c>
      <c r="C33" s="108">
        <v>1414</v>
      </c>
      <c r="D33" s="108">
        <v>1396</v>
      </c>
      <c r="E33" s="108">
        <v>1535</v>
      </c>
      <c r="F33" s="108">
        <v>1553</v>
      </c>
      <c r="G33" s="108">
        <v>1631</v>
      </c>
      <c r="H33" s="108">
        <v>1609</v>
      </c>
      <c r="I33" s="108">
        <v>1785</v>
      </c>
      <c r="J33" s="109" t="s">
        <v>242</v>
      </c>
      <c r="K33" s="109">
        <v>2037</v>
      </c>
      <c r="L33" s="109" t="s">
        <v>243</v>
      </c>
      <c r="M33" s="108">
        <v>2234</v>
      </c>
      <c r="N33" s="108">
        <v>2541</v>
      </c>
      <c r="O33" s="105">
        <v>2966</v>
      </c>
      <c r="P33" s="105">
        <v>3336</v>
      </c>
      <c r="Q33" s="105">
        <v>3683</v>
      </c>
      <c r="R33" s="105">
        <v>4245</v>
      </c>
      <c r="S33" s="105">
        <v>4884</v>
      </c>
      <c r="T33" s="105">
        <v>6055</v>
      </c>
    </row>
    <row r="34" spans="1:20">
      <c r="A34" s="21" t="s">
        <v>244</v>
      </c>
      <c r="B34" s="144">
        <v>11898</v>
      </c>
      <c r="C34" s="144">
        <v>12022</v>
      </c>
      <c r="D34" s="144">
        <v>17503</v>
      </c>
      <c r="E34" s="144">
        <v>16834</v>
      </c>
      <c r="F34" s="144">
        <v>17575</v>
      </c>
      <c r="G34" s="144">
        <v>18892</v>
      </c>
      <c r="H34" s="144">
        <v>19625</v>
      </c>
      <c r="I34" s="144">
        <v>19139</v>
      </c>
      <c r="J34" s="145" t="s">
        <v>245</v>
      </c>
      <c r="K34" s="145">
        <v>19940</v>
      </c>
      <c r="L34" s="145" t="s">
        <v>246</v>
      </c>
      <c r="M34" s="144">
        <v>20883</v>
      </c>
      <c r="N34" s="144">
        <v>22750</v>
      </c>
      <c r="O34" s="146">
        <v>27930</v>
      </c>
      <c r="P34" s="146">
        <v>27070</v>
      </c>
      <c r="Q34" s="146">
        <v>30114</v>
      </c>
      <c r="R34" s="146">
        <v>32274</v>
      </c>
      <c r="S34" s="146">
        <v>41411</v>
      </c>
      <c r="T34" s="146">
        <v>40609</v>
      </c>
    </row>
    <row r="35" spans="1:20">
      <c r="B35" s="143"/>
      <c r="C35" s="143"/>
      <c r="D35" s="143"/>
      <c r="E35" s="143"/>
      <c r="F35" s="143"/>
      <c r="G35" s="143"/>
      <c r="H35" s="143"/>
      <c r="I35" s="143"/>
      <c r="J35" s="143"/>
      <c r="K35" s="143"/>
      <c r="L35" s="143"/>
      <c r="M35" s="143"/>
      <c r="N35" s="143"/>
      <c r="O35" s="143"/>
      <c r="P35" s="143"/>
      <c r="Q35" s="143"/>
      <c r="R35" s="143"/>
      <c r="S35" s="143"/>
      <c r="T35" s="143"/>
    </row>
    <row r="36" spans="1:20">
      <c r="A36" t="s">
        <v>247</v>
      </c>
      <c r="B36" s="108"/>
      <c r="C36" s="106"/>
      <c r="D36" s="105"/>
      <c r="E36" s="106"/>
      <c r="F36" s="106"/>
      <c r="G36" s="106"/>
      <c r="H36" s="106"/>
      <c r="I36" s="106"/>
      <c r="J36" s="107"/>
      <c r="K36" s="107"/>
      <c r="L36" s="107"/>
      <c r="M36" s="108"/>
      <c r="N36" s="107"/>
      <c r="O36" s="143"/>
      <c r="P36" s="143"/>
      <c r="Q36" s="143"/>
      <c r="R36" s="143"/>
      <c r="S36" s="143"/>
      <c r="T36" s="143"/>
    </row>
    <row r="37" spans="1:20">
      <c r="A37" t="s">
        <v>248</v>
      </c>
      <c r="B37" s="105"/>
      <c r="C37" s="106"/>
      <c r="D37" s="105"/>
      <c r="E37" s="106"/>
      <c r="F37" s="106"/>
      <c r="G37" s="106"/>
      <c r="H37" s="106"/>
      <c r="I37" s="106"/>
      <c r="J37" s="107"/>
      <c r="K37" s="107"/>
      <c r="L37" s="107"/>
      <c r="M37" s="108"/>
      <c r="N37" s="107"/>
      <c r="O37" s="143"/>
      <c r="P37" s="143"/>
      <c r="Q37" s="143"/>
      <c r="R37" s="143"/>
      <c r="S37" s="143"/>
      <c r="T37" s="143"/>
    </row>
    <row r="38" spans="1:20">
      <c r="A38" t="s">
        <v>249</v>
      </c>
      <c r="B38" s="109" t="s">
        <v>112</v>
      </c>
      <c r="C38" s="109" t="s">
        <v>112</v>
      </c>
      <c r="D38" s="109" t="s">
        <v>112</v>
      </c>
      <c r="E38" s="109" t="s">
        <v>112</v>
      </c>
      <c r="F38" s="109" t="s">
        <v>112</v>
      </c>
      <c r="G38" s="109" t="s">
        <v>112</v>
      </c>
      <c r="H38" s="109" t="s">
        <v>112</v>
      </c>
      <c r="I38" s="109" t="s">
        <v>112</v>
      </c>
      <c r="J38" s="109" t="s">
        <v>112</v>
      </c>
      <c r="K38" s="109" t="s">
        <v>112</v>
      </c>
      <c r="L38" s="109" t="s">
        <v>112</v>
      </c>
      <c r="M38" s="109" t="s">
        <v>112</v>
      </c>
      <c r="N38" s="109" t="s">
        <v>112</v>
      </c>
      <c r="O38" s="109" t="s">
        <v>112</v>
      </c>
      <c r="P38" s="109" t="s">
        <v>112</v>
      </c>
      <c r="Q38" s="109" t="s">
        <v>112</v>
      </c>
      <c r="R38" s="109" t="s">
        <v>112</v>
      </c>
      <c r="S38" s="109" t="s">
        <v>112</v>
      </c>
      <c r="T38" s="109" t="s">
        <v>112</v>
      </c>
    </row>
    <row r="39" spans="1:20">
      <c r="A39" t="s">
        <v>250</v>
      </c>
      <c r="B39" s="108">
        <v>3</v>
      </c>
      <c r="C39" s="108">
        <v>1</v>
      </c>
      <c r="D39" s="108">
        <v>3</v>
      </c>
      <c r="E39" s="108">
        <v>3</v>
      </c>
      <c r="F39" s="108">
        <v>3</v>
      </c>
      <c r="G39" s="108">
        <v>3</v>
      </c>
      <c r="H39" s="108">
        <v>2</v>
      </c>
      <c r="I39" s="108">
        <v>2</v>
      </c>
      <c r="J39" s="109" t="s">
        <v>251</v>
      </c>
      <c r="K39" s="109">
        <v>2</v>
      </c>
      <c r="L39" s="109" t="s">
        <v>251</v>
      </c>
      <c r="M39" s="108">
        <v>2</v>
      </c>
      <c r="N39" s="108">
        <v>2</v>
      </c>
      <c r="O39" s="143"/>
      <c r="P39" s="143"/>
      <c r="Q39" s="143"/>
      <c r="R39" s="143"/>
      <c r="S39" s="143"/>
      <c r="T39" s="143"/>
    </row>
    <row r="40" spans="1:20">
      <c r="A40" t="s">
        <v>252</v>
      </c>
      <c r="B40" s="108">
        <v>8719</v>
      </c>
      <c r="C40" s="108">
        <v>9280</v>
      </c>
      <c r="D40" s="108">
        <v>9745</v>
      </c>
      <c r="E40" s="108">
        <v>10465</v>
      </c>
      <c r="F40" s="108">
        <v>10385</v>
      </c>
      <c r="G40" s="108">
        <v>10623</v>
      </c>
      <c r="H40" s="108">
        <v>10968</v>
      </c>
      <c r="I40" s="108">
        <v>11565</v>
      </c>
      <c r="J40" s="109" t="s">
        <v>253</v>
      </c>
      <c r="K40" s="109">
        <v>12453</v>
      </c>
      <c r="L40" s="109" t="s">
        <v>254</v>
      </c>
      <c r="M40" s="108">
        <v>12991</v>
      </c>
      <c r="N40" s="108">
        <v>13132</v>
      </c>
      <c r="O40" s="143"/>
      <c r="P40" s="143"/>
      <c r="Q40" s="143"/>
      <c r="R40" s="143"/>
      <c r="S40" s="143"/>
      <c r="T40" s="143"/>
    </row>
    <row r="41" spans="1:20">
      <c r="A41" t="s">
        <v>255</v>
      </c>
      <c r="B41" s="108">
        <v>19</v>
      </c>
      <c r="C41" s="108">
        <v>14</v>
      </c>
      <c r="D41" s="108">
        <v>8</v>
      </c>
      <c r="E41" s="108">
        <v>9</v>
      </c>
      <c r="F41" s="108">
        <v>-11</v>
      </c>
      <c r="G41" s="108">
        <v>-64</v>
      </c>
      <c r="H41" s="108">
        <v>-90</v>
      </c>
      <c r="I41" s="108">
        <v>-123</v>
      </c>
      <c r="J41" s="109" t="s">
        <v>256</v>
      </c>
      <c r="K41" s="109">
        <v>-50</v>
      </c>
      <c r="L41" s="109" t="s">
        <v>257</v>
      </c>
      <c r="M41" s="108">
        <v>-88</v>
      </c>
      <c r="N41" s="108">
        <v>27</v>
      </c>
      <c r="O41" s="143"/>
      <c r="P41" s="143"/>
      <c r="Q41" s="143"/>
      <c r="R41" s="143"/>
      <c r="S41" s="143"/>
      <c r="T41" s="143"/>
    </row>
    <row r="42" spans="1:20">
      <c r="A42" t="s">
        <v>258</v>
      </c>
      <c r="B42" s="108">
        <v>18908</v>
      </c>
      <c r="C42" s="108">
        <v>20721</v>
      </c>
      <c r="D42" s="108">
        <v>22995</v>
      </c>
      <c r="E42" s="108">
        <v>25359</v>
      </c>
      <c r="F42" s="108">
        <v>16235</v>
      </c>
      <c r="G42" s="108">
        <v>15758</v>
      </c>
      <c r="H42" s="108">
        <v>12971</v>
      </c>
      <c r="I42" s="108">
        <v>9905</v>
      </c>
      <c r="J42" s="109" t="s">
        <v>259</v>
      </c>
      <c r="K42" s="109">
        <v>12115</v>
      </c>
      <c r="L42" s="109" t="s">
        <v>260</v>
      </c>
      <c r="M42" s="108">
        <v>20360</v>
      </c>
      <c r="N42" s="108">
        <v>29817</v>
      </c>
      <c r="O42" s="143"/>
      <c r="P42" s="143"/>
      <c r="Q42" s="143"/>
      <c r="R42" s="143"/>
      <c r="S42" s="143"/>
      <c r="T42" s="143"/>
    </row>
    <row r="43" spans="1:20">
      <c r="A43" t="s">
        <v>261</v>
      </c>
      <c r="B43" s="108">
        <v>16893</v>
      </c>
      <c r="C43" s="108">
        <v>18774</v>
      </c>
      <c r="D43" s="108">
        <v>21147</v>
      </c>
      <c r="E43" s="108">
        <v>23798</v>
      </c>
      <c r="F43" s="108">
        <v>26612</v>
      </c>
      <c r="G43" s="108">
        <v>26320</v>
      </c>
      <c r="H43" s="108">
        <v>23851</v>
      </c>
      <c r="I43" s="108">
        <v>21349</v>
      </c>
      <c r="J43" s="109" t="s">
        <v>262</v>
      </c>
      <c r="K43" s="109">
        <v>24520</v>
      </c>
      <c r="L43" s="109" t="s">
        <v>263</v>
      </c>
      <c r="M43" s="108">
        <v>33265</v>
      </c>
      <c r="N43" s="108">
        <v>42978</v>
      </c>
      <c r="O43" s="105"/>
      <c r="P43" s="105"/>
      <c r="Q43" s="105"/>
      <c r="R43" s="105"/>
      <c r="S43" s="105"/>
      <c r="T43" s="105"/>
    </row>
    <row r="44" spans="1:20">
      <c r="A44" s="21" t="s">
        <v>264</v>
      </c>
      <c r="B44" s="144">
        <v>28791</v>
      </c>
      <c r="C44" s="144">
        <v>30796</v>
      </c>
      <c r="D44" s="144">
        <v>38650</v>
      </c>
      <c r="E44" s="144">
        <v>40632</v>
      </c>
      <c r="F44" s="144">
        <v>44187</v>
      </c>
      <c r="G44" s="144">
        <v>45212</v>
      </c>
      <c r="H44" s="144">
        <v>43476</v>
      </c>
      <c r="I44" s="144">
        <v>40488</v>
      </c>
      <c r="J44" s="145" t="s">
        <v>219</v>
      </c>
      <c r="K44" s="145">
        <v>44460</v>
      </c>
      <c r="L44" s="145" t="s">
        <v>220</v>
      </c>
      <c r="M44" s="144">
        <v>54148</v>
      </c>
      <c r="N44" s="144">
        <v>65728</v>
      </c>
      <c r="O44" s="146"/>
      <c r="P44" s="146"/>
      <c r="Q44" s="146"/>
      <c r="R44" s="146"/>
      <c r="S44" s="146"/>
      <c r="T44" s="146"/>
    </row>
  </sheetData>
  <phoneticPr fontId="7" type="noConversion"/>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29F22-7ADE-49C9-A427-82453D5493A1}">
  <dimension ref="A1:S55"/>
  <sheetViews>
    <sheetView showGridLines="0" zoomScaleNormal="100" workbookViewId="0"/>
  </sheetViews>
  <sheetFormatPr defaultRowHeight="15"/>
  <cols>
    <col min="1" max="1" width="50.7109375" customWidth="1"/>
    <col min="2" max="19" width="11" bestFit="1" customWidth="1"/>
  </cols>
  <sheetData>
    <row r="1" spans="1:19" ht="4.5" customHeight="1">
      <c r="S1" s="22"/>
    </row>
    <row r="2" spans="1:19" ht="21.75" customHeight="1">
      <c r="A2" s="161" t="s">
        <v>33</v>
      </c>
      <c r="L2" s="102"/>
      <c r="M2" s="102"/>
      <c r="N2" s="102"/>
      <c r="O2" s="103"/>
      <c r="P2" s="103"/>
      <c r="Q2" s="103"/>
      <c r="R2" s="103"/>
      <c r="S2" s="103"/>
    </row>
    <row r="3" spans="1:19">
      <c r="A3" s="5" t="s">
        <v>78</v>
      </c>
      <c r="L3" s="101"/>
      <c r="M3" s="101"/>
      <c r="N3" s="101"/>
      <c r="O3" s="48"/>
      <c r="P3" s="48"/>
      <c r="Q3" s="48"/>
      <c r="R3" s="48"/>
      <c r="S3" s="48"/>
    </row>
    <row r="5" spans="1:19">
      <c r="A5" s="138"/>
      <c r="B5" s="88"/>
      <c r="C5" s="88"/>
      <c r="D5" s="88"/>
      <c r="E5" s="88"/>
      <c r="F5" s="88"/>
      <c r="H5" s="88"/>
      <c r="I5" s="88"/>
      <c r="J5" s="88"/>
    </row>
    <row r="6" spans="1:19">
      <c r="A6" t="s">
        <v>79</v>
      </c>
      <c r="B6" s="137" t="s">
        <v>50</v>
      </c>
      <c r="C6" s="137" t="s">
        <v>51</v>
      </c>
      <c r="D6" s="137" t="s">
        <v>52</v>
      </c>
      <c r="E6" s="137" t="s">
        <v>53</v>
      </c>
      <c r="F6" s="140" t="s">
        <v>54</v>
      </c>
      <c r="G6" s="140" t="s">
        <v>55</v>
      </c>
      <c r="H6" s="137" t="s">
        <v>56</v>
      </c>
      <c r="I6" s="137" t="s">
        <v>57</v>
      </c>
      <c r="J6" s="140" t="s">
        <v>58</v>
      </c>
      <c r="K6" s="140" t="s">
        <v>59</v>
      </c>
      <c r="L6" s="140" t="s">
        <v>60</v>
      </c>
      <c r="M6" s="140" t="s">
        <v>61</v>
      </c>
      <c r="N6" s="140" t="s">
        <v>62</v>
      </c>
      <c r="O6" s="140" t="s">
        <v>63</v>
      </c>
      <c r="P6" s="140" t="s">
        <v>64</v>
      </c>
      <c r="Q6" s="140" t="s">
        <v>65</v>
      </c>
      <c r="R6" s="140" t="s">
        <v>72</v>
      </c>
      <c r="S6" s="140" t="s">
        <v>73</v>
      </c>
    </row>
    <row r="7" spans="1:19">
      <c r="A7" s="139" t="s">
        <v>80</v>
      </c>
      <c r="B7" s="142">
        <v>44318</v>
      </c>
      <c r="C7" s="142">
        <v>44409</v>
      </c>
      <c r="D7" s="142">
        <v>44500</v>
      </c>
      <c r="E7" s="142">
        <v>44591</v>
      </c>
      <c r="F7" s="142">
        <v>44682</v>
      </c>
      <c r="G7" s="142">
        <v>44773</v>
      </c>
      <c r="H7" s="142">
        <v>44864</v>
      </c>
      <c r="I7" s="142">
        <v>44955</v>
      </c>
      <c r="J7" s="142">
        <v>45046</v>
      </c>
      <c r="K7" s="142">
        <v>45137</v>
      </c>
      <c r="L7" s="142">
        <v>45228</v>
      </c>
      <c r="M7" s="142">
        <v>45319</v>
      </c>
      <c r="N7" s="142">
        <v>45410</v>
      </c>
      <c r="O7" s="142">
        <v>45501</v>
      </c>
      <c r="P7" s="142">
        <v>45592</v>
      </c>
      <c r="Q7" s="142">
        <v>45683</v>
      </c>
      <c r="R7" s="142">
        <v>45774</v>
      </c>
      <c r="S7" s="142">
        <v>45865</v>
      </c>
    </row>
    <row r="9" spans="1:19">
      <c r="A9" t="s">
        <v>265</v>
      </c>
    </row>
    <row r="10" spans="1:19">
      <c r="A10" t="s">
        <v>157</v>
      </c>
      <c r="B10" s="105">
        <v>1912</v>
      </c>
      <c r="C10" s="105">
        <v>4285</v>
      </c>
      <c r="D10" s="105">
        <v>6749</v>
      </c>
      <c r="E10" s="105">
        <v>9752</v>
      </c>
      <c r="F10" s="105">
        <v>1618</v>
      </c>
      <c r="G10" s="105">
        <v>2274</v>
      </c>
      <c r="H10" s="105">
        <v>2954</v>
      </c>
      <c r="I10" s="105">
        <v>4368</v>
      </c>
      <c r="J10" s="105">
        <v>2043</v>
      </c>
      <c r="K10" s="105">
        <v>8232</v>
      </c>
      <c r="L10" s="105">
        <v>17475</v>
      </c>
      <c r="M10" s="105">
        <v>29760</v>
      </c>
      <c r="N10" s="105">
        <v>14881</v>
      </c>
      <c r="O10" s="105">
        <v>31480</v>
      </c>
      <c r="P10" s="105">
        <v>50789</v>
      </c>
      <c r="Q10" s="105">
        <v>72880</v>
      </c>
      <c r="R10" s="105">
        <v>18775</v>
      </c>
      <c r="S10" s="105">
        <v>45197</v>
      </c>
    </row>
    <row r="11" spans="1:19" ht="30">
      <c r="A11" s="147" t="s">
        <v>266</v>
      </c>
      <c r="B11" s="105"/>
      <c r="C11" s="105"/>
      <c r="D11" s="105"/>
      <c r="E11" s="105"/>
      <c r="F11" s="105"/>
      <c r="G11" s="105"/>
      <c r="H11" s="105"/>
      <c r="I11" s="105"/>
      <c r="J11" s="105"/>
      <c r="K11" s="105"/>
      <c r="L11" s="105"/>
      <c r="M11" s="105"/>
      <c r="N11" s="143"/>
      <c r="O11" s="143"/>
      <c r="P11" s="143"/>
      <c r="Q11" s="143"/>
      <c r="R11" s="143"/>
      <c r="S11" s="143"/>
    </row>
    <row r="12" spans="1:19">
      <c r="A12" t="s">
        <v>111</v>
      </c>
      <c r="B12" s="148" t="s">
        <v>112</v>
      </c>
      <c r="C12" s="148" t="s">
        <v>112</v>
      </c>
      <c r="D12" s="148" t="s">
        <v>112</v>
      </c>
      <c r="E12" s="148" t="s">
        <v>112</v>
      </c>
      <c r="F12" s="105">
        <v>1353</v>
      </c>
      <c r="G12" s="105">
        <v>1353</v>
      </c>
      <c r="H12" s="105">
        <v>1353</v>
      </c>
      <c r="I12" s="105">
        <v>1353</v>
      </c>
      <c r="J12" s="148" t="s">
        <v>112</v>
      </c>
      <c r="K12" s="148" t="s">
        <v>112</v>
      </c>
      <c r="L12" s="148" t="s">
        <v>112</v>
      </c>
      <c r="M12" s="148" t="s">
        <v>112</v>
      </c>
      <c r="N12" s="148" t="s">
        <v>112</v>
      </c>
      <c r="O12" s="148" t="s">
        <v>112</v>
      </c>
      <c r="P12" s="148" t="s">
        <v>112</v>
      </c>
      <c r="Q12" s="148" t="s">
        <v>112</v>
      </c>
      <c r="R12" s="148" t="s">
        <v>112</v>
      </c>
      <c r="S12" s="148" t="s">
        <v>112</v>
      </c>
    </row>
    <row r="13" spans="1:19">
      <c r="A13" t="s">
        <v>267</v>
      </c>
      <c r="B13" s="105">
        <v>429</v>
      </c>
      <c r="C13" s="105">
        <v>894</v>
      </c>
      <c r="D13" s="105">
        <v>1453</v>
      </c>
      <c r="E13" s="105">
        <v>2004</v>
      </c>
      <c r="F13" s="105">
        <v>578</v>
      </c>
      <c r="G13" s="105">
        <v>1226</v>
      </c>
      <c r="H13" s="105">
        <v>1971</v>
      </c>
      <c r="I13" s="105">
        <v>2709</v>
      </c>
      <c r="J13" s="105">
        <v>735</v>
      </c>
      <c r="K13" s="105">
        <v>1576</v>
      </c>
      <c r="L13" s="105">
        <v>2555</v>
      </c>
      <c r="M13" s="105">
        <v>3549</v>
      </c>
      <c r="N13" s="105">
        <v>1011</v>
      </c>
      <c r="O13" s="105">
        <v>2164</v>
      </c>
      <c r="P13" s="105">
        <v>3416</v>
      </c>
      <c r="Q13" s="105">
        <v>4737</v>
      </c>
      <c r="R13" s="105">
        <v>1474</v>
      </c>
      <c r="S13" s="105">
        <v>3099</v>
      </c>
    </row>
    <row r="14" spans="1:19">
      <c r="A14" t="s">
        <v>268</v>
      </c>
      <c r="B14" s="105">
        <v>281</v>
      </c>
      <c r="C14" s="105">
        <v>567</v>
      </c>
      <c r="D14" s="105">
        <v>865</v>
      </c>
      <c r="E14" s="105">
        <v>1174</v>
      </c>
      <c r="F14" s="105">
        <v>334</v>
      </c>
      <c r="G14" s="105">
        <v>712</v>
      </c>
      <c r="H14" s="105">
        <v>1118</v>
      </c>
      <c r="I14" s="105">
        <v>1544</v>
      </c>
      <c r="J14" s="105">
        <v>384</v>
      </c>
      <c r="K14" s="105">
        <v>749</v>
      </c>
      <c r="L14" s="105">
        <v>1121</v>
      </c>
      <c r="M14" s="105">
        <v>1508</v>
      </c>
      <c r="N14" s="105">
        <v>410</v>
      </c>
      <c r="O14" s="105">
        <v>843</v>
      </c>
      <c r="P14" s="105">
        <v>1321</v>
      </c>
      <c r="Q14" s="105">
        <v>1864</v>
      </c>
      <c r="R14" s="105">
        <v>611</v>
      </c>
      <c r="S14" s="105">
        <v>1280</v>
      </c>
    </row>
    <row r="15" spans="1:19">
      <c r="A15" t="s">
        <v>269</v>
      </c>
      <c r="B15" s="105">
        <v>24</v>
      </c>
      <c r="C15" s="105">
        <v>-161</v>
      </c>
      <c r="D15" s="105">
        <v>-182</v>
      </c>
      <c r="E15" s="105">
        <v>-406</v>
      </c>
      <c r="F15" s="105">
        <v>-542</v>
      </c>
      <c r="G15" s="105">
        <v>-985</v>
      </c>
      <c r="H15" s="105">
        <v>-1517</v>
      </c>
      <c r="I15" s="105">
        <v>-2164</v>
      </c>
      <c r="J15" s="105">
        <v>-1135</v>
      </c>
      <c r="K15" s="105">
        <v>-1881</v>
      </c>
      <c r="L15" s="105">
        <v>-2411</v>
      </c>
      <c r="M15" s="105">
        <v>-2489</v>
      </c>
      <c r="N15" s="105">
        <v>-1577</v>
      </c>
      <c r="O15" s="105">
        <v>-3276</v>
      </c>
      <c r="P15" s="105">
        <v>-3879</v>
      </c>
      <c r="Q15" s="105">
        <v>-4477</v>
      </c>
      <c r="R15" s="105">
        <v>-2177</v>
      </c>
      <c r="S15" s="105">
        <v>-2160</v>
      </c>
    </row>
    <row r="16" spans="1:19">
      <c r="A16" t="s">
        <v>270</v>
      </c>
      <c r="B16" s="105">
        <v>-133</v>
      </c>
      <c r="C16" s="105">
        <v>-133</v>
      </c>
      <c r="D16" s="105">
        <v>-152</v>
      </c>
      <c r="E16" s="105">
        <v>-100</v>
      </c>
      <c r="F16" s="105">
        <v>17</v>
      </c>
      <c r="G16" s="105">
        <v>24</v>
      </c>
      <c r="H16" s="105">
        <v>35</v>
      </c>
      <c r="I16" s="105">
        <v>45</v>
      </c>
      <c r="J16" s="105">
        <v>14</v>
      </c>
      <c r="K16" s="105">
        <v>-45</v>
      </c>
      <c r="L16" s="105">
        <v>24</v>
      </c>
      <c r="M16" s="105">
        <v>-238</v>
      </c>
      <c r="N16" s="105">
        <v>-69</v>
      </c>
      <c r="O16" s="105">
        <v>-264</v>
      </c>
      <c r="P16" s="105">
        <v>-302</v>
      </c>
      <c r="Q16" s="105">
        <v>-1030</v>
      </c>
      <c r="R16" s="105">
        <v>175</v>
      </c>
      <c r="S16" s="105">
        <v>-2073</v>
      </c>
    </row>
    <row r="17" spans="1:19">
      <c r="A17" t="s">
        <v>271</v>
      </c>
      <c r="B17" s="105">
        <v>-3</v>
      </c>
      <c r="C17" s="105">
        <v>16</v>
      </c>
      <c r="D17" s="105">
        <v>25</v>
      </c>
      <c r="E17" s="105">
        <v>47</v>
      </c>
      <c r="F17" s="105">
        <v>23</v>
      </c>
      <c r="G17" s="105">
        <v>18</v>
      </c>
      <c r="H17" s="105">
        <v>-27</v>
      </c>
      <c r="I17" s="105">
        <v>-7</v>
      </c>
      <c r="J17" s="105">
        <v>-34</v>
      </c>
      <c r="K17" s="105">
        <v>-102</v>
      </c>
      <c r="L17" s="105">
        <v>-170</v>
      </c>
      <c r="M17" s="105">
        <v>-278</v>
      </c>
      <c r="N17" s="105">
        <v>-145</v>
      </c>
      <c r="O17" s="105">
        <v>-288</v>
      </c>
      <c r="P17" s="105">
        <v>-365</v>
      </c>
      <c r="Q17" s="105">
        <v>-502</v>
      </c>
      <c r="R17" s="105">
        <v>-98</v>
      </c>
      <c r="S17" s="105">
        <v>-196</v>
      </c>
    </row>
    <row r="18" spans="1:19" ht="30">
      <c r="A18" s="147" t="s">
        <v>272</v>
      </c>
      <c r="B18" s="105"/>
      <c r="C18" s="105"/>
      <c r="D18" s="105"/>
      <c r="E18" s="105"/>
      <c r="F18" s="105"/>
      <c r="G18" s="105"/>
      <c r="H18" s="105"/>
      <c r="I18" s="105"/>
      <c r="J18" s="105"/>
      <c r="K18" s="105"/>
      <c r="L18" s="105"/>
      <c r="M18" s="105"/>
      <c r="N18" s="105"/>
      <c r="O18" s="105"/>
      <c r="P18" s="105"/>
      <c r="Q18" s="105"/>
      <c r="R18" s="105"/>
      <c r="S18" s="105"/>
    </row>
    <row r="19" spans="1:19">
      <c r="A19" t="s">
        <v>273</v>
      </c>
      <c r="B19" s="105">
        <v>-595</v>
      </c>
      <c r="C19" s="105">
        <v>-1157</v>
      </c>
      <c r="D19" s="105">
        <v>-1523</v>
      </c>
      <c r="E19" s="105">
        <v>-2215</v>
      </c>
      <c r="F19" s="105">
        <v>-788</v>
      </c>
      <c r="G19" s="105">
        <v>-668</v>
      </c>
      <c r="H19" s="105">
        <v>-258</v>
      </c>
      <c r="I19" s="105">
        <v>822</v>
      </c>
      <c r="J19" s="105">
        <v>-252</v>
      </c>
      <c r="K19" s="105">
        <v>-3239</v>
      </c>
      <c r="L19" s="105">
        <v>-4482</v>
      </c>
      <c r="M19" s="105">
        <v>-6172</v>
      </c>
      <c r="N19" s="105">
        <v>-2366</v>
      </c>
      <c r="O19" s="105">
        <v>-4133</v>
      </c>
      <c r="P19" s="105">
        <v>-7694</v>
      </c>
      <c r="Q19" s="105">
        <v>-13063</v>
      </c>
      <c r="R19" s="105">
        <v>933</v>
      </c>
      <c r="S19" s="105">
        <v>-4743</v>
      </c>
    </row>
    <row r="20" spans="1:19">
      <c r="A20" t="s">
        <v>191</v>
      </c>
      <c r="B20" s="105">
        <v>-159</v>
      </c>
      <c r="C20" s="105">
        <v>-282</v>
      </c>
      <c r="D20" s="105">
        <v>-400</v>
      </c>
      <c r="E20" s="105">
        <v>-774</v>
      </c>
      <c r="F20" s="105">
        <v>-560</v>
      </c>
      <c r="G20" s="105">
        <v>-1285</v>
      </c>
      <c r="H20" s="105">
        <v>-1848</v>
      </c>
      <c r="I20" s="105">
        <v>-2554</v>
      </c>
      <c r="J20" s="105">
        <v>566</v>
      </c>
      <c r="K20" s="105">
        <v>861</v>
      </c>
      <c r="L20" s="105">
        <v>405</v>
      </c>
      <c r="M20" s="105">
        <v>-98</v>
      </c>
      <c r="N20" s="105">
        <v>-577</v>
      </c>
      <c r="O20" s="105">
        <v>-1380</v>
      </c>
      <c r="P20" s="105">
        <v>-2357</v>
      </c>
      <c r="Q20" s="105">
        <v>-4781</v>
      </c>
      <c r="R20" s="105">
        <v>-1258</v>
      </c>
      <c r="S20" s="105">
        <v>-4880</v>
      </c>
    </row>
    <row r="21" spans="1:19">
      <c r="A21" t="s">
        <v>274</v>
      </c>
      <c r="B21" s="105">
        <v>2</v>
      </c>
      <c r="C21" s="105">
        <v>18</v>
      </c>
      <c r="D21" s="105">
        <v>-1557</v>
      </c>
      <c r="E21" s="105">
        <v>-1715</v>
      </c>
      <c r="F21" s="105">
        <v>-1261</v>
      </c>
      <c r="G21" s="105">
        <v>-1554</v>
      </c>
      <c r="H21" s="105">
        <v>-1307</v>
      </c>
      <c r="I21" s="105">
        <v>-1517</v>
      </c>
      <c r="J21" s="105">
        <v>-215</v>
      </c>
      <c r="K21" s="105">
        <v>-592</v>
      </c>
      <c r="L21" s="105">
        <v>-337</v>
      </c>
      <c r="M21" s="105">
        <v>-1522</v>
      </c>
      <c r="N21" s="105">
        <v>-726</v>
      </c>
      <c r="O21" s="105">
        <v>-12</v>
      </c>
      <c r="P21" s="105">
        <v>-726</v>
      </c>
      <c r="Q21" s="105">
        <v>-395</v>
      </c>
      <c r="R21" s="105">
        <v>560</v>
      </c>
      <c r="S21" s="105">
        <v>946</v>
      </c>
    </row>
    <row r="22" spans="1:19">
      <c r="A22" t="s">
        <v>223</v>
      </c>
      <c r="B22" s="105">
        <v>36</v>
      </c>
      <c r="C22" s="105">
        <v>245</v>
      </c>
      <c r="D22" s="105">
        <v>474</v>
      </c>
      <c r="E22" s="105">
        <v>568</v>
      </c>
      <c r="F22" s="105">
        <v>255</v>
      </c>
      <c r="G22" s="105">
        <v>559</v>
      </c>
      <c r="H22" s="105">
        <v>-358</v>
      </c>
      <c r="I22" s="105">
        <v>-551</v>
      </c>
      <c r="J22" s="105">
        <v>11</v>
      </c>
      <c r="K22" s="105">
        <v>789</v>
      </c>
      <c r="L22" s="105">
        <v>1250</v>
      </c>
      <c r="M22" s="105">
        <v>1531</v>
      </c>
      <c r="N22" s="105">
        <v>-22</v>
      </c>
      <c r="O22" s="105">
        <v>801</v>
      </c>
      <c r="P22" s="105">
        <v>2490</v>
      </c>
      <c r="Q22" s="105">
        <v>3357</v>
      </c>
      <c r="R22" s="105">
        <v>941</v>
      </c>
      <c r="S22" s="105">
        <v>2255</v>
      </c>
    </row>
    <row r="23" spans="1:19">
      <c r="A23" t="s">
        <v>226</v>
      </c>
      <c r="B23" s="105">
        <v>33</v>
      </c>
      <c r="C23" s="105">
        <v>166</v>
      </c>
      <c r="D23" s="105">
        <v>70</v>
      </c>
      <c r="E23" s="105">
        <v>581</v>
      </c>
      <c r="F23" s="105">
        <v>634</v>
      </c>
      <c r="G23" s="105">
        <v>1267</v>
      </c>
      <c r="H23" s="105">
        <v>1175</v>
      </c>
      <c r="I23" s="105">
        <v>1341</v>
      </c>
      <c r="J23" s="105">
        <v>689</v>
      </c>
      <c r="K23" s="105">
        <v>2675</v>
      </c>
      <c r="L23" s="105">
        <v>953</v>
      </c>
      <c r="M23" s="105">
        <v>2025</v>
      </c>
      <c r="N23" s="105">
        <v>4202</v>
      </c>
      <c r="O23" s="105">
        <v>3314</v>
      </c>
      <c r="P23" s="105">
        <v>3918</v>
      </c>
      <c r="Q23" s="105">
        <v>4278</v>
      </c>
      <c r="R23" s="105">
        <v>7128</v>
      </c>
      <c r="S23" s="105">
        <v>3075</v>
      </c>
    </row>
    <row r="24" spans="1:19">
      <c r="A24" t="s">
        <v>241</v>
      </c>
      <c r="B24" s="105">
        <v>47</v>
      </c>
      <c r="C24" s="105">
        <v>98</v>
      </c>
      <c r="D24" s="105">
        <v>253</v>
      </c>
      <c r="E24" s="105">
        <v>192</v>
      </c>
      <c r="F24" s="105">
        <v>70</v>
      </c>
      <c r="G24" s="105">
        <v>60</v>
      </c>
      <c r="H24" s="105">
        <v>102</v>
      </c>
      <c r="I24" s="105">
        <v>252</v>
      </c>
      <c r="J24" s="105">
        <v>105</v>
      </c>
      <c r="K24" s="105">
        <v>236</v>
      </c>
      <c r="L24" s="105">
        <v>208</v>
      </c>
      <c r="M24" s="105">
        <v>514</v>
      </c>
      <c r="N24" s="105">
        <v>323</v>
      </c>
      <c r="O24" s="105">
        <v>584</v>
      </c>
      <c r="P24" s="105">
        <v>349</v>
      </c>
      <c r="Q24" s="105">
        <v>1221</v>
      </c>
      <c r="R24" s="105">
        <v>350</v>
      </c>
      <c r="S24" s="105">
        <v>979</v>
      </c>
    </row>
    <row r="25" spans="1:19">
      <c r="A25" s="21" t="s">
        <v>275</v>
      </c>
      <c r="B25" s="146">
        <v>1874</v>
      </c>
      <c r="C25" s="146">
        <v>4556</v>
      </c>
      <c r="D25" s="146">
        <v>6075</v>
      </c>
      <c r="E25" s="146">
        <v>9108</v>
      </c>
      <c r="F25" s="146">
        <v>1731</v>
      </c>
      <c r="G25" s="146">
        <v>3001</v>
      </c>
      <c r="H25" s="146">
        <v>3393</v>
      </c>
      <c r="I25" s="146">
        <v>5641</v>
      </c>
      <c r="J25" s="146">
        <v>2911</v>
      </c>
      <c r="K25" s="146">
        <v>9259</v>
      </c>
      <c r="L25" s="146">
        <v>16591</v>
      </c>
      <c r="M25" s="146">
        <v>28090</v>
      </c>
      <c r="N25" s="146">
        <v>15345</v>
      </c>
      <c r="O25" s="146">
        <v>29833</v>
      </c>
      <c r="P25" s="146">
        <v>47460</v>
      </c>
      <c r="Q25" s="146">
        <v>64089</v>
      </c>
      <c r="R25" s="146">
        <v>27414</v>
      </c>
      <c r="S25" s="146">
        <v>42779</v>
      </c>
    </row>
    <row r="27" spans="1:19">
      <c r="A27" t="s">
        <v>276</v>
      </c>
      <c r="B27" s="105"/>
      <c r="C27" s="105"/>
      <c r="D27" s="105"/>
      <c r="E27" s="105"/>
      <c r="F27" s="105"/>
      <c r="G27" s="105"/>
      <c r="H27" s="105"/>
      <c r="I27" s="105"/>
      <c r="J27" s="105"/>
      <c r="K27" s="105"/>
      <c r="L27" s="105"/>
      <c r="M27" s="105"/>
      <c r="N27" s="143"/>
      <c r="O27" s="143"/>
      <c r="P27" s="143"/>
      <c r="Q27" s="143"/>
      <c r="R27" s="143"/>
      <c r="S27" s="143"/>
    </row>
    <row r="28" spans="1:19">
      <c r="A28" t="s">
        <v>277</v>
      </c>
      <c r="B28" s="105">
        <v>3140</v>
      </c>
      <c r="C28" s="105">
        <v>5236</v>
      </c>
      <c r="D28" s="105">
        <v>7780</v>
      </c>
      <c r="E28" s="105">
        <v>15197</v>
      </c>
      <c r="F28" s="105">
        <v>5947</v>
      </c>
      <c r="G28" s="105">
        <v>10983</v>
      </c>
      <c r="H28" s="105">
        <v>16792</v>
      </c>
      <c r="I28" s="105">
        <v>19425</v>
      </c>
      <c r="J28" s="105">
        <v>2512</v>
      </c>
      <c r="K28" s="105">
        <v>5111</v>
      </c>
      <c r="L28" s="105">
        <v>8001</v>
      </c>
      <c r="M28" s="105">
        <v>9732</v>
      </c>
      <c r="N28" s="105">
        <v>4004</v>
      </c>
      <c r="O28" s="105">
        <v>8098</v>
      </c>
      <c r="P28" s="105">
        <v>9485</v>
      </c>
      <c r="Q28" s="105">
        <v>11195</v>
      </c>
      <c r="R28" s="105">
        <v>3122</v>
      </c>
      <c r="S28" s="105">
        <v>6252</v>
      </c>
    </row>
    <row r="29" spans="1:19">
      <c r="A29" t="s">
        <v>278</v>
      </c>
      <c r="B29" s="105">
        <v>358</v>
      </c>
      <c r="C29" s="105">
        <v>705</v>
      </c>
      <c r="D29" s="105">
        <v>916</v>
      </c>
      <c r="E29" s="105">
        <v>1023</v>
      </c>
      <c r="F29" s="105">
        <v>1029</v>
      </c>
      <c r="G29" s="105">
        <v>1731</v>
      </c>
      <c r="H29" s="105">
        <v>1806</v>
      </c>
      <c r="I29" s="105">
        <v>1806</v>
      </c>
      <c r="J29" s="148" t="s">
        <v>112</v>
      </c>
      <c r="K29" s="148" t="s">
        <v>112</v>
      </c>
      <c r="L29" s="148" t="s">
        <v>112</v>
      </c>
      <c r="M29" s="105">
        <v>50</v>
      </c>
      <c r="N29" s="105">
        <v>149</v>
      </c>
      <c r="O29" s="105">
        <v>164</v>
      </c>
      <c r="P29" s="105">
        <v>318</v>
      </c>
      <c r="Q29" s="105">
        <v>495</v>
      </c>
      <c r="R29" s="105">
        <v>467</v>
      </c>
      <c r="S29" s="105">
        <v>487</v>
      </c>
    </row>
    <row r="30" spans="1:19">
      <c r="A30" t="s">
        <v>279</v>
      </c>
      <c r="B30" s="105">
        <v>-4470</v>
      </c>
      <c r="C30" s="105">
        <v>-9268</v>
      </c>
      <c r="D30" s="105">
        <v>-16020</v>
      </c>
      <c r="E30" s="105">
        <v>-24787</v>
      </c>
      <c r="F30" s="105">
        <v>-3932</v>
      </c>
      <c r="G30" s="105">
        <v>-7576</v>
      </c>
      <c r="H30" s="105">
        <v>-9764</v>
      </c>
      <c r="I30" s="105">
        <v>-11897</v>
      </c>
      <c r="J30" s="105">
        <v>-2801</v>
      </c>
      <c r="K30" s="105">
        <v>-5343</v>
      </c>
      <c r="L30" s="105">
        <v>-10688</v>
      </c>
      <c r="M30" s="105">
        <v>-18211</v>
      </c>
      <c r="N30" s="105">
        <v>-9303</v>
      </c>
      <c r="O30" s="105">
        <v>-15047</v>
      </c>
      <c r="P30" s="105">
        <v>-19565</v>
      </c>
      <c r="Q30" s="105">
        <v>-26575</v>
      </c>
      <c r="R30" s="105">
        <v>-6546</v>
      </c>
      <c r="S30" s="105">
        <v>-14358</v>
      </c>
    </row>
    <row r="31" spans="1:19">
      <c r="A31" t="s">
        <v>280</v>
      </c>
      <c r="B31" s="105">
        <v>-298</v>
      </c>
      <c r="C31" s="105">
        <v>-481</v>
      </c>
      <c r="D31" s="105">
        <v>-703</v>
      </c>
      <c r="E31" s="105">
        <v>-976</v>
      </c>
      <c r="F31" s="105">
        <v>-361</v>
      </c>
      <c r="G31" s="105">
        <v>-794</v>
      </c>
      <c r="H31" s="105">
        <v>-1324</v>
      </c>
      <c r="I31" s="105">
        <v>-1833</v>
      </c>
      <c r="J31" s="105">
        <v>-248</v>
      </c>
      <c r="K31" s="105">
        <v>-537</v>
      </c>
      <c r="L31" s="105">
        <v>-815</v>
      </c>
      <c r="M31" s="105">
        <v>-1069</v>
      </c>
      <c r="N31" s="105">
        <v>-369</v>
      </c>
      <c r="O31" s="105">
        <v>-1346</v>
      </c>
      <c r="P31" s="105">
        <v>-2159</v>
      </c>
      <c r="Q31" s="105">
        <v>-3236</v>
      </c>
      <c r="R31" s="105">
        <v>-1227</v>
      </c>
      <c r="S31" s="105">
        <v>-3122</v>
      </c>
    </row>
    <row r="32" spans="1:19">
      <c r="A32" t="s">
        <v>281</v>
      </c>
      <c r="B32" s="105">
        <v>-2</v>
      </c>
      <c r="C32" s="105">
        <v>3</v>
      </c>
      <c r="D32" s="105">
        <v>-203</v>
      </c>
      <c r="E32" s="105">
        <v>-24</v>
      </c>
      <c r="F32" s="105">
        <v>-36</v>
      </c>
      <c r="G32" s="105">
        <v>-49</v>
      </c>
      <c r="H32" s="105">
        <v>-49</v>
      </c>
      <c r="I32" s="105">
        <v>-49</v>
      </c>
      <c r="J32" s="105">
        <v>-221</v>
      </c>
      <c r="K32" s="105">
        <v>-435</v>
      </c>
      <c r="L32" s="105">
        <v>-872</v>
      </c>
      <c r="M32" s="105">
        <v>-985</v>
      </c>
      <c r="N32" s="105">
        <v>-135</v>
      </c>
      <c r="O32" s="105">
        <v>-429</v>
      </c>
      <c r="P32" s="105">
        <v>-837</v>
      </c>
      <c r="Q32" s="105">
        <v>-456</v>
      </c>
      <c r="R32" s="105">
        <v>-649</v>
      </c>
      <c r="S32" s="105">
        <v>-995</v>
      </c>
    </row>
    <row r="33" spans="1:19">
      <c r="A33" t="s">
        <v>282</v>
      </c>
      <c r="B33" s="148" t="s">
        <v>112</v>
      </c>
      <c r="C33" s="148" t="s">
        <v>112</v>
      </c>
      <c r="D33" s="105">
        <v>-14</v>
      </c>
      <c r="E33" s="105">
        <v>-263</v>
      </c>
      <c r="F33" s="105">
        <v>-35</v>
      </c>
      <c r="G33" s="105">
        <v>-65</v>
      </c>
      <c r="H33" s="105">
        <v>-83</v>
      </c>
      <c r="I33" s="105">
        <v>-77</v>
      </c>
      <c r="J33" s="105">
        <v>-83</v>
      </c>
      <c r="K33" s="105">
        <v>-83</v>
      </c>
      <c r="L33" s="105">
        <v>-83</v>
      </c>
      <c r="M33" s="105">
        <v>-83</v>
      </c>
      <c r="N33" s="105">
        <v>-39</v>
      </c>
      <c r="O33" s="105">
        <v>-317</v>
      </c>
      <c r="P33" s="105">
        <v>-465</v>
      </c>
      <c r="Q33" s="105">
        <v>-1007</v>
      </c>
      <c r="R33" s="105">
        <v>-383</v>
      </c>
      <c r="S33" s="105">
        <v>-677</v>
      </c>
    </row>
    <row r="34" spans="1:19">
      <c r="A34" s="21" t="s">
        <v>283</v>
      </c>
      <c r="B34" s="146">
        <v>-1272</v>
      </c>
      <c r="C34" s="146">
        <v>-3805</v>
      </c>
      <c r="D34" s="146">
        <v>-8244</v>
      </c>
      <c r="E34" s="146">
        <v>-9830</v>
      </c>
      <c r="F34" s="146">
        <v>2612</v>
      </c>
      <c r="G34" s="146">
        <v>4230</v>
      </c>
      <c r="H34" s="146">
        <v>7378</v>
      </c>
      <c r="I34" s="146">
        <v>7375</v>
      </c>
      <c r="J34" s="146">
        <v>-841</v>
      </c>
      <c r="K34" s="146">
        <v>-1287</v>
      </c>
      <c r="L34" s="146">
        <v>-4457</v>
      </c>
      <c r="M34" s="146">
        <v>-10566</v>
      </c>
      <c r="N34" s="146">
        <v>-5693</v>
      </c>
      <c r="O34" s="146">
        <v>-8877</v>
      </c>
      <c r="P34" s="146">
        <v>-13223</v>
      </c>
      <c r="Q34" s="146">
        <v>-20421</v>
      </c>
      <c r="R34" s="146">
        <v>-5216</v>
      </c>
      <c r="S34" s="146">
        <v>-12343</v>
      </c>
    </row>
    <row r="36" spans="1:19">
      <c r="A36" t="s">
        <v>284</v>
      </c>
      <c r="B36" s="105"/>
      <c r="C36" s="105"/>
      <c r="D36" s="105"/>
      <c r="E36" s="105"/>
      <c r="F36" s="105"/>
      <c r="G36" s="105"/>
      <c r="H36" s="105"/>
      <c r="I36" s="105"/>
      <c r="J36" s="105"/>
      <c r="K36" s="105"/>
      <c r="L36" s="105"/>
      <c r="M36" s="105"/>
      <c r="N36" s="143"/>
      <c r="O36" s="143"/>
      <c r="P36" s="143"/>
      <c r="Q36" s="143"/>
      <c r="R36" s="143"/>
      <c r="S36" s="143"/>
    </row>
    <row r="37" spans="1:19">
      <c r="A37" t="s">
        <v>285</v>
      </c>
      <c r="B37" s="148" t="s">
        <v>112</v>
      </c>
      <c r="C37" s="105">
        <v>4985</v>
      </c>
      <c r="D37" s="105">
        <v>4977</v>
      </c>
      <c r="E37" s="105">
        <v>4977</v>
      </c>
      <c r="F37" s="148" t="s">
        <v>112</v>
      </c>
      <c r="G37" s="148" t="s">
        <v>112</v>
      </c>
      <c r="H37" s="148" t="s">
        <v>112</v>
      </c>
      <c r="I37" s="148" t="s">
        <v>112</v>
      </c>
      <c r="J37" s="148" t="s">
        <v>112</v>
      </c>
      <c r="K37" s="148" t="s">
        <v>112</v>
      </c>
      <c r="L37" s="148" t="s">
        <v>112</v>
      </c>
      <c r="M37" s="148" t="s">
        <v>112</v>
      </c>
      <c r="N37" s="148" t="s">
        <v>112</v>
      </c>
      <c r="O37" s="148" t="s">
        <v>112</v>
      </c>
      <c r="P37" s="148" t="s">
        <v>112</v>
      </c>
      <c r="Q37" s="148" t="s">
        <v>112</v>
      </c>
      <c r="R37" s="148" t="s">
        <v>112</v>
      </c>
      <c r="S37" s="148" t="s">
        <v>112</v>
      </c>
    </row>
    <row r="38" spans="1:19">
      <c r="A38" t="s">
        <v>286</v>
      </c>
      <c r="B38" s="105">
        <v>126</v>
      </c>
      <c r="C38" s="105">
        <v>128</v>
      </c>
      <c r="D38" s="105">
        <v>277</v>
      </c>
      <c r="E38" s="105">
        <v>281</v>
      </c>
      <c r="F38" s="105">
        <v>204</v>
      </c>
      <c r="G38" s="105">
        <v>205</v>
      </c>
      <c r="H38" s="105">
        <v>349</v>
      </c>
      <c r="I38" s="105">
        <v>355</v>
      </c>
      <c r="J38" s="105">
        <v>246</v>
      </c>
      <c r="K38" s="105">
        <v>247</v>
      </c>
      <c r="L38" s="105">
        <v>403</v>
      </c>
      <c r="M38" s="105">
        <v>403</v>
      </c>
      <c r="N38" s="105">
        <v>285</v>
      </c>
      <c r="O38" s="105">
        <v>285</v>
      </c>
      <c r="P38" s="105">
        <v>489</v>
      </c>
      <c r="Q38" s="105">
        <v>490</v>
      </c>
      <c r="R38" s="105">
        <v>370</v>
      </c>
      <c r="S38" s="105">
        <v>370</v>
      </c>
    </row>
    <row r="39" spans="1:19">
      <c r="A39" t="s">
        <v>287</v>
      </c>
      <c r="B39" s="148" t="s">
        <v>112</v>
      </c>
      <c r="C39" s="148" t="s">
        <v>112</v>
      </c>
      <c r="D39" s="148" t="s">
        <v>112</v>
      </c>
      <c r="E39" s="148" t="s">
        <v>112</v>
      </c>
      <c r="F39" s="105">
        <v>-1996</v>
      </c>
      <c r="G39" s="105">
        <v>-5341</v>
      </c>
      <c r="H39" s="105">
        <v>-8826</v>
      </c>
      <c r="I39" s="105">
        <v>-10039</v>
      </c>
      <c r="J39" s="148" t="s">
        <v>112</v>
      </c>
      <c r="K39" s="105">
        <v>-3067</v>
      </c>
      <c r="L39" s="105">
        <v>-6874</v>
      </c>
      <c r="M39" s="105">
        <v>-9533</v>
      </c>
      <c r="N39" s="105">
        <v>-7740</v>
      </c>
      <c r="O39" s="105">
        <v>-14898</v>
      </c>
      <c r="P39" s="105">
        <v>-25895</v>
      </c>
      <c r="Q39" s="105">
        <v>-33706</v>
      </c>
      <c r="R39" s="105">
        <v>-14095</v>
      </c>
      <c r="S39" s="105">
        <v>-23815</v>
      </c>
    </row>
    <row r="40" spans="1:19">
      <c r="A40" t="s">
        <v>288</v>
      </c>
      <c r="B40" s="105">
        <v>-477</v>
      </c>
      <c r="C40" s="105">
        <v>-843</v>
      </c>
      <c r="D40" s="105">
        <v>-1282</v>
      </c>
      <c r="E40" s="105">
        <v>-1904</v>
      </c>
      <c r="F40" s="105">
        <v>-532</v>
      </c>
      <c r="G40" s="105">
        <v>-837</v>
      </c>
      <c r="H40" s="105">
        <v>-1131</v>
      </c>
      <c r="I40" s="105">
        <v>-1475</v>
      </c>
      <c r="J40" s="105">
        <v>-507</v>
      </c>
      <c r="K40" s="105">
        <v>-1179</v>
      </c>
      <c r="L40" s="105">
        <v>-1942</v>
      </c>
      <c r="M40" s="105">
        <v>-2783</v>
      </c>
      <c r="N40" s="105">
        <v>-1752</v>
      </c>
      <c r="O40" s="105">
        <v>-3389</v>
      </c>
      <c r="P40" s="105">
        <v>-5068</v>
      </c>
      <c r="Q40" s="105">
        <v>-6930</v>
      </c>
      <c r="R40" s="105">
        <v>-1532</v>
      </c>
      <c r="S40" s="105">
        <v>-3380</v>
      </c>
    </row>
    <row r="41" spans="1:19">
      <c r="A41" t="s">
        <v>289</v>
      </c>
      <c r="B41" s="105">
        <v>-99</v>
      </c>
      <c r="C41" s="105">
        <v>-198</v>
      </c>
      <c r="D41" s="105">
        <v>-298</v>
      </c>
      <c r="E41" s="105">
        <v>-399</v>
      </c>
      <c r="F41" s="105">
        <v>-100</v>
      </c>
      <c r="G41" s="105">
        <v>-200</v>
      </c>
      <c r="H41" s="105">
        <v>-300</v>
      </c>
      <c r="I41" s="105">
        <v>-398</v>
      </c>
      <c r="J41" s="105">
        <v>-99</v>
      </c>
      <c r="K41" s="105">
        <v>-199</v>
      </c>
      <c r="L41" s="105">
        <v>-296</v>
      </c>
      <c r="M41" s="105">
        <v>-395</v>
      </c>
      <c r="N41" s="105">
        <v>-98</v>
      </c>
      <c r="O41" s="105">
        <v>-344</v>
      </c>
      <c r="P41" s="105">
        <v>-589</v>
      </c>
      <c r="Q41" s="105">
        <v>-834</v>
      </c>
      <c r="R41" s="105">
        <v>-244</v>
      </c>
      <c r="S41" s="105">
        <v>-488</v>
      </c>
    </row>
    <row r="42" spans="1:19">
      <c r="A42" t="s">
        <v>290</v>
      </c>
      <c r="B42" s="105">
        <v>-19</v>
      </c>
      <c r="C42" s="105">
        <v>-40</v>
      </c>
      <c r="D42" s="105">
        <v>-62</v>
      </c>
      <c r="E42" s="105"/>
      <c r="F42" s="105">
        <v>-22</v>
      </c>
      <c r="G42" s="105">
        <v>-36</v>
      </c>
      <c r="H42" s="105">
        <v>-54</v>
      </c>
      <c r="I42" s="105">
        <v>-58</v>
      </c>
      <c r="J42" s="105">
        <v>-20</v>
      </c>
      <c r="K42" s="105">
        <v>-31</v>
      </c>
      <c r="L42" s="105">
        <v>-44</v>
      </c>
      <c r="M42" s="105">
        <v>-74</v>
      </c>
      <c r="N42" s="105">
        <v>-40</v>
      </c>
      <c r="O42" s="105">
        <v>-69</v>
      </c>
      <c r="P42" s="105">
        <v>-97</v>
      </c>
      <c r="Q42" s="105">
        <v>-129</v>
      </c>
      <c r="R42" s="105">
        <v>-52</v>
      </c>
      <c r="S42" s="105">
        <v>-73</v>
      </c>
    </row>
    <row r="43" spans="1:19">
      <c r="A43" t="s">
        <v>291</v>
      </c>
      <c r="B43" s="148" t="s">
        <v>112</v>
      </c>
      <c r="C43" s="148" t="s">
        <v>112</v>
      </c>
      <c r="D43" s="105">
        <v>-1000</v>
      </c>
      <c r="E43" s="105">
        <v>-1000</v>
      </c>
      <c r="F43" s="148" t="s">
        <v>112</v>
      </c>
      <c r="G43" s="148" t="s">
        <v>112</v>
      </c>
      <c r="H43" s="148" t="s">
        <v>112</v>
      </c>
      <c r="I43" s="148" t="s">
        <v>112</v>
      </c>
      <c r="J43" s="148" t="s">
        <v>112</v>
      </c>
      <c r="K43" s="105">
        <v>-1250</v>
      </c>
      <c r="L43" s="105">
        <v>-1250</v>
      </c>
      <c r="M43" s="105">
        <v>-1250</v>
      </c>
      <c r="N43" s="148" t="s">
        <v>112</v>
      </c>
      <c r="O43" s="105">
        <v>-1250</v>
      </c>
      <c r="P43" s="148" t="s">
        <v>112</v>
      </c>
      <c r="Q43" s="105">
        <v>-1250</v>
      </c>
      <c r="R43" s="148" t="s">
        <v>112</v>
      </c>
      <c r="S43" s="148" t="s">
        <v>112</v>
      </c>
    </row>
    <row r="44" spans="1:19">
      <c r="A44" t="s">
        <v>271</v>
      </c>
      <c r="B44" s="105">
        <v>-2</v>
      </c>
      <c r="C44" s="105">
        <v>-2</v>
      </c>
      <c r="D44" s="105">
        <v>-2</v>
      </c>
      <c r="E44" s="105">
        <v>-7</v>
      </c>
      <c r="F44" s="148" t="s">
        <v>112</v>
      </c>
      <c r="G44" s="105">
        <v>1</v>
      </c>
      <c r="H44" s="105">
        <v>1</v>
      </c>
      <c r="I44" s="105">
        <v>-2</v>
      </c>
      <c r="J44" s="148" t="s">
        <v>112</v>
      </c>
      <c r="K44" s="148" t="s">
        <v>112</v>
      </c>
      <c r="L44" s="105">
        <v>-1</v>
      </c>
      <c r="M44" s="105">
        <v>-1</v>
      </c>
      <c r="N44" s="148" t="s">
        <v>112</v>
      </c>
      <c r="O44" s="148" t="s">
        <v>112</v>
      </c>
      <c r="P44" s="148" t="s">
        <v>112</v>
      </c>
      <c r="Q44" s="148" t="s">
        <v>112</v>
      </c>
      <c r="R44" s="148" t="s">
        <v>112</v>
      </c>
      <c r="S44" s="148" t="s">
        <v>112</v>
      </c>
    </row>
    <row r="45" spans="1:19">
      <c r="A45" s="21" t="s">
        <v>292</v>
      </c>
      <c r="B45" s="146">
        <v>-471</v>
      </c>
      <c r="C45" s="146">
        <v>4030</v>
      </c>
      <c r="D45" s="146">
        <v>2610</v>
      </c>
      <c r="E45" s="146">
        <v>1865</v>
      </c>
      <c r="F45" s="146">
        <v>-2446</v>
      </c>
      <c r="G45" s="146">
        <v>-6208</v>
      </c>
      <c r="H45" s="146">
        <v>-9961</v>
      </c>
      <c r="I45" s="146">
        <v>-11617</v>
      </c>
      <c r="J45" s="146">
        <v>-380</v>
      </c>
      <c r="K45" s="146">
        <v>-5479</v>
      </c>
      <c r="L45" s="146">
        <v>-10004</v>
      </c>
      <c r="M45" s="146">
        <v>-13633</v>
      </c>
      <c r="N45" s="146">
        <v>-9345</v>
      </c>
      <c r="O45" s="146">
        <v>-19665</v>
      </c>
      <c r="P45" s="146">
        <v>-32410</v>
      </c>
      <c r="Q45" s="146">
        <v>-42359</v>
      </c>
      <c r="R45" s="146">
        <v>-15553</v>
      </c>
      <c r="S45" s="146">
        <v>-27386</v>
      </c>
    </row>
    <row r="47" spans="1:19">
      <c r="A47" t="s">
        <v>293</v>
      </c>
      <c r="B47" s="105">
        <v>131</v>
      </c>
      <c r="C47" s="105">
        <v>4781</v>
      </c>
      <c r="D47" s="105">
        <v>441</v>
      </c>
      <c r="E47" s="105">
        <v>1143</v>
      </c>
      <c r="F47" s="105">
        <v>1897</v>
      </c>
      <c r="G47" s="105">
        <v>1023</v>
      </c>
      <c r="H47" s="105">
        <v>810</v>
      </c>
      <c r="I47" s="105">
        <v>1399</v>
      </c>
      <c r="J47" s="105">
        <v>1690</v>
      </c>
      <c r="K47" s="105">
        <v>2493</v>
      </c>
      <c r="L47" s="105">
        <v>2130</v>
      </c>
      <c r="M47" s="105">
        <v>3891</v>
      </c>
      <c r="N47" s="105">
        <v>307</v>
      </c>
      <c r="O47" s="105">
        <v>1291</v>
      </c>
      <c r="P47" s="105">
        <v>1827</v>
      </c>
      <c r="Q47" s="105">
        <v>1309</v>
      </c>
      <c r="R47" s="105">
        <v>6645</v>
      </c>
      <c r="S47" s="105">
        <v>3050</v>
      </c>
    </row>
    <row r="48" spans="1:19">
      <c r="A48" t="s">
        <v>294</v>
      </c>
      <c r="B48" s="105">
        <v>847</v>
      </c>
      <c r="C48" s="105">
        <v>847</v>
      </c>
      <c r="D48" s="105">
        <v>847</v>
      </c>
      <c r="E48" s="105">
        <v>847</v>
      </c>
      <c r="F48" s="105">
        <v>1990</v>
      </c>
      <c r="G48" s="105">
        <v>1990</v>
      </c>
      <c r="H48" s="105">
        <v>1990</v>
      </c>
      <c r="I48" s="105">
        <v>1990</v>
      </c>
      <c r="J48" s="105">
        <v>3389</v>
      </c>
      <c r="K48" s="105">
        <v>3389</v>
      </c>
      <c r="L48" s="105">
        <v>3389</v>
      </c>
      <c r="M48" s="105">
        <v>3389</v>
      </c>
      <c r="N48" s="105">
        <v>7280</v>
      </c>
      <c r="O48" s="105">
        <v>7280</v>
      </c>
      <c r="P48" s="105">
        <v>7280</v>
      </c>
      <c r="Q48" s="105">
        <v>7280</v>
      </c>
      <c r="R48" s="105">
        <v>8589</v>
      </c>
      <c r="S48" s="105">
        <v>8589</v>
      </c>
    </row>
    <row r="49" spans="1:19">
      <c r="A49" s="21" t="s">
        <v>295</v>
      </c>
      <c r="B49" s="146">
        <v>978</v>
      </c>
      <c r="C49" s="146">
        <v>5628</v>
      </c>
      <c r="D49" s="146">
        <v>1288</v>
      </c>
      <c r="E49" s="146">
        <v>1990</v>
      </c>
      <c r="F49" s="146">
        <v>3887</v>
      </c>
      <c r="G49" s="146">
        <v>3013</v>
      </c>
      <c r="H49" s="146">
        <v>2800</v>
      </c>
      <c r="I49" s="146">
        <v>3389</v>
      </c>
      <c r="J49" s="146">
        <v>5079</v>
      </c>
      <c r="K49" s="146">
        <v>5882</v>
      </c>
      <c r="L49" s="146">
        <v>5519</v>
      </c>
      <c r="M49" s="146">
        <v>7280</v>
      </c>
      <c r="N49" s="146">
        <v>7587</v>
      </c>
      <c r="O49" s="146">
        <v>8571</v>
      </c>
      <c r="P49" s="146">
        <v>9107</v>
      </c>
      <c r="Q49" s="146">
        <v>8589</v>
      </c>
      <c r="R49" s="146">
        <v>15234</v>
      </c>
      <c r="S49" s="146">
        <v>11639</v>
      </c>
    </row>
    <row r="50" spans="1:19">
      <c r="B50" s="105"/>
      <c r="C50" s="105"/>
      <c r="D50" s="105"/>
      <c r="E50" s="105"/>
      <c r="F50" s="105"/>
      <c r="G50" s="105"/>
      <c r="H50" s="105"/>
      <c r="I50" s="105"/>
      <c r="J50" s="105"/>
      <c r="K50" s="105"/>
      <c r="L50" s="105"/>
      <c r="M50" s="105"/>
      <c r="N50" s="143"/>
      <c r="O50" s="143"/>
      <c r="P50" s="143"/>
      <c r="Q50" s="143"/>
      <c r="R50" s="143"/>
      <c r="S50" s="143"/>
    </row>
    <row r="51" spans="1:19">
      <c r="A51" s="1" t="s">
        <v>296</v>
      </c>
      <c r="B51" s="105"/>
      <c r="C51" s="105"/>
      <c r="D51" s="105"/>
      <c r="E51" s="105"/>
      <c r="F51" s="105"/>
      <c r="G51" s="105"/>
      <c r="H51" s="105"/>
      <c r="I51" s="105"/>
      <c r="J51" s="105"/>
      <c r="K51" s="105"/>
      <c r="L51" s="105"/>
      <c r="M51" s="105"/>
      <c r="N51" s="143"/>
      <c r="O51" s="143"/>
      <c r="P51" s="143"/>
      <c r="Q51" s="143"/>
      <c r="R51" s="143"/>
      <c r="S51" s="143"/>
    </row>
    <row r="52" spans="1:19">
      <c r="A52" t="s">
        <v>297</v>
      </c>
      <c r="B52" s="148" t="s">
        <v>112</v>
      </c>
      <c r="C52" s="105">
        <v>241</v>
      </c>
      <c r="D52" s="105">
        <v>313</v>
      </c>
      <c r="E52" s="105">
        <v>396</v>
      </c>
      <c r="F52" s="148" t="s">
        <v>112</v>
      </c>
      <c r="G52" s="105">
        <v>1108</v>
      </c>
      <c r="H52" s="105">
        <v>1372</v>
      </c>
      <c r="I52" s="105">
        <v>1404</v>
      </c>
      <c r="J52" s="148" t="s">
        <v>112</v>
      </c>
      <c r="K52" s="105">
        <v>328</v>
      </c>
      <c r="L52" s="105">
        <v>4676</v>
      </c>
      <c r="M52" s="105">
        <v>6549</v>
      </c>
      <c r="N52" s="148" t="s">
        <v>112</v>
      </c>
      <c r="O52" s="143">
        <v>7449</v>
      </c>
      <c r="P52" s="143">
        <v>10989</v>
      </c>
      <c r="Q52" s="143">
        <v>15118</v>
      </c>
      <c r="R52" s="148" t="s">
        <v>112</v>
      </c>
      <c r="S52" s="143">
        <v>8451</v>
      </c>
    </row>
    <row r="53" spans="1:19">
      <c r="A53" t="s">
        <v>298</v>
      </c>
      <c r="B53" s="148" t="s">
        <v>112</v>
      </c>
      <c r="C53" s="148" t="s">
        <v>112</v>
      </c>
      <c r="D53" s="148" t="s">
        <v>112</v>
      </c>
      <c r="E53" s="105">
        <v>246</v>
      </c>
      <c r="F53" s="148" t="s">
        <v>112</v>
      </c>
      <c r="G53" s="148" t="s">
        <v>112</v>
      </c>
      <c r="H53" s="148" t="s">
        <v>112</v>
      </c>
      <c r="I53" s="105">
        <v>254</v>
      </c>
      <c r="J53" s="148" t="s">
        <v>112</v>
      </c>
      <c r="K53" s="148" t="s">
        <v>112</v>
      </c>
      <c r="L53" s="148" t="s">
        <v>112</v>
      </c>
      <c r="M53" s="105">
        <v>252</v>
      </c>
      <c r="N53" s="148" t="s">
        <v>112</v>
      </c>
      <c r="O53" s="148" t="s">
        <v>112</v>
      </c>
      <c r="P53" s="148" t="s">
        <v>112</v>
      </c>
      <c r="Q53" s="143">
        <v>246</v>
      </c>
      <c r="R53" s="148" t="s">
        <v>112</v>
      </c>
      <c r="S53" s="148" t="s">
        <v>112</v>
      </c>
    </row>
    <row r="54" spans="1:19">
      <c r="A54" s="149" t="s">
        <v>299</v>
      </c>
      <c r="B54" s="105">
        <v>137</v>
      </c>
      <c r="C54" s="105">
        <v>138</v>
      </c>
      <c r="D54" s="105">
        <v>143</v>
      </c>
      <c r="E54" s="105">
        <v>145</v>
      </c>
      <c r="F54" s="105">
        <v>155</v>
      </c>
      <c r="G54" s="105">
        <v>182</v>
      </c>
      <c r="H54" s="105">
        <v>181</v>
      </c>
      <c r="I54" s="105">
        <v>181</v>
      </c>
      <c r="J54" s="105">
        <v>181</v>
      </c>
      <c r="K54" s="105">
        <v>146</v>
      </c>
      <c r="L54" s="105">
        <v>144</v>
      </c>
      <c r="M54" s="105">
        <v>143</v>
      </c>
      <c r="N54" s="143">
        <v>181</v>
      </c>
      <c r="O54" s="143">
        <v>181</v>
      </c>
      <c r="P54" s="143">
        <v>181</v>
      </c>
      <c r="Q54" s="143">
        <v>146</v>
      </c>
      <c r="R54" s="143">
        <v>144</v>
      </c>
      <c r="S54" s="143">
        <v>143</v>
      </c>
    </row>
    <row r="55" spans="1:19">
      <c r="A55" s="150" t="s">
        <v>300</v>
      </c>
      <c r="B55" s="105">
        <f>B54</f>
        <v>137</v>
      </c>
      <c r="C55" s="105">
        <f>C54+B55</f>
        <v>275</v>
      </c>
      <c r="D55" s="105">
        <f>D54+C55</f>
        <v>418</v>
      </c>
      <c r="E55" s="105">
        <f>E54+D55</f>
        <v>563</v>
      </c>
      <c r="F55" s="105">
        <f>F54</f>
        <v>155</v>
      </c>
      <c r="G55" s="105">
        <f>G54+F55</f>
        <v>337</v>
      </c>
      <c r="H55" s="105">
        <f>H54+G55</f>
        <v>518</v>
      </c>
      <c r="I55" s="105">
        <f>I54+H55</f>
        <v>699</v>
      </c>
      <c r="J55" s="105">
        <f>J54</f>
        <v>181</v>
      </c>
      <c r="K55" s="105">
        <f>K54+J55</f>
        <v>327</v>
      </c>
      <c r="L55" s="105">
        <f>L54+K55</f>
        <v>471</v>
      </c>
      <c r="M55" s="105">
        <f>M54+L55</f>
        <v>614</v>
      </c>
      <c r="N55" s="105">
        <v>795</v>
      </c>
      <c r="O55" s="105">
        <v>976</v>
      </c>
      <c r="P55" s="105">
        <v>1157</v>
      </c>
      <c r="Q55" s="105">
        <v>1303</v>
      </c>
      <c r="R55" s="105">
        <v>1447</v>
      </c>
      <c r="S55" s="105">
        <v>1590</v>
      </c>
    </row>
  </sheetData>
  <phoneticPr fontId="7" type="noConversion"/>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CBE34-A453-408A-A52C-3817E9BE8150}">
  <dimension ref="A1:AF26"/>
  <sheetViews>
    <sheetView showGridLines="0" zoomScale="85" zoomScaleNormal="85" workbookViewId="0"/>
  </sheetViews>
  <sheetFormatPr defaultRowHeight="15"/>
  <cols>
    <col min="1" max="1" width="41.85546875" customWidth="1"/>
    <col min="2" max="2" width="1.28515625" customWidth="1"/>
    <col min="3" max="3" width="8.5703125" hidden="1" customWidth="1"/>
    <col min="4" max="4" width="8.5703125" customWidth="1"/>
    <col min="5" max="9" width="8" bestFit="1" customWidth="1"/>
    <col min="10" max="10" width="8.140625" bestFit="1" customWidth="1"/>
    <col min="11" max="12" width="8.28515625" bestFit="1" customWidth="1"/>
    <col min="13" max="14" width="8.140625" bestFit="1" customWidth="1"/>
    <col min="15" max="19" width="8.28515625" bestFit="1" customWidth="1"/>
    <col min="20" max="20" width="8.28515625" customWidth="1"/>
    <col min="21" max="29" width="8.28515625" bestFit="1" customWidth="1"/>
    <col min="30" max="33" width="9.42578125" bestFit="1" customWidth="1"/>
  </cols>
  <sheetData>
    <row r="1" spans="1:32" ht="9" customHeight="1">
      <c r="S1" s="22"/>
    </row>
    <row r="2" spans="1:32" ht="26.25" customHeight="1">
      <c r="A2" s="162" t="s">
        <v>301</v>
      </c>
      <c r="L2" s="102"/>
      <c r="M2" s="102"/>
      <c r="N2" s="102"/>
      <c r="O2" s="103"/>
      <c r="P2" s="103"/>
      <c r="Q2" s="103"/>
      <c r="R2" s="103"/>
      <c r="S2" s="103"/>
    </row>
    <row r="4" spans="1:32">
      <c r="A4" s="1"/>
      <c r="D4" s="176" t="s">
        <v>302</v>
      </c>
      <c r="E4" s="176"/>
      <c r="F4" s="176"/>
      <c r="G4" s="176"/>
      <c r="H4" s="176"/>
      <c r="I4" s="176"/>
      <c r="J4" s="176"/>
      <c r="K4" s="176"/>
      <c r="L4" s="176"/>
      <c r="M4" s="176"/>
      <c r="N4" s="176"/>
      <c r="O4" s="176"/>
      <c r="P4" s="176"/>
      <c r="Q4" s="176"/>
      <c r="R4" s="176"/>
      <c r="S4" s="176"/>
      <c r="T4" s="176"/>
      <c r="U4" s="176"/>
      <c r="V4" s="176"/>
      <c r="W4" s="176" t="s">
        <v>303</v>
      </c>
      <c r="X4" s="176"/>
      <c r="Y4" s="176"/>
      <c r="Z4" s="176"/>
      <c r="AA4" s="176"/>
      <c r="AB4" s="176"/>
      <c r="AC4" s="176"/>
      <c r="AD4" s="176"/>
      <c r="AE4" s="176"/>
      <c r="AF4" s="176"/>
    </row>
    <row r="5" spans="1:32">
      <c r="A5" s="1" t="s">
        <v>304</v>
      </c>
      <c r="D5" s="152" t="s">
        <v>53</v>
      </c>
      <c r="E5" s="152" t="s">
        <v>54</v>
      </c>
      <c r="F5" s="152" t="str">
        <f>IF(MID(E5,2,1)="4","Q1 "&amp;RIGHT(E5,4)+1, "Q"&amp;MID(E5,2,1)+1&amp;" "&amp;RIGHT(E5,4))</f>
        <v>Q2 2022</v>
      </c>
      <c r="G5" s="152" t="str">
        <f t="shared" ref="G5:O5" si="0">IF(MID(F5,2,1)="4","Q1 "&amp;RIGHT(F5,4)+1, "Q"&amp;MID(F5,2,1)+1&amp;" "&amp;RIGHT(F5,4))</f>
        <v>Q3 2022</v>
      </c>
      <c r="H5" s="152" t="str">
        <f t="shared" si="0"/>
        <v>Q4 2022</v>
      </c>
      <c r="I5" s="152" t="str">
        <f t="shared" si="0"/>
        <v>Q1 2023</v>
      </c>
      <c r="J5" s="152" t="str">
        <f t="shared" si="0"/>
        <v>Q2 2023</v>
      </c>
      <c r="K5" s="152" t="str">
        <f t="shared" si="0"/>
        <v>Q3 2023</v>
      </c>
      <c r="L5" s="152" t="str">
        <f t="shared" si="0"/>
        <v>Q4 2023</v>
      </c>
      <c r="M5" s="152" t="str">
        <f t="shared" si="0"/>
        <v>Q1 2024</v>
      </c>
      <c r="N5" s="152" t="str">
        <f t="shared" si="0"/>
        <v>Q2 2024</v>
      </c>
      <c r="O5" s="152" t="str">
        <f t="shared" si="0"/>
        <v>Q3 2024</v>
      </c>
      <c r="P5" s="152" t="str">
        <f>IF(MID(O5,2,1)="4","Q1 "&amp;RIGHT(O5,4)+1, "Q"&amp;MID(O5,2,1)+1&amp;" "&amp;RIGHT(O5,4))</f>
        <v>Q4 2024</v>
      </c>
      <c r="Q5" s="152" t="str">
        <f t="shared" ref="Q5" si="1">IF(MID(P5,2,1)="4","Q1 "&amp;RIGHT(P5,4)+1, "Q"&amp;MID(P5,2,1)+1&amp;" "&amp;RIGHT(P5,4))</f>
        <v>Q1 2025</v>
      </c>
      <c r="R5" s="152" t="str">
        <f t="shared" ref="R5" si="2">IF(MID(Q5,2,1)="4","Q1 "&amp;RIGHT(Q5,4)+1, "Q"&amp;MID(Q5,2,1)+1&amp;" "&amp;RIGHT(Q5,4))</f>
        <v>Q2 2025</v>
      </c>
      <c r="S5" s="152" t="str">
        <f t="shared" ref="S5" si="3">IF(MID(R5,2,1)="4","Q1 "&amp;RIGHT(R5,4)+1, "Q"&amp;MID(R5,2,1)+1&amp;" "&amp;RIGHT(R5,4))</f>
        <v>Q3 2025</v>
      </c>
      <c r="T5" s="152" t="str">
        <f>IF(MID(S5,2,1)="4","Q1 "&amp;RIGHT(S5,4)+1, "Q"&amp;MID(S5,2,1)+1&amp;" "&amp;RIGHT(S5,4))</f>
        <v>Q4 2025</v>
      </c>
      <c r="U5" s="152" t="str">
        <f t="shared" ref="U5" si="4">IF(MID(T5,2,1)="4","Q1 "&amp;RIGHT(T5,4)+1, "Q"&amp;MID(T5,2,1)+1&amp;" "&amp;RIGHT(T5,4))</f>
        <v>Q1 2026</v>
      </c>
      <c r="V5" s="152" t="str">
        <f>IF(MID(U5,2,1)="4","Q1 "&amp;RIGHT(U5,4)+1, "Q"&amp;MID(U5,2,1)+1&amp;" "&amp;RIGHT(U5,4))</f>
        <v>Q2 2026</v>
      </c>
      <c r="W5" s="113" t="str">
        <f t="shared" ref="W5:AF5" si="5">IF(MID(V5,2,1)="4","Q1 "&amp;RIGHT(V5,4)+1, "Q"&amp;MID(V5,2,1)+1&amp;" "&amp;RIGHT(V5,4))</f>
        <v>Q3 2026</v>
      </c>
      <c r="X5" s="113" t="str">
        <f t="shared" si="5"/>
        <v>Q4 2026</v>
      </c>
      <c r="Y5" s="113" t="str">
        <f t="shared" si="5"/>
        <v>Q1 2027</v>
      </c>
      <c r="Z5" s="113" t="str">
        <f t="shared" si="5"/>
        <v>Q2 2027</v>
      </c>
      <c r="AA5" s="113" t="str">
        <f t="shared" si="5"/>
        <v>Q3 2027</v>
      </c>
      <c r="AB5" s="113" t="str">
        <f t="shared" si="5"/>
        <v>Q4 2027</v>
      </c>
      <c r="AC5" s="113" t="str">
        <f t="shared" si="5"/>
        <v>Q1 2028</v>
      </c>
      <c r="AD5" s="113" t="str">
        <f t="shared" si="5"/>
        <v>Q2 2028</v>
      </c>
      <c r="AE5" s="113" t="str">
        <f t="shared" si="5"/>
        <v>Q3 2028</v>
      </c>
      <c r="AF5" s="113" t="str">
        <f t="shared" si="5"/>
        <v>Q4 2028</v>
      </c>
    </row>
    <row r="6" spans="1:32">
      <c r="A6" s="20" t="s">
        <v>305</v>
      </c>
      <c r="E6" s="2"/>
      <c r="F6" s="2"/>
      <c r="G6" s="2"/>
      <c r="H6" s="2"/>
      <c r="I6" s="2"/>
      <c r="J6" s="2"/>
      <c r="K6" s="2"/>
      <c r="L6" s="2"/>
      <c r="M6" s="2"/>
      <c r="N6" s="2"/>
      <c r="O6" s="2"/>
      <c r="P6" s="2"/>
      <c r="W6" s="2"/>
      <c r="X6" s="2"/>
      <c r="Y6" s="2"/>
      <c r="Z6" s="2"/>
      <c r="AA6" s="2"/>
      <c r="AB6" s="2"/>
      <c r="AC6" s="2"/>
      <c r="AD6" s="2"/>
    </row>
    <row r="7" spans="1:32">
      <c r="A7" t="s">
        <v>306</v>
      </c>
      <c r="D7" s="26">
        <f>'Balance Sheet'!B13</f>
        <v>2429</v>
      </c>
      <c r="E7" s="26">
        <f>'Balance Sheet'!C13</f>
        <v>3024</v>
      </c>
      <c r="F7" s="26">
        <f>'Balance Sheet'!D13</f>
        <v>3586</v>
      </c>
      <c r="G7" s="26">
        <f>'Balance Sheet'!E13</f>
        <v>3954</v>
      </c>
      <c r="H7" s="26">
        <f>'Balance Sheet'!F13</f>
        <v>4650</v>
      </c>
      <c r="I7" s="26">
        <f>'Balance Sheet'!G13</f>
        <v>5438</v>
      </c>
      <c r="J7" s="26">
        <f>'Balance Sheet'!H13</f>
        <v>5317</v>
      </c>
      <c r="K7" s="26">
        <f>'Balance Sheet'!I13</f>
        <v>4908</v>
      </c>
      <c r="L7" s="26" t="str">
        <f>'Balance Sheet'!J13</f>
        <v>3,827</v>
      </c>
      <c r="M7" s="26">
        <f>'Balance Sheet'!K13</f>
        <v>4080</v>
      </c>
      <c r="N7" s="26" t="str">
        <f>'Balance Sheet'!L13</f>
        <v>7,066</v>
      </c>
      <c r="O7" s="26">
        <f>'Balance Sheet'!M13</f>
        <v>8309</v>
      </c>
      <c r="P7" s="26">
        <f>'Balance Sheet'!N13</f>
        <v>9999</v>
      </c>
      <c r="Q7" s="26">
        <f>'Balance Sheet'!O13</f>
        <v>12365</v>
      </c>
      <c r="R7" s="26">
        <f>'Balance Sheet'!P13</f>
        <v>14132</v>
      </c>
      <c r="S7" s="26">
        <f>'Balance Sheet'!Q13</f>
        <v>17693</v>
      </c>
      <c r="T7" s="26">
        <f>'Balance Sheet'!R13</f>
        <v>23065</v>
      </c>
      <c r="U7" s="26">
        <f>'Balance Sheet'!S13</f>
        <v>22132</v>
      </c>
      <c r="V7" s="26">
        <f>'Balance Sheet'!T13</f>
        <v>27808</v>
      </c>
      <c r="W7" s="114">
        <f>(W20/90)*'DCF Valuation'!X$10</f>
        <v>22596.661696697553</v>
      </c>
      <c r="X7" s="114">
        <f>(X20/90)*'DCF Valuation'!Y$10</f>
        <v>22898.680954960568</v>
      </c>
      <c r="Y7" s="114">
        <f>(Y20/90)*'DCF Valuation'!Z$10</f>
        <v>26792.061708562531</v>
      </c>
      <c r="Z7" s="114">
        <f>(Z20/90)*'DCF Valuation'!AA$10</f>
        <v>31346.645507068388</v>
      </c>
      <c r="AA7" s="114">
        <f>(AA20/90)*'DCF Valuation'!AB$10</f>
        <v>37152.179734909711</v>
      </c>
      <c r="AB7" s="114">
        <f>(AB20/90)*'DCF Valuation'!AC$10</f>
        <v>43751.348165063631</v>
      </c>
      <c r="AC7" s="114">
        <f>(AC20/90)*'DCF Valuation'!AD$10</f>
        <v>53778.959184679596</v>
      </c>
      <c r="AD7" s="114">
        <f>(AD20/90)*'DCF Valuation'!AE$10</f>
        <v>66342.769779993207</v>
      </c>
      <c r="AE7" s="114">
        <f>(AE20/90)*'DCF Valuation'!AF$10</f>
        <v>81843.884391789106</v>
      </c>
      <c r="AF7" s="114">
        <f>(AF20/90)*'DCF Valuation'!AG$10</f>
        <v>100665.30536019894</v>
      </c>
    </row>
    <row r="8" spans="1:32">
      <c r="A8" t="s">
        <v>307</v>
      </c>
      <c r="D8" s="26">
        <f>'Balance Sheet'!B14</f>
        <v>1826</v>
      </c>
      <c r="E8" s="26">
        <f>'Balance Sheet'!C14</f>
        <v>1992</v>
      </c>
      <c r="F8" s="26">
        <f>'Balance Sheet'!D14</f>
        <v>2114</v>
      </c>
      <c r="G8" s="26">
        <f>'Balance Sheet'!E14</f>
        <v>2233</v>
      </c>
      <c r="H8" s="26">
        <f>'Balance Sheet'!F14</f>
        <v>2605</v>
      </c>
      <c r="I8" s="26">
        <f>'Balance Sheet'!G14</f>
        <v>3163</v>
      </c>
      <c r="J8" s="26">
        <f>'Balance Sheet'!H14</f>
        <v>3889</v>
      </c>
      <c r="K8" s="26">
        <f>'Balance Sheet'!I14</f>
        <v>4454</v>
      </c>
      <c r="L8" s="26" t="str">
        <f>'Balance Sheet'!J14</f>
        <v>5,159</v>
      </c>
      <c r="M8" s="26">
        <f>'Balance Sheet'!K14</f>
        <v>4611</v>
      </c>
      <c r="N8" s="26" t="str">
        <f>'Balance Sheet'!L14</f>
        <v>4,319</v>
      </c>
      <c r="O8" s="26">
        <f>'Balance Sheet'!M14</f>
        <v>4779</v>
      </c>
      <c r="P8" s="26">
        <f>'Balance Sheet'!N14</f>
        <v>5282</v>
      </c>
      <c r="Q8" s="26">
        <f>'Balance Sheet'!O14</f>
        <v>5864</v>
      </c>
      <c r="R8" s="26">
        <f>'Balance Sheet'!P14</f>
        <v>6675</v>
      </c>
      <c r="S8" s="26">
        <f>'Balance Sheet'!Q14</f>
        <v>7654</v>
      </c>
      <c r="T8" s="26">
        <f>'Balance Sheet'!R14</f>
        <v>10080</v>
      </c>
      <c r="U8" s="26">
        <f>'Balance Sheet'!S14</f>
        <v>11333</v>
      </c>
      <c r="V8" s="26">
        <f>'Balance Sheet'!T14</f>
        <v>14962</v>
      </c>
      <c r="W8" s="114">
        <f>(W21/90)*('DCF Valuation'!X$10-'DCF Valuation'!X$13)</f>
        <v>10504.652201954841</v>
      </c>
      <c r="X8" s="114">
        <f>(X21/90)*('DCF Valuation'!Y$10-'DCF Valuation'!Y$13)</f>
        <v>13414.884773436537</v>
      </c>
      <c r="Y8" s="114">
        <f>(Y21/90)*('DCF Valuation'!Z$10-'DCF Valuation'!Z$13)</f>
        <v>15466.738657843858</v>
      </c>
      <c r="Z8" s="114">
        <f>(Z21/90)*('DCF Valuation'!AA$10-'DCF Valuation'!AA$13)</f>
        <v>18541.150201595665</v>
      </c>
      <c r="AA8" s="114">
        <f>(AA21/90)*('DCF Valuation'!AB$10-'DCF Valuation'!AB$13)</f>
        <v>20144.946861030072</v>
      </c>
      <c r="AB8" s="114">
        <f>(AB21/90)*('DCF Valuation'!AC$10-'DCF Valuation'!AC$13)</f>
        <v>24276.403625965468</v>
      </c>
      <c r="AC8" s="114">
        <f>(AC21/90)*('DCF Valuation'!AD$10-'DCF Valuation'!AD$13)</f>
        <v>30880.417228710492</v>
      </c>
      <c r="AD8" s="114">
        <f>(AD21/90)*('DCF Valuation'!AE$10-'DCF Valuation'!AE$13)</f>
        <v>37581.116390235256</v>
      </c>
      <c r="AE8" s="114">
        <f>(AE21/90)*('DCF Valuation'!AF$10-'DCF Valuation'!AF$13)</f>
        <v>46299.0351624881</v>
      </c>
      <c r="AF8" s="114">
        <f>(AF21/90)*('DCF Valuation'!AG$10-'DCF Valuation'!AG$13)</f>
        <v>56316.674438041875</v>
      </c>
    </row>
    <row r="9" spans="1:32">
      <c r="A9" t="s">
        <v>308</v>
      </c>
      <c r="D9" s="26">
        <f>'Balance Sheet'!B15</f>
        <v>239</v>
      </c>
      <c r="E9" s="26">
        <f>'Balance Sheet'!C15</f>
        <v>444</v>
      </c>
      <c r="F9" s="26">
        <f>'Balance Sheet'!D15</f>
        <v>452</v>
      </c>
      <c r="G9" s="26">
        <f>'Balance Sheet'!E15</f>
        <v>321</v>
      </c>
      <c r="H9" s="26">
        <f>'Balance Sheet'!F15</f>
        <v>366</v>
      </c>
      <c r="I9" s="26">
        <f>'Balance Sheet'!G15</f>
        <v>636</v>
      </c>
      <c r="J9" s="26">
        <f>'Balance Sheet'!H15</f>
        <v>1175</v>
      </c>
      <c r="K9" s="26">
        <f>'Balance Sheet'!I15</f>
        <v>718</v>
      </c>
      <c r="L9" s="26" t="str">
        <f>'Balance Sheet'!J15</f>
        <v>791</v>
      </c>
      <c r="M9" s="26">
        <f>'Balance Sheet'!K15</f>
        <v>872</v>
      </c>
      <c r="N9" s="26" t="str">
        <f>'Balance Sheet'!L15</f>
        <v>1,389</v>
      </c>
      <c r="O9" s="26">
        <f>'Balance Sheet'!M15</f>
        <v>1289</v>
      </c>
      <c r="P9" s="26">
        <f>'Balance Sheet'!N15</f>
        <v>3080</v>
      </c>
      <c r="Q9" s="26">
        <f>'Balance Sheet'!O15</f>
        <v>4062</v>
      </c>
      <c r="R9" s="26">
        <f>'Balance Sheet'!P15</f>
        <v>4026</v>
      </c>
      <c r="S9" s="26">
        <f>'Balance Sheet'!Q15</f>
        <v>3806</v>
      </c>
      <c r="T9" s="26">
        <f>'Balance Sheet'!R15</f>
        <v>3771</v>
      </c>
      <c r="U9" s="26">
        <f>'Balance Sheet'!S15</f>
        <v>2779</v>
      </c>
      <c r="V9" s="26">
        <f>'Balance Sheet'!T15</f>
        <v>2658</v>
      </c>
      <c r="W9" s="114">
        <f>W22*'DCF Valuation'!X$10</f>
        <v>4053.7616472321906</v>
      </c>
      <c r="X9" s="114">
        <f>X22*'DCF Valuation'!Y$10</f>
        <v>4107.9428401139285</v>
      </c>
      <c r="Y9" s="114">
        <f>Y22*'DCF Valuation'!Z$10</f>
        <v>4806.4016562376491</v>
      </c>
      <c r="Z9" s="114">
        <f>Z22*'DCF Valuation'!AA$10</f>
        <v>5623.4779734967815</v>
      </c>
      <c r="AA9" s="114">
        <f>AA22*'DCF Valuation'!AB$10</f>
        <v>6664.9703988118172</v>
      </c>
      <c r="AB9" s="114">
        <f>AB22*'DCF Valuation'!AC$10</f>
        <v>7848.8380092072539</v>
      </c>
      <c r="AC9" s="114">
        <f>AC22*'DCF Valuation'!AD$10</f>
        <v>9647.7561640346521</v>
      </c>
      <c r="AD9" s="114">
        <f>AD22*'DCF Valuation'!AE$10</f>
        <v>11901.659604197017</v>
      </c>
      <c r="AE9" s="114">
        <f>AE22*'DCF Valuation'!AF$10</f>
        <v>14682.505055887446</v>
      </c>
      <c r="AF9" s="114">
        <f>AF22*'DCF Valuation'!AG$10</f>
        <v>18059.001792097919</v>
      </c>
    </row>
    <row r="10" spans="1:32">
      <c r="A10" s="21" t="s">
        <v>197</v>
      </c>
      <c r="B10" s="22"/>
      <c r="C10" s="22"/>
      <c r="D10" s="27">
        <f>D7+D8+D9</f>
        <v>4494</v>
      </c>
      <c r="E10" s="27">
        <f>E7+E8+E9</f>
        <v>5460</v>
      </c>
      <c r="F10" s="27">
        <f t="shared" ref="F10:U10" si="6">F7+F8+F9</f>
        <v>6152</v>
      </c>
      <c r="G10" s="27">
        <f t="shared" si="6"/>
        <v>6508</v>
      </c>
      <c r="H10" s="27">
        <f t="shared" si="6"/>
        <v>7621</v>
      </c>
      <c r="I10" s="27">
        <f t="shared" si="6"/>
        <v>9237</v>
      </c>
      <c r="J10" s="27">
        <f t="shared" si="6"/>
        <v>10381</v>
      </c>
      <c r="K10" s="27">
        <f t="shared" si="6"/>
        <v>10080</v>
      </c>
      <c r="L10" s="27">
        <f t="shared" si="6"/>
        <v>9777</v>
      </c>
      <c r="M10" s="27">
        <f t="shared" si="6"/>
        <v>9563</v>
      </c>
      <c r="N10" s="27">
        <f t="shared" si="6"/>
        <v>12774</v>
      </c>
      <c r="O10" s="27">
        <f t="shared" si="6"/>
        <v>14377</v>
      </c>
      <c r="P10" s="27">
        <f t="shared" si="6"/>
        <v>18361</v>
      </c>
      <c r="Q10" s="27">
        <f t="shared" si="6"/>
        <v>22291</v>
      </c>
      <c r="R10" s="27">
        <f t="shared" si="6"/>
        <v>24833</v>
      </c>
      <c r="S10" s="27">
        <f t="shared" si="6"/>
        <v>29153</v>
      </c>
      <c r="T10" s="27">
        <f t="shared" si="6"/>
        <v>36916</v>
      </c>
      <c r="U10" s="27">
        <f t="shared" si="6"/>
        <v>36244</v>
      </c>
      <c r="V10" s="27">
        <f t="shared" ref="V10:AD10" si="7">V7+V8+V9</f>
        <v>45428</v>
      </c>
      <c r="W10" s="115">
        <f t="shared" si="7"/>
        <v>37155.075545884582</v>
      </c>
      <c r="X10" s="115">
        <f t="shared" si="7"/>
        <v>40421.508568511039</v>
      </c>
      <c r="Y10" s="115">
        <f t="shared" si="7"/>
        <v>47065.202022644036</v>
      </c>
      <c r="Z10" s="115">
        <f t="shared" si="7"/>
        <v>55511.273682160834</v>
      </c>
      <c r="AA10" s="115">
        <f t="shared" si="7"/>
        <v>63962.096994751606</v>
      </c>
      <c r="AB10" s="115">
        <f t="shared" si="7"/>
        <v>75876.589800236339</v>
      </c>
      <c r="AC10" s="115">
        <f t="shared" si="7"/>
        <v>94307.132577424738</v>
      </c>
      <c r="AD10" s="115">
        <f t="shared" si="7"/>
        <v>115825.54577442548</v>
      </c>
      <c r="AE10" s="115">
        <f t="shared" ref="AE10:AF10" si="8">AE7+AE8+AE9</f>
        <v>142825.42461016466</v>
      </c>
      <c r="AF10" s="115">
        <f t="shared" si="8"/>
        <v>175040.98159033875</v>
      </c>
    </row>
    <row r="11" spans="1:32">
      <c r="E11" s="26"/>
      <c r="F11" s="26"/>
      <c r="G11" s="26"/>
      <c r="H11" s="26"/>
      <c r="I11" s="26"/>
      <c r="J11" s="26"/>
      <c r="K11" s="26"/>
      <c r="L11" s="26"/>
      <c r="M11" s="26"/>
      <c r="N11" s="26"/>
      <c r="O11" s="26"/>
      <c r="P11" s="26"/>
      <c r="W11" s="26"/>
      <c r="X11" s="26"/>
      <c r="Y11" s="26"/>
      <c r="Z11" s="26"/>
      <c r="AA11" s="26"/>
      <c r="AB11" s="26"/>
      <c r="AC11" s="26"/>
      <c r="AD11" s="26"/>
      <c r="AE11" s="26"/>
      <c r="AF11" s="26"/>
    </row>
    <row r="12" spans="1:32">
      <c r="A12" s="20" t="s">
        <v>309</v>
      </c>
      <c r="E12" s="26"/>
      <c r="F12" s="26"/>
      <c r="G12" s="26"/>
      <c r="H12" s="26"/>
      <c r="I12" s="26"/>
      <c r="J12" s="26"/>
      <c r="K12" s="26"/>
      <c r="L12" s="26"/>
      <c r="M12" s="26"/>
      <c r="N12" s="26"/>
      <c r="O12" s="26"/>
      <c r="P12" s="26"/>
      <c r="W12" s="26"/>
      <c r="X12" s="26"/>
      <c r="Y12" s="26"/>
      <c r="Z12" s="26"/>
      <c r="AA12" s="26"/>
      <c r="AB12" s="26"/>
      <c r="AC12" s="26"/>
      <c r="AD12" s="26"/>
      <c r="AE12" s="26"/>
      <c r="AF12" s="26"/>
    </row>
    <row r="13" spans="1:32">
      <c r="A13" t="s">
        <v>310</v>
      </c>
      <c r="D13" s="26">
        <f>'Balance Sheet'!B27</f>
        <v>1201</v>
      </c>
      <c r="E13" s="26">
        <f>'Balance Sheet'!C27</f>
        <v>1218</v>
      </c>
      <c r="F13" s="26">
        <f>'Balance Sheet'!D27</f>
        <v>1474</v>
      </c>
      <c r="G13" s="26">
        <f>'Balance Sheet'!E27</f>
        <v>1664</v>
      </c>
      <c r="H13" s="26">
        <f>'Balance Sheet'!F27</f>
        <v>1783</v>
      </c>
      <c r="I13" s="26">
        <f>'Balance Sheet'!G27</f>
        <v>1999</v>
      </c>
      <c r="J13" s="26">
        <f>'Balance Sheet'!H27</f>
        <v>2421</v>
      </c>
      <c r="K13" s="26">
        <f>'Balance Sheet'!I27</f>
        <v>1491</v>
      </c>
      <c r="L13" s="26" t="str">
        <f>'Balance Sheet'!J27</f>
        <v>1,193</v>
      </c>
      <c r="M13" s="26">
        <f>'Balance Sheet'!K27</f>
        <v>1141</v>
      </c>
      <c r="N13" s="26" t="str">
        <f>'Balance Sheet'!L27</f>
        <v>1,929</v>
      </c>
      <c r="O13" s="26">
        <f>'Balance Sheet'!M27</f>
        <v>2380</v>
      </c>
      <c r="P13" s="26">
        <f>'Balance Sheet'!N27</f>
        <v>2699</v>
      </c>
      <c r="Q13" s="26">
        <f>'Balance Sheet'!O27</f>
        <v>2715</v>
      </c>
      <c r="R13" s="26">
        <f>'Balance Sheet'!P27</f>
        <v>3680</v>
      </c>
      <c r="S13" s="26">
        <f>'Balance Sheet'!Q27</f>
        <v>5353</v>
      </c>
      <c r="T13" s="26">
        <f>'Balance Sheet'!R27</f>
        <v>6310</v>
      </c>
      <c r="U13" s="26">
        <f>'Balance Sheet'!S27</f>
        <v>7331</v>
      </c>
      <c r="V13" s="26">
        <f>'Balance Sheet'!T27</f>
        <v>9064</v>
      </c>
      <c r="W13" s="114">
        <f>(W23/90)*('DCF Valuation'!X$10-'DCF Valuation'!X$13)</f>
        <v>5291.2428179123617</v>
      </c>
      <c r="X13" s="114">
        <f>(X23/90)*('DCF Valuation'!Y$10-'DCF Valuation'!Y$13)</f>
        <v>6757.140678808847</v>
      </c>
      <c r="Y13" s="114">
        <f>(Y23/90)*('DCF Valuation'!Z$10-'DCF Valuation'!Z$13)</f>
        <v>7790.6691498662176</v>
      </c>
      <c r="Z13" s="114">
        <f>(Z23/90)*('DCF Valuation'!AA$10-'DCF Valuation'!AA$13)</f>
        <v>9339.2647327981631</v>
      </c>
      <c r="AA13" s="114">
        <f>(AA23/90)*('DCF Valuation'!AB$10-'DCF Valuation'!AB$13)</f>
        <v>10147.104668140806</v>
      </c>
      <c r="AB13" s="114">
        <f>(AB23/90)*('DCF Valuation'!AC$10-'DCF Valuation'!AC$13)</f>
        <v>12228.138910370337</v>
      </c>
      <c r="AC13" s="114">
        <f>(AC23/90)*('DCF Valuation'!AD$10-'DCF Valuation'!AD$13)</f>
        <v>15554.611683873243</v>
      </c>
      <c r="AD13" s="114">
        <f>(AD23/90)*('DCF Valuation'!AE$10-'DCF Valuation'!AE$13)</f>
        <v>18929.785428969859</v>
      </c>
      <c r="AE13" s="114">
        <f>(AE23/90)*('DCF Valuation'!AF$10-'DCF Valuation'!AF$13)</f>
        <v>23321.042198255564</v>
      </c>
      <c r="AF13" s="114">
        <f>(AF23/90)*('DCF Valuation'!AG$10-'DCF Valuation'!AG$13)</f>
        <v>28366.974310062822</v>
      </c>
    </row>
    <row r="14" spans="1:32">
      <c r="A14" t="s">
        <v>311</v>
      </c>
      <c r="D14" s="26">
        <f>'Balance Sheet'!B28</f>
        <v>1725</v>
      </c>
      <c r="E14" s="26">
        <f>'Balance Sheet'!C28</f>
        <v>1787</v>
      </c>
      <c r="F14" s="26">
        <f>'Balance Sheet'!D28</f>
        <v>1974</v>
      </c>
      <c r="G14" s="26">
        <f>'Balance Sheet'!E28</f>
        <v>1948</v>
      </c>
      <c r="H14" s="26">
        <f>'Balance Sheet'!F28</f>
        <v>2552</v>
      </c>
      <c r="I14" s="26">
        <f>'Balance Sheet'!G28</f>
        <v>3563</v>
      </c>
      <c r="J14" s="26">
        <f>'Balance Sheet'!H28</f>
        <v>3903</v>
      </c>
      <c r="K14" s="26">
        <f>'Balance Sheet'!I28</f>
        <v>4115</v>
      </c>
      <c r="L14" s="26" t="str">
        <f>'Balance Sheet'!J28</f>
        <v>4,120</v>
      </c>
      <c r="M14" s="26">
        <f>'Balance Sheet'!K28</f>
        <v>4869</v>
      </c>
      <c r="N14" s="26" t="str">
        <f>'Balance Sheet'!L28</f>
        <v>7,156</v>
      </c>
      <c r="O14" s="26">
        <f>'Balance Sheet'!M28</f>
        <v>5472</v>
      </c>
      <c r="P14" s="26">
        <f>'Balance Sheet'!N28</f>
        <v>6682</v>
      </c>
      <c r="Q14" s="26">
        <f>'Balance Sheet'!O28</f>
        <v>11258</v>
      </c>
      <c r="R14" s="26">
        <f>'Balance Sheet'!P28</f>
        <v>10289</v>
      </c>
      <c r="S14" s="26">
        <f>'Balance Sheet'!Q28</f>
        <v>11126</v>
      </c>
      <c r="T14" s="26">
        <f>'Balance Sheet'!R28</f>
        <v>11737</v>
      </c>
      <c r="U14" s="26">
        <f>'Balance Sheet'!S28</f>
        <v>19211</v>
      </c>
      <c r="V14" s="26">
        <f>'Balance Sheet'!T28</f>
        <v>15193</v>
      </c>
      <c r="W14" s="114">
        <f>W24*('DCF Valuation'!X$13-'DCF Valuation'!X$16)</f>
        <v>7588.8381359313144</v>
      </c>
      <c r="X14" s="114">
        <f>X24*('DCF Valuation'!Y$13-'DCF Valuation'!Y$16)</f>
        <v>7588.8381359313144</v>
      </c>
      <c r="Y14" s="114">
        <f>Y24*('DCF Valuation'!Z$13-'DCF Valuation'!Z$16)</f>
        <v>7588.8381359313144</v>
      </c>
      <c r="Z14" s="114">
        <f>Z24*('DCF Valuation'!AA$13-'DCF Valuation'!AA$16)</f>
        <v>7588.8381359313144</v>
      </c>
      <c r="AA14" s="114">
        <f>AA24*('DCF Valuation'!AB$13-'DCF Valuation'!AB$16)</f>
        <v>7588.8381359313144</v>
      </c>
      <c r="AB14" s="114">
        <f>AB24*('DCF Valuation'!AC$13-'DCF Valuation'!AC$16)</f>
        <v>7588.8381359313144</v>
      </c>
      <c r="AC14" s="114">
        <f>AC24*('DCF Valuation'!AD$13-'DCF Valuation'!AD$16)</f>
        <v>7588.8381359313144</v>
      </c>
      <c r="AD14" s="114">
        <f>AD24*('DCF Valuation'!AE$13-'DCF Valuation'!AE$16)</f>
        <v>7588.8381359313144</v>
      </c>
      <c r="AE14" s="114">
        <f>AE24*('DCF Valuation'!AF$13-'DCF Valuation'!AF$16)</f>
        <v>7588.8381359313144</v>
      </c>
      <c r="AF14" s="114">
        <f>AF24*('DCF Valuation'!AG$13-'DCF Valuation'!AG$16)</f>
        <v>7588.8381359313144</v>
      </c>
    </row>
    <row r="15" spans="1:32">
      <c r="A15" s="21" t="s">
        <v>232</v>
      </c>
      <c r="B15" s="22"/>
      <c r="C15" s="22"/>
      <c r="D15" s="27">
        <f t="shared" ref="D15:V15" si="9">D13+D14</f>
        <v>2926</v>
      </c>
      <c r="E15" s="27">
        <f t="shared" si="9"/>
        <v>3005</v>
      </c>
      <c r="F15" s="27">
        <f t="shared" si="9"/>
        <v>3448</v>
      </c>
      <c r="G15" s="27">
        <f t="shared" si="9"/>
        <v>3612</v>
      </c>
      <c r="H15" s="27">
        <f t="shared" si="9"/>
        <v>4335</v>
      </c>
      <c r="I15" s="27">
        <f t="shared" si="9"/>
        <v>5562</v>
      </c>
      <c r="J15" s="27">
        <f t="shared" si="9"/>
        <v>6324</v>
      </c>
      <c r="K15" s="27">
        <f t="shared" si="9"/>
        <v>5606</v>
      </c>
      <c r="L15" s="27">
        <f t="shared" si="9"/>
        <v>5313</v>
      </c>
      <c r="M15" s="27">
        <f t="shared" si="9"/>
        <v>6010</v>
      </c>
      <c r="N15" s="27">
        <f t="shared" si="9"/>
        <v>9085</v>
      </c>
      <c r="O15" s="27">
        <f t="shared" si="9"/>
        <v>7852</v>
      </c>
      <c r="P15" s="27">
        <f t="shared" si="9"/>
        <v>9381</v>
      </c>
      <c r="Q15" s="27">
        <f t="shared" si="9"/>
        <v>13973</v>
      </c>
      <c r="R15" s="27">
        <f t="shared" si="9"/>
        <v>13969</v>
      </c>
      <c r="S15" s="27">
        <f t="shared" si="9"/>
        <v>16479</v>
      </c>
      <c r="T15" s="27">
        <f t="shared" si="9"/>
        <v>18047</v>
      </c>
      <c r="U15" s="27">
        <f t="shared" si="9"/>
        <v>26542</v>
      </c>
      <c r="V15" s="27">
        <f t="shared" si="9"/>
        <v>24257</v>
      </c>
      <c r="W15" s="115">
        <f t="shared" ref="W15:AD15" si="10">W13+W14</f>
        <v>12880.080953843677</v>
      </c>
      <c r="X15" s="115">
        <f t="shared" si="10"/>
        <v>14345.978814740161</v>
      </c>
      <c r="Y15" s="115">
        <f t="shared" si="10"/>
        <v>15379.507285797532</v>
      </c>
      <c r="Z15" s="115">
        <f t="shared" si="10"/>
        <v>16928.102868729478</v>
      </c>
      <c r="AA15" s="115">
        <f t="shared" si="10"/>
        <v>17735.942804072121</v>
      </c>
      <c r="AB15" s="115">
        <f t="shared" si="10"/>
        <v>19816.97704630165</v>
      </c>
      <c r="AC15" s="115">
        <f t="shared" si="10"/>
        <v>23143.449819804559</v>
      </c>
      <c r="AD15" s="115">
        <f t="shared" si="10"/>
        <v>26518.623564901172</v>
      </c>
      <c r="AE15" s="115">
        <f t="shared" ref="AE15:AF15" si="11">AE13+AE14</f>
        <v>30909.880334186877</v>
      </c>
      <c r="AF15" s="115">
        <f t="shared" si="11"/>
        <v>35955.812445994139</v>
      </c>
    </row>
    <row r="16" spans="1:32">
      <c r="D16" s="26"/>
      <c r="E16" s="26"/>
      <c r="F16" s="26"/>
      <c r="G16" s="26"/>
      <c r="H16" s="26"/>
      <c r="I16" s="26"/>
      <c r="J16" s="26"/>
      <c r="K16" s="26"/>
      <c r="L16" s="26"/>
      <c r="M16" s="26"/>
      <c r="N16" s="26"/>
      <c r="O16" s="26"/>
      <c r="P16" s="26"/>
      <c r="T16" s="8"/>
      <c r="W16" s="48"/>
      <c r="X16" s="48"/>
      <c r="Y16" s="48"/>
      <c r="Z16" s="48"/>
      <c r="AA16" s="48"/>
      <c r="AB16" s="48"/>
      <c r="AC16" s="48"/>
      <c r="AD16" s="48"/>
      <c r="AE16" s="48"/>
      <c r="AF16" s="48"/>
    </row>
    <row r="17" spans="1:32">
      <c r="A17" s="21" t="s">
        <v>312</v>
      </c>
      <c r="B17" s="22"/>
      <c r="C17" s="22"/>
      <c r="D17" s="27">
        <f t="shared" ref="D17:V17" si="12">D10-D15</f>
        <v>1568</v>
      </c>
      <c r="E17" s="27">
        <f t="shared" si="12"/>
        <v>2455</v>
      </c>
      <c r="F17" s="27">
        <f t="shared" si="12"/>
        <v>2704</v>
      </c>
      <c r="G17" s="27">
        <f t="shared" si="12"/>
        <v>2896</v>
      </c>
      <c r="H17" s="27">
        <f t="shared" si="12"/>
        <v>3286</v>
      </c>
      <c r="I17" s="27">
        <f t="shared" si="12"/>
        <v>3675</v>
      </c>
      <c r="J17" s="27">
        <f t="shared" si="12"/>
        <v>4057</v>
      </c>
      <c r="K17" s="27">
        <f t="shared" si="12"/>
        <v>4474</v>
      </c>
      <c r="L17" s="27">
        <f t="shared" si="12"/>
        <v>4464</v>
      </c>
      <c r="M17" s="27">
        <f t="shared" si="12"/>
        <v>3553</v>
      </c>
      <c r="N17" s="27">
        <f t="shared" si="12"/>
        <v>3689</v>
      </c>
      <c r="O17" s="27">
        <f t="shared" si="12"/>
        <v>6525</v>
      </c>
      <c r="P17" s="27">
        <f t="shared" si="12"/>
        <v>8980</v>
      </c>
      <c r="Q17" s="27">
        <f t="shared" si="12"/>
        <v>8318</v>
      </c>
      <c r="R17" s="27">
        <f t="shared" si="12"/>
        <v>10864</v>
      </c>
      <c r="S17" s="27">
        <f t="shared" si="12"/>
        <v>12674</v>
      </c>
      <c r="T17" s="27">
        <f t="shared" si="12"/>
        <v>18869</v>
      </c>
      <c r="U17" s="27">
        <f t="shared" si="12"/>
        <v>9702</v>
      </c>
      <c r="V17" s="27">
        <f t="shared" si="12"/>
        <v>21171</v>
      </c>
      <c r="W17" s="115">
        <f>W10-W15</f>
        <v>24274.994592040905</v>
      </c>
      <c r="X17" s="115">
        <f>X10-X15</f>
        <v>26075.529753770876</v>
      </c>
      <c r="Y17" s="115">
        <f>Y10-Y15</f>
        <v>31685.694736846504</v>
      </c>
      <c r="Z17" s="115">
        <f t="shared" ref="Z17:AF17" si="13">Z10-Z15</f>
        <v>38583.170813431352</v>
      </c>
      <c r="AA17" s="115">
        <f t="shared" si="13"/>
        <v>46226.154190679488</v>
      </c>
      <c r="AB17" s="115">
        <f t="shared" si="13"/>
        <v>56059.612753934693</v>
      </c>
      <c r="AC17" s="115">
        <f t="shared" si="13"/>
        <v>71163.682757620176</v>
      </c>
      <c r="AD17" s="115">
        <f t="shared" si="13"/>
        <v>89306.922209524317</v>
      </c>
      <c r="AE17" s="115">
        <f t="shared" si="13"/>
        <v>111915.54427597778</v>
      </c>
      <c r="AF17" s="115">
        <f t="shared" si="13"/>
        <v>139085.1691443446</v>
      </c>
    </row>
    <row r="18" spans="1:32">
      <c r="A18" s="1" t="s">
        <v>313</v>
      </c>
      <c r="E18" s="110">
        <f>E17-D17</f>
        <v>887</v>
      </c>
      <c r="F18" s="110">
        <f>F17-E17</f>
        <v>249</v>
      </c>
      <c r="G18" s="110">
        <f t="shared" ref="G18:P18" si="14">G17-F17</f>
        <v>192</v>
      </c>
      <c r="H18" s="110">
        <f t="shared" si="14"/>
        <v>390</v>
      </c>
      <c r="I18" s="110">
        <f t="shared" si="14"/>
        <v>389</v>
      </c>
      <c r="J18" s="110">
        <f t="shared" si="14"/>
        <v>382</v>
      </c>
      <c r="K18" s="110">
        <f t="shared" si="14"/>
        <v>417</v>
      </c>
      <c r="L18" s="110">
        <f t="shared" si="14"/>
        <v>-10</v>
      </c>
      <c r="M18" s="110">
        <f t="shared" si="14"/>
        <v>-911</v>
      </c>
      <c r="N18" s="110">
        <f t="shared" si="14"/>
        <v>136</v>
      </c>
      <c r="O18" s="110">
        <f t="shared" si="14"/>
        <v>2836</v>
      </c>
      <c r="P18" s="110">
        <f t="shared" si="14"/>
        <v>2455</v>
      </c>
      <c r="Q18" s="110">
        <f t="shared" ref="Q18" si="15">Q17-P17</f>
        <v>-662</v>
      </c>
      <c r="R18" s="110">
        <f t="shared" ref="R18" si="16">R17-Q17</f>
        <v>2546</v>
      </c>
      <c r="S18" s="110">
        <f t="shared" ref="S18" si="17">S17-R17</f>
        <v>1810</v>
      </c>
      <c r="T18" s="110">
        <f t="shared" ref="T18" si="18">T17-S17</f>
        <v>6195</v>
      </c>
      <c r="U18" s="110">
        <f t="shared" ref="U18" si="19">U17-T17</f>
        <v>-9167</v>
      </c>
      <c r="V18" s="110">
        <f t="shared" ref="V18" si="20">V17-U17</f>
        <v>11469</v>
      </c>
      <c r="W18" s="116">
        <f>W17-V17</f>
        <v>3103.9945920409045</v>
      </c>
      <c r="X18" s="116">
        <f t="shared" ref="X18:AF18" si="21">X17-W17</f>
        <v>1800.5351617299712</v>
      </c>
      <c r="Y18" s="116">
        <f t="shared" si="21"/>
        <v>5610.1649830756287</v>
      </c>
      <c r="Z18" s="116">
        <f t="shared" si="21"/>
        <v>6897.4760765848478</v>
      </c>
      <c r="AA18" s="116">
        <f t="shared" si="21"/>
        <v>7642.9833772481361</v>
      </c>
      <c r="AB18" s="116">
        <f t="shared" si="21"/>
        <v>9833.4585632552044</v>
      </c>
      <c r="AC18" s="116">
        <f t="shared" si="21"/>
        <v>15104.070003685483</v>
      </c>
      <c r="AD18" s="116">
        <f t="shared" si="21"/>
        <v>18143.239451904141</v>
      </c>
      <c r="AE18" s="116">
        <f t="shared" si="21"/>
        <v>22608.622066453463</v>
      </c>
      <c r="AF18" s="116">
        <f t="shared" si="21"/>
        <v>27169.624868366824</v>
      </c>
    </row>
    <row r="19" spans="1:32">
      <c r="E19" s="2"/>
      <c r="G19" s="2"/>
      <c r="H19" s="2"/>
      <c r="I19" s="2"/>
      <c r="J19" s="2"/>
      <c r="K19" s="2"/>
      <c r="L19" s="2"/>
      <c r="M19" s="2"/>
      <c r="N19" s="2"/>
      <c r="O19" s="2"/>
      <c r="P19" s="2"/>
      <c r="W19" s="2"/>
      <c r="X19" s="2"/>
      <c r="Y19" s="2"/>
      <c r="Z19" s="2"/>
      <c r="AA19" s="2"/>
      <c r="AB19" s="2"/>
      <c r="AC19" s="2"/>
      <c r="AD19" s="2"/>
      <c r="AE19" s="2"/>
      <c r="AF19" s="2"/>
    </row>
    <row r="20" spans="1:32">
      <c r="A20" t="s">
        <v>314</v>
      </c>
      <c r="E20" s="111">
        <f>(AVERAGE(E7,D7)/'DCF Valuation'!F10)*90</f>
        <v>43.346581875993635</v>
      </c>
      <c r="F20" s="111">
        <f>(AVERAGE(F7,E7)/'DCF Valuation'!G10)*90</f>
        <v>45.712309820193639</v>
      </c>
      <c r="G20" s="111">
        <f>(AVERAGE(G7,F7)/'DCF Valuation'!H10)*90</f>
        <v>47.768548500633528</v>
      </c>
      <c r="H20" s="111">
        <f>(AVERAGE(H7,G7)/'DCF Valuation'!I10)*90</f>
        <v>50.65811853984038</v>
      </c>
      <c r="I20" s="111">
        <f>(AVERAGE(I7,H7)/'DCF Valuation'!J10)*90</f>
        <v>54.77316602316602</v>
      </c>
      <c r="J20" s="111">
        <f>(AVERAGE(J7,I7)/'DCF Valuation'!K10)*90</f>
        <v>72.191974940334134</v>
      </c>
      <c r="K20" s="111">
        <f>(AVERAGE(K7,J7)/'DCF Valuation'!L10)*90</f>
        <v>77.579666160849769</v>
      </c>
      <c r="L20" s="111">
        <f>(AVERAGE(L7,K7)/'DCF Valuation'!M10)*90</f>
        <v>72.999504214179467</v>
      </c>
      <c r="M20" s="111">
        <f>(AVERAGE(M7,L7)/'DCF Valuation'!N10)*90</f>
        <v>51.056729699666299</v>
      </c>
      <c r="N20" s="111">
        <f>(AVERAGE(N7,M7)/'DCF Valuation'!O10)*90</f>
        <v>27.18590360553787</v>
      </c>
      <c r="O20" s="111">
        <f>(AVERAGE(O7,N7)/'DCF Valuation'!P10)*90</f>
        <v>41.269867549668874</v>
      </c>
      <c r="P20" s="111">
        <f>(AVERAGE(P7,O7)/'DCF Valuation'!Q10)*90</f>
        <v>37.273673257023937</v>
      </c>
      <c r="Q20" s="111">
        <f>(AVERAGE(Q7,P7)/'DCF Valuation'!X10)*90</f>
        <v>21.215979761779277</v>
      </c>
      <c r="R20" s="111">
        <f>(AVERAGE(R7,Q7)/'DCF Valuation'!Y10)*90</f>
        <v>24.805279910129187</v>
      </c>
      <c r="S20" s="111">
        <f>(AVERAGE(S7,R7)/'DCF Valuation'!Z10)*90</f>
        <v>25.463621492834537</v>
      </c>
      <c r="T20" s="111">
        <f>(AVERAGE(T7,S7)/'DCF Valuation'!AA10)*90</f>
        <v>27.872741364375486</v>
      </c>
      <c r="U20" s="111">
        <f>(AVERAGE(U7,T7)/'DCF Valuation'!AB10)*90</f>
        <v>26.078535709706372</v>
      </c>
      <c r="V20" s="111">
        <f>(AVERAGE(V7,U7)/'DCF Valuation'!AC10)*90</f>
        <v>24.46893067517394</v>
      </c>
      <c r="W20" s="117">
        <f t="shared" ref="W20:AF24" si="22">AVERAGE($E20:$V20)</f>
        <v>42.873396283393689</v>
      </c>
      <c r="X20" s="117">
        <f t="shared" si="22"/>
        <v>42.873396283393689</v>
      </c>
      <c r="Y20" s="117">
        <f t="shared" si="22"/>
        <v>42.873396283393689</v>
      </c>
      <c r="Z20" s="117">
        <f t="shared" si="22"/>
        <v>42.873396283393689</v>
      </c>
      <c r="AA20" s="117">
        <f t="shared" si="22"/>
        <v>42.873396283393689</v>
      </c>
      <c r="AB20" s="117">
        <f t="shared" si="22"/>
        <v>42.873396283393689</v>
      </c>
      <c r="AC20" s="117">
        <f t="shared" si="22"/>
        <v>42.873396283393689</v>
      </c>
      <c r="AD20" s="117">
        <f t="shared" si="22"/>
        <v>42.873396283393689</v>
      </c>
      <c r="AE20" s="117">
        <f t="shared" si="22"/>
        <v>42.873396283393689</v>
      </c>
      <c r="AF20" s="117">
        <f t="shared" si="22"/>
        <v>42.873396283393689</v>
      </c>
    </row>
    <row r="21" spans="1:32">
      <c r="A21" t="s">
        <v>315</v>
      </c>
      <c r="E21" s="112">
        <f>(AVERAGE(E8,D8)/('DCF Valuation'!F10-'DCF Valuation'!F13))*90</f>
        <v>84.552165354330711</v>
      </c>
      <c r="F21" s="112">
        <f>(AVERAGE(F8,E8)/('DCF Valuation'!G10-'DCF Valuation'!G13))*90</f>
        <v>80.6151832460733</v>
      </c>
      <c r="G21" s="112">
        <f>(AVERAGE(G8,F8)/('DCF Valuation'!H10-'DCF Valuation'!H13))*90</f>
        <v>79.132281553398059</v>
      </c>
      <c r="H21" s="112">
        <f>(AVERAGE(H8,G8)/('DCF Valuation'!I10-'DCF Valuation'!I13))*90</f>
        <v>82.372304199772984</v>
      </c>
      <c r="I21" s="112">
        <f>(AVERAGE(I8,H8)/('DCF Valuation'!J10-'DCF Valuation'!J13))*90</f>
        <v>90.85054252712635</v>
      </c>
      <c r="J21" s="112">
        <f>(AVERAGE(J8,I8)/('DCF Valuation'!K10-'DCF Valuation'!K13))*90</f>
        <v>83.75296912114014</v>
      </c>
      <c r="K21" s="112">
        <f>(AVERAGE(K8,J8)/('DCF Valuation'!L10-'DCF Valuation'!L13))*90</f>
        <v>136.3235294117647</v>
      </c>
      <c r="L21" s="112">
        <f>(AVERAGE(L8,K8)/('DCF Valuation'!M10-'DCF Valuation'!M13))*90</f>
        <v>180.73038773669973</v>
      </c>
      <c r="M21" s="112">
        <f>(AVERAGE(M8,L8)/('DCF Valuation'!N10-'DCF Valuation'!N13))*90</f>
        <v>163.125</v>
      </c>
      <c r="N21" s="112">
        <f>(AVERAGE(N8,M8)/('DCF Valuation'!O10-'DCF Valuation'!O13))*90</f>
        <v>102.59332509270703</v>
      </c>
      <c r="O21" s="112">
        <f>(AVERAGE(O8,N8)/('DCF Valuation'!P10-'DCF Valuation'!P13))*90</f>
        <v>91.125</v>
      </c>
      <c r="P21" s="112">
        <f>(AVERAGE(P8,O8)/('DCF Valuation'!Q10-'DCF Valuation'!Q13))*90</f>
        <v>85.230609939759034</v>
      </c>
      <c r="Q21" s="112">
        <f>(AVERAGE(Q8,P8)/('DCF Valuation'!X10-'DCF Valuation'!X13))*90</f>
        <v>44.615349719069258</v>
      </c>
      <c r="R21" s="112">
        <f>(AVERAGE(R8,Q8)/('DCF Valuation'!Y10-'DCF Valuation'!Y13))*90</f>
        <v>39.302746165303475</v>
      </c>
      <c r="S21" s="112">
        <f>(AVERAGE(S8,R8)/('DCF Valuation'!Z10-'DCF Valuation'!Z13))*90</f>
        <v>38.955077811134863</v>
      </c>
      <c r="T21" s="112">
        <f>(AVERAGE(T8,S8)/('DCF Valuation'!AA10-'DCF Valuation'!AA13))*90</f>
        <v>40.217676161271022</v>
      </c>
      <c r="U21" s="112">
        <f>(AVERAGE(U8,T8)/('DCF Valuation'!AB10-'DCF Valuation'!AB13))*90</f>
        <v>44.694937227363468</v>
      </c>
      <c r="V21" s="151">
        <f>(AVERAGE(V8,U8)/('DCF Valuation'!AC10-'DCF Valuation'!AC13))*90</f>
        <v>45.54448193446963</v>
      </c>
      <c r="W21" s="117">
        <f t="shared" si="22"/>
        <v>84.096309288965756</v>
      </c>
      <c r="X21" s="117">
        <f t="shared" si="22"/>
        <v>84.096309288965756</v>
      </c>
      <c r="Y21" s="117">
        <f t="shared" si="22"/>
        <v>84.096309288965756</v>
      </c>
      <c r="Z21" s="117">
        <f t="shared" si="22"/>
        <v>84.096309288965756</v>
      </c>
      <c r="AA21" s="117">
        <f t="shared" si="22"/>
        <v>84.096309288965756</v>
      </c>
      <c r="AB21" s="117">
        <f t="shared" si="22"/>
        <v>84.096309288965756</v>
      </c>
      <c r="AC21" s="117">
        <f t="shared" si="22"/>
        <v>84.096309288965756</v>
      </c>
      <c r="AD21" s="117">
        <f t="shared" si="22"/>
        <v>84.096309288965756</v>
      </c>
      <c r="AE21" s="117">
        <f t="shared" si="22"/>
        <v>84.096309288965756</v>
      </c>
      <c r="AF21" s="117">
        <f t="shared" si="22"/>
        <v>84.096309288965756</v>
      </c>
    </row>
    <row r="22" spans="1:32">
      <c r="A22" t="s">
        <v>316</v>
      </c>
      <c r="E22" s="61">
        <f>E9/'DCF Valuation'!F10</f>
        <v>7.8431372549019607E-2</v>
      </c>
      <c r="F22" s="61">
        <f>F9/'DCF Valuation'!G10</f>
        <v>6.9463654525895188E-2</v>
      </c>
      <c r="G22" s="61">
        <f>G9/'DCF Valuation'!H10</f>
        <v>4.5192172321554272E-2</v>
      </c>
      <c r="H22" s="61">
        <f>H9/'DCF Valuation'!I10</f>
        <v>4.7886955384011512E-2</v>
      </c>
      <c r="I22" s="61">
        <f>I9/'DCF Valuation'!J10</f>
        <v>7.6737451737451737E-2</v>
      </c>
      <c r="J22" s="61">
        <f>J9/'DCF Valuation'!K10</f>
        <v>0.17526849642004774</v>
      </c>
      <c r="K22" s="61">
        <f>K9/'DCF Valuation'!L10</f>
        <v>0.1210588433653684</v>
      </c>
      <c r="L22" s="61">
        <f>L9/'DCF Valuation'!M10</f>
        <v>0.13072219467856552</v>
      </c>
      <c r="M22" s="61">
        <f>M9/'DCF Valuation'!N10</f>
        <v>0.12124582869855395</v>
      </c>
      <c r="N22" s="61">
        <f>N9/'DCF Valuation'!O10</f>
        <v>0.10283556674317021</v>
      </c>
      <c r="O22" s="61">
        <f>O9/'DCF Valuation'!P10</f>
        <v>7.1136865342163361E-2</v>
      </c>
      <c r="P22" s="61">
        <f>P9/'DCF Valuation'!Q10</f>
        <v>0.13934759987332038</v>
      </c>
      <c r="Q22" s="61">
        <f>Q9/'DCF Valuation'!X10</f>
        <v>8.563297143459471E-2</v>
      </c>
      <c r="R22" s="61">
        <f>R9/'DCF Valuation'!Y10</f>
        <v>8.3754602758534608E-2</v>
      </c>
      <c r="S22" s="61">
        <f>S9/'DCF Valuation'!Z10</f>
        <v>6.7671846662636467E-2</v>
      </c>
      <c r="T22" s="61">
        <f>T9/'DCF Valuation'!AA10</f>
        <v>5.7307417594942477E-2</v>
      </c>
      <c r="U22" s="61">
        <f>U9/'DCF Valuation'!AB10</f>
        <v>3.5632773432491348E-2</v>
      </c>
      <c r="V22" s="61">
        <f>V9/'DCF Valuation'!AC10</f>
        <v>2.8940692268327472E-2</v>
      </c>
      <c r="W22" s="118">
        <f t="shared" si="22"/>
        <v>8.5459294766147165E-2</v>
      </c>
      <c r="X22" s="118">
        <f t="shared" si="22"/>
        <v>8.5459294766147165E-2</v>
      </c>
      <c r="Y22" s="118">
        <f t="shared" si="22"/>
        <v>8.5459294766147165E-2</v>
      </c>
      <c r="Z22" s="118">
        <f t="shared" si="22"/>
        <v>8.5459294766147165E-2</v>
      </c>
      <c r="AA22" s="118">
        <f t="shared" si="22"/>
        <v>8.5459294766147165E-2</v>
      </c>
      <c r="AB22" s="118">
        <f t="shared" si="22"/>
        <v>8.5459294766147165E-2</v>
      </c>
      <c r="AC22" s="118">
        <f t="shared" si="22"/>
        <v>8.5459294766147165E-2</v>
      </c>
      <c r="AD22" s="118">
        <f t="shared" si="22"/>
        <v>8.5459294766147165E-2</v>
      </c>
      <c r="AE22" s="118">
        <f t="shared" si="22"/>
        <v>8.5459294766147165E-2</v>
      </c>
      <c r="AF22" s="118">
        <f t="shared" si="22"/>
        <v>8.5459294766147165E-2</v>
      </c>
    </row>
    <row r="23" spans="1:32">
      <c r="A23" t="s">
        <v>317</v>
      </c>
      <c r="E23" s="112">
        <f>(AVERAGE(E13,D13)/('DCF Valuation'!F10-'DCF Valuation'!F13))*90</f>
        <v>53.57037401574803</v>
      </c>
      <c r="F23" s="112">
        <f>(AVERAGE(F13,E13)/('DCF Valuation'!G10-'DCF Valuation'!G13))*90</f>
        <v>52.853403141361262</v>
      </c>
      <c r="G23" s="112">
        <f>(AVERAGE(G13,F13)/('DCF Valuation'!H10-'DCF Valuation'!H13))*90</f>
        <v>57.123786407766993</v>
      </c>
      <c r="H23" s="112">
        <f>(AVERAGE(H13,G13)/('DCF Valuation'!I10-'DCF Valuation'!I13))*90</f>
        <v>58.688989784335988</v>
      </c>
      <c r="I23" s="112">
        <f>(AVERAGE(I13,H13)/('DCF Valuation'!J10-'DCF Valuation'!J13))*90</f>
        <v>59.569478473923695</v>
      </c>
      <c r="J23" s="112">
        <f>(AVERAGE(J13,I13)/('DCF Valuation'!K10-'DCF Valuation'!K13))*90</f>
        <v>52.494061757719713</v>
      </c>
      <c r="K23" s="112">
        <f>(AVERAGE(K13,J13)/('DCF Valuation'!L10-'DCF Valuation'!L13))*90</f>
        <v>63.921568627450981</v>
      </c>
      <c r="L23" s="112">
        <f>(AVERAGE(L13,K13)/('DCF Valuation'!M10-'DCF Valuation'!M13))*90</f>
        <v>60.500450856627594</v>
      </c>
      <c r="M23" s="112">
        <f>(AVERAGE(M13,L13)/('DCF Valuation'!N10-'DCF Valuation'!N13))*90</f>
        <v>40.365566037735846</v>
      </c>
      <c r="N23" s="112">
        <f>(AVERAGE(N13,M13)/('DCF Valuation'!O10-'DCF Valuation'!O13))*90</f>
        <v>25.38689740420272</v>
      </c>
      <c r="O23" s="112">
        <f>(AVERAGE(O13,N13)/('DCF Valuation'!P10-'DCF Valuation'!P13))*90</f>
        <v>45.381355932203391</v>
      </c>
      <c r="P23" s="112">
        <f>(AVERAGE(P13,O13)/('DCF Valuation'!Q10-'DCF Valuation'!Q13))*90</f>
        <v>43.026167168674704</v>
      </c>
      <c r="Q23" s="112">
        <f>(AVERAGE(Q13,P13)/('DCF Valuation'!X10-'DCF Valuation'!X13))*90</f>
        <v>21.671227649294902</v>
      </c>
      <c r="R23" s="112">
        <f>(AVERAGE(R13,Q13)/('DCF Valuation'!Y10-'DCF Valuation'!Y13))*90</f>
        <v>20.044745332731139</v>
      </c>
      <c r="S23" s="112">
        <f>(AVERAGE(S13,R13)/('DCF Valuation'!Z10-'DCF Valuation'!Z13))*90</f>
        <v>24.557276702350563</v>
      </c>
      <c r="T23" s="112">
        <f>(AVERAGE(T13,S13)/('DCF Valuation'!AA10-'DCF Valuation'!AA13))*90</f>
        <v>26.449687440447953</v>
      </c>
      <c r="U23" s="112">
        <f>(AVERAGE(U13,T13)/('DCF Valuation'!AB10-'DCF Valuation'!AB13))*90</f>
        <v>28.472593224604918</v>
      </c>
      <c r="V23" s="112">
        <f>(AVERAGE(V13,U13)/('DCF Valuation'!AC10-'DCF Valuation'!AC13))*90</f>
        <v>28.397101400100006</v>
      </c>
      <c r="W23" s="117">
        <f t="shared" si="22"/>
        <v>42.359707297626692</v>
      </c>
      <c r="X23" s="117">
        <f t="shared" si="22"/>
        <v>42.359707297626692</v>
      </c>
      <c r="Y23" s="117">
        <f t="shared" si="22"/>
        <v>42.359707297626692</v>
      </c>
      <c r="Z23" s="117">
        <f t="shared" si="22"/>
        <v>42.359707297626692</v>
      </c>
      <c r="AA23" s="117">
        <f t="shared" si="22"/>
        <v>42.359707297626692</v>
      </c>
      <c r="AB23" s="117">
        <f t="shared" si="22"/>
        <v>42.359707297626692</v>
      </c>
      <c r="AC23" s="117">
        <f t="shared" si="22"/>
        <v>42.359707297626692</v>
      </c>
      <c r="AD23" s="117">
        <f t="shared" si="22"/>
        <v>42.359707297626692</v>
      </c>
      <c r="AE23" s="117">
        <f t="shared" si="22"/>
        <v>42.359707297626692</v>
      </c>
      <c r="AF23" s="117">
        <f t="shared" si="22"/>
        <v>42.359707297626692</v>
      </c>
    </row>
    <row r="24" spans="1:32">
      <c r="A24" t="s">
        <v>311</v>
      </c>
      <c r="E24" s="61">
        <f>E14/'Income Statement'!B17</f>
        <v>1.083030303030303</v>
      </c>
      <c r="F24" s="61">
        <f>F14/'Income Statement'!C17</f>
        <v>1.1799163179916319</v>
      </c>
      <c r="G24" s="61">
        <f>G14/'Income Statement'!D17</f>
        <v>1.0999435347261435</v>
      </c>
      <c r="H24" s="61">
        <f>H14/'Income Statement'!E17</f>
        <v>1.3020408163265307</v>
      </c>
      <c r="I24" s="61">
        <f>I14/'Income Statement'!F17</f>
        <v>1.7551724137931035</v>
      </c>
      <c r="J24" s="61">
        <f>J14/'Income Statement'!G17</f>
        <v>1.0954252034802132</v>
      </c>
      <c r="K24" s="61">
        <f>K14/'Income Statement'!H17</f>
        <v>1.7032284768211921</v>
      </c>
      <c r="L24" s="61">
        <f>L14/'Income Statement'!I17</f>
        <v>1.5993788819875776</v>
      </c>
      <c r="M24" s="61">
        <f>M14/'Income Statement'!J17</f>
        <v>1.8894062863795111</v>
      </c>
      <c r="N24" s="61">
        <f>N14/'Income Statement'!K17</f>
        <v>2.8532695374800636</v>
      </c>
      <c r="O24" s="61">
        <f>O14/'Income Statement'!L17</f>
        <v>2.055597295266717</v>
      </c>
      <c r="P24" s="61">
        <f>P14/'Income Statement'!M17</f>
        <v>2.2400268186389543</v>
      </c>
      <c r="Q24" s="61">
        <f>Q14/'Income Statement'!N17</f>
        <v>3.5447103274559195</v>
      </c>
      <c r="R24" s="61">
        <f>R14/'Income Statement'!O17</f>
        <v>2.942236202459251</v>
      </c>
      <c r="S24" s="61">
        <f>S14/'Income Statement'!P17</f>
        <v>2.8296032553407935</v>
      </c>
      <c r="T24" s="61">
        <f>T14/'Income Statement'!Q17</f>
        <v>2.7378119897364126</v>
      </c>
      <c r="U24" s="61">
        <f>U14/'Income Statement'!R17</f>
        <v>4.09703561526978</v>
      </c>
      <c r="V24" s="61">
        <f>V14/'Income Statement'!S17</f>
        <v>3.0204771371769383</v>
      </c>
      <c r="W24" s="118">
        <f t="shared" si="22"/>
        <v>2.1682394674089469</v>
      </c>
      <c r="X24" s="118">
        <f t="shared" si="22"/>
        <v>2.1682394674089469</v>
      </c>
      <c r="Y24" s="118">
        <f t="shared" si="22"/>
        <v>2.1682394674089469</v>
      </c>
      <c r="Z24" s="118">
        <f t="shared" si="22"/>
        <v>2.1682394674089469</v>
      </c>
      <c r="AA24" s="118">
        <f t="shared" si="22"/>
        <v>2.1682394674089469</v>
      </c>
      <c r="AB24" s="118">
        <f t="shared" si="22"/>
        <v>2.1682394674089469</v>
      </c>
      <c r="AC24" s="118">
        <f t="shared" si="22"/>
        <v>2.1682394674089469</v>
      </c>
      <c r="AD24" s="118">
        <f t="shared" si="22"/>
        <v>2.1682394674089469</v>
      </c>
      <c r="AE24" s="118">
        <f t="shared" si="22"/>
        <v>2.1682394674089469</v>
      </c>
      <c r="AF24" s="118">
        <f t="shared" si="22"/>
        <v>2.1682394674089469</v>
      </c>
    </row>
    <row r="25" spans="1:32">
      <c r="A25" t="s">
        <v>318</v>
      </c>
      <c r="W25" s="119"/>
      <c r="X25" s="119"/>
      <c r="Y25" s="119"/>
      <c r="Z25" s="119"/>
      <c r="AA25" s="119"/>
      <c r="AB25" s="119"/>
      <c r="AC25" s="119"/>
      <c r="AD25" s="119"/>
      <c r="AE25" s="119"/>
      <c r="AF25" s="119"/>
    </row>
    <row r="26" spans="1:32">
      <c r="A26" t="s">
        <v>319</v>
      </c>
      <c r="E26" s="111">
        <f>E21+E20-E23</f>
        <v>74.328373214576317</v>
      </c>
      <c r="F26" s="111">
        <f t="shared" ref="F26:V26" si="23">F21+F20-F23</f>
        <v>73.474089924905684</v>
      </c>
      <c r="G26" s="111">
        <f t="shared" si="23"/>
        <v>69.777043646264588</v>
      </c>
      <c r="H26" s="111">
        <f t="shared" si="23"/>
        <v>74.341432955277369</v>
      </c>
      <c r="I26" s="111">
        <f t="shared" si="23"/>
        <v>86.054230076368682</v>
      </c>
      <c r="J26" s="111">
        <f t="shared" si="23"/>
        <v>103.45088230375455</v>
      </c>
      <c r="K26" s="111">
        <f t="shared" si="23"/>
        <v>149.9816269451635</v>
      </c>
      <c r="L26" s="111">
        <f t="shared" si="23"/>
        <v>193.2294410942516</v>
      </c>
      <c r="M26" s="111">
        <f t="shared" si="23"/>
        <v>173.81616366193046</v>
      </c>
      <c r="N26" s="111">
        <f t="shared" si="23"/>
        <v>104.39233129404218</v>
      </c>
      <c r="O26" s="111">
        <f t="shared" si="23"/>
        <v>87.013511617465483</v>
      </c>
      <c r="P26" s="111">
        <f t="shared" si="23"/>
        <v>79.478116028108275</v>
      </c>
      <c r="Q26" s="111">
        <f t="shared" si="23"/>
        <v>44.160101831553632</v>
      </c>
      <c r="R26" s="111">
        <f>R21+R20-R23</f>
        <v>44.063280742701522</v>
      </c>
      <c r="S26" s="111">
        <f t="shared" si="23"/>
        <v>39.861422601618841</v>
      </c>
      <c r="T26" s="111">
        <f t="shared" si="23"/>
        <v>41.640730085198548</v>
      </c>
      <c r="U26" s="111">
        <f t="shared" si="23"/>
        <v>42.300879712464919</v>
      </c>
      <c r="V26" s="111">
        <f t="shared" si="23"/>
        <v>41.616311209543561</v>
      </c>
      <c r="W26" s="117">
        <f t="shared" ref="W26:AF26" si="24">AVERAGE($E26:$V26)</f>
        <v>84.609998274732732</v>
      </c>
      <c r="X26" s="117">
        <f t="shared" si="24"/>
        <v>84.609998274732732</v>
      </c>
      <c r="Y26" s="117">
        <f t="shared" si="24"/>
        <v>84.609998274732732</v>
      </c>
      <c r="Z26" s="117">
        <f t="shared" si="24"/>
        <v>84.609998274732732</v>
      </c>
      <c r="AA26" s="117">
        <f t="shared" si="24"/>
        <v>84.609998274732732</v>
      </c>
      <c r="AB26" s="117">
        <f t="shared" si="24"/>
        <v>84.609998274732732</v>
      </c>
      <c r="AC26" s="117">
        <f t="shared" si="24"/>
        <v>84.609998274732732</v>
      </c>
      <c r="AD26" s="117">
        <f t="shared" si="24"/>
        <v>84.609998274732732</v>
      </c>
      <c r="AE26" s="117">
        <f t="shared" si="24"/>
        <v>84.609998274732732</v>
      </c>
      <c r="AF26" s="117">
        <f t="shared" si="24"/>
        <v>84.609998274732732</v>
      </c>
    </row>
  </sheetData>
  <mergeCells count="2">
    <mergeCell ref="D4:V4"/>
    <mergeCell ref="W4:AF4"/>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F181B-D2C3-4DD5-8994-27DDC28A33E0}">
  <dimension ref="A1:AE33"/>
  <sheetViews>
    <sheetView showGridLines="0" zoomScale="81" workbookViewId="0"/>
  </sheetViews>
  <sheetFormatPr defaultRowHeight="15"/>
  <cols>
    <col min="1" max="1" width="8.7109375" customWidth="1"/>
    <col min="2" max="2" width="9.28515625" customWidth="1"/>
    <col min="3" max="3" width="11.5703125" customWidth="1"/>
    <col min="4" max="31" width="8.42578125" bestFit="1" customWidth="1"/>
    <col min="32" max="32" width="7.85546875" customWidth="1"/>
  </cols>
  <sheetData>
    <row r="1" spans="1:31" ht="11.25" customHeight="1">
      <c r="S1" s="22"/>
    </row>
    <row r="2" spans="1:31" ht="19.5" customHeight="1">
      <c r="A2" s="161" t="s">
        <v>320</v>
      </c>
      <c r="B2" s="163"/>
      <c r="C2" s="163"/>
      <c r="D2" s="163"/>
      <c r="E2" s="163"/>
      <c r="L2" s="102"/>
      <c r="M2" s="102"/>
      <c r="N2" s="102"/>
      <c r="O2" s="103"/>
      <c r="P2" s="103"/>
      <c r="Q2" s="103"/>
      <c r="R2" s="103"/>
      <c r="S2" s="103"/>
    </row>
    <row r="4" spans="1:31">
      <c r="A4" s="1"/>
      <c r="D4" s="176" t="s">
        <v>302</v>
      </c>
      <c r="E4" s="176"/>
      <c r="F4" s="176"/>
      <c r="G4" s="176"/>
      <c r="H4" s="176"/>
      <c r="I4" s="176"/>
      <c r="J4" s="176"/>
      <c r="K4" s="176"/>
      <c r="L4" s="176"/>
      <c r="M4" s="176"/>
      <c r="N4" s="176"/>
      <c r="O4" s="176"/>
      <c r="P4" s="176"/>
      <c r="Q4" s="176"/>
      <c r="R4" s="176"/>
      <c r="S4" s="176"/>
      <c r="T4" s="176"/>
      <c r="U4" s="176"/>
      <c r="V4" s="176" t="s">
        <v>303</v>
      </c>
      <c r="W4" s="176"/>
      <c r="X4" s="176"/>
      <c r="Y4" s="176"/>
      <c r="Z4" s="176"/>
      <c r="AA4" s="176"/>
      <c r="AB4" s="176"/>
      <c r="AC4" s="176"/>
      <c r="AD4" s="176"/>
      <c r="AE4" s="176"/>
    </row>
    <row r="5" spans="1:31">
      <c r="A5" s="1" t="s">
        <v>304</v>
      </c>
      <c r="D5" s="152" t="s">
        <v>54</v>
      </c>
      <c r="E5" s="152" t="str">
        <f>IF(MID(D5,2,1)="4","Q1 "&amp;RIGHT(D5,4)+1, "Q"&amp;MID(D5,2,1)+1&amp;" "&amp;RIGHT(D5,4))</f>
        <v>Q2 2022</v>
      </c>
      <c r="F5" s="152" t="str">
        <f t="shared" ref="F5:N5" si="0">IF(MID(E5,2,1)="4","Q1 "&amp;RIGHT(E5,4)+1, "Q"&amp;MID(E5,2,1)+1&amp;" "&amp;RIGHT(E5,4))</f>
        <v>Q3 2022</v>
      </c>
      <c r="G5" s="152" t="str">
        <f t="shared" si="0"/>
        <v>Q4 2022</v>
      </c>
      <c r="H5" s="152" t="str">
        <f t="shared" si="0"/>
        <v>Q1 2023</v>
      </c>
      <c r="I5" s="152" t="str">
        <f t="shared" si="0"/>
        <v>Q2 2023</v>
      </c>
      <c r="J5" s="152" t="str">
        <f t="shared" si="0"/>
        <v>Q3 2023</v>
      </c>
      <c r="K5" s="152" t="str">
        <f t="shared" si="0"/>
        <v>Q4 2023</v>
      </c>
      <c r="L5" s="152" t="str">
        <f t="shared" si="0"/>
        <v>Q1 2024</v>
      </c>
      <c r="M5" s="152" t="str">
        <f t="shared" si="0"/>
        <v>Q2 2024</v>
      </c>
      <c r="N5" s="152" t="str">
        <f t="shared" si="0"/>
        <v>Q3 2024</v>
      </c>
      <c r="O5" s="152" t="str">
        <f>IF(MID(N5,2,1)="4","Q1 "&amp;RIGHT(N5,4)+1, "Q"&amp;MID(N5,2,1)+1&amp;" "&amp;RIGHT(N5,4))</f>
        <v>Q4 2024</v>
      </c>
      <c r="P5" s="152" t="str">
        <f t="shared" ref="P5:AE5" si="1">IF(MID(O5,2,1)="4","Q1 "&amp;RIGHT(O5,4)+1, "Q"&amp;MID(O5,2,1)+1&amp;" "&amp;RIGHT(O5,4))</f>
        <v>Q1 2025</v>
      </c>
      <c r="Q5" s="152" t="str">
        <f t="shared" si="1"/>
        <v>Q2 2025</v>
      </c>
      <c r="R5" s="152" t="str">
        <f t="shared" si="1"/>
        <v>Q3 2025</v>
      </c>
      <c r="S5" s="152" t="str">
        <f t="shared" si="1"/>
        <v>Q4 2025</v>
      </c>
      <c r="T5" s="152" t="str">
        <f>IF(MID(S5,2,1)="4","Q1 "&amp;RIGHT(S5,4)+1, "Q"&amp;MID(S5,2,1)+1&amp;" "&amp;RIGHT(S5,4))</f>
        <v>Q1 2026</v>
      </c>
      <c r="U5" s="152" t="str">
        <f t="shared" si="1"/>
        <v>Q2 2026</v>
      </c>
      <c r="V5" s="113" t="str">
        <f t="shared" si="1"/>
        <v>Q3 2026</v>
      </c>
      <c r="W5" s="113" t="str">
        <f t="shared" si="1"/>
        <v>Q4 2026</v>
      </c>
      <c r="X5" s="113" t="str">
        <f t="shared" si="1"/>
        <v>Q1 2027</v>
      </c>
      <c r="Y5" s="113" t="str">
        <f t="shared" si="1"/>
        <v>Q2 2027</v>
      </c>
      <c r="Z5" s="113" t="str">
        <f t="shared" si="1"/>
        <v>Q3 2027</v>
      </c>
      <c r="AA5" s="113" t="str">
        <f t="shared" si="1"/>
        <v>Q4 2027</v>
      </c>
      <c r="AB5" s="113" t="str">
        <f t="shared" si="1"/>
        <v>Q1 2028</v>
      </c>
      <c r="AC5" s="113" t="str">
        <f t="shared" si="1"/>
        <v>Q2 2028</v>
      </c>
      <c r="AD5" s="113" t="str">
        <f t="shared" si="1"/>
        <v>Q3 2028</v>
      </c>
      <c r="AE5" s="113" t="str">
        <f t="shared" si="1"/>
        <v>Q4 2028</v>
      </c>
    </row>
    <row r="6" spans="1:31">
      <c r="A6" t="s">
        <v>321</v>
      </c>
      <c r="D6" s="23">
        <f>'Balance Sheet'!B29+'Balance Sheet'!B31</f>
        <v>6963</v>
      </c>
      <c r="E6" s="23">
        <f>'Balance Sheet'!C29+'Balance Sheet'!C31</f>
        <v>6963</v>
      </c>
      <c r="F6" s="23">
        <f>'Balance Sheet'!D29+'Balance Sheet'!D31</f>
        <v>11943</v>
      </c>
      <c r="G6" s="23">
        <f>'Balance Sheet'!E29+'Balance Sheet'!E31</f>
        <v>10944</v>
      </c>
      <c r="H6" s="23">
        <f>'Balance Sheet'!F29+'Balance Sheet'!F31</f>
        <v>10946</v>
      </c>
      <c r="I6" s="23">
        <f>'Balance Sheet'!G29+'Balance Sheet'!G31</f>
        <v>10947</v>
      </c>
      <c r="J6" s="23">
        <f>'Balance Sheet'!H29+'Balance Sheet'!H31</f>
        <v>10949</v>
      </c>
      <c r="K6" s="23">
        <f>'Balance Sheet'!I29+'Balance Sheet'!I31</f>
        <v>10950</v>
      </c>
      <c r="L6" s="23">
        <f>'Balance Sheet'!J29+'Balance Sheet'!J31</f>
        <v>10953</v>
      </c>
      <c r="M6" s="23">
        <f>'Balance Sheet'!K29+'Balance Sheet'!K31</f>
        <v>10954</v>
      </c>
      <c r="N6" s="23">
        <f>'Balance Sheet'!L29+'Balance Sheet'!L31</f>
        <v>9705</v>
      </c>
      <c r="O6" s="23">
        <f>'Balance Sheet'!M29+'Balance Sheet'!M31</f>
        <v>9706</v>
      </c>
      <c r="P6" s="23">
        <f>'Balance Sheet'!N29+'Balance Sheet'!N31</f>
        <v>9709</v>
      </c>
      <c r="Q6" s="23">
        <f>'Balance Sheet'!O29+'Balance Sheet'!O31</f>
        <v>9710</v>
      </c>
      <c r="R6" s="23">
        <f>'Balance Sheet'!P29+'Balance Sheet'!P31</f>
        <v>8461</v>
      </c>
      <c r="S6" s="23">
        <f>'Balance Sheet'!Q29+'Balance Sheet'!Q31</f>
        <v>8462</v>
      </c>
      <c r="T6" s="23">
        <f>'Balance Sheet'!R29+'Balance Sheet'!R31</f>
        <v>8463</v>
      </c>
      <c r="U6" s="23">
        <f>'Balance Sheet'!S29+'Balance Sheet'!S31</f>
        <v>8464</v>
      </c>
      <c r="V6" s="120">
        <f>U8</f>
        <v>8466</v>
      </c>
      <c r="W6" s="120">
        <f>V8</f>
        <v>8467</v>
      </c>
      <c r="X6" s="120">
        <f t="shared" ref="X6:AC6" si="2">W8</f>
        <v>7218</v>
      </c>
      <c r="Y6" s="120">
        <f t="shared" si="2"/>
        <v>7219</v>
      </c>
      <c r="Z6" s="120">
        <f t="shared" si="2"/>
        <v>7220</v>
      </c>
      <c r="AA6" s="120">
        <f t="shared" si="2"/>
        <v>7221</v>
      </c>
      <c r="AB6" s="120">
        <f t="shared" si="2"/>
        <v>7222</v>
      </c>
      <c r="AC6" s="120">
        <f t="shared" si="2"/>
        <v>7223</v>
      </c>
      <c r="AD6" s="120">
        <f t="shared" ref="AD6" si="3">AC8</f>
        <v>7224</v>
      </c>
      <c r="AE6" s="120">
        <f t="shared" ref="AE6" si="4">AD8</f>
        <v>7225</v>
      </c>
    </row>
    <row r="7" spans="1:31">
      <c r="A7" s="177" t="s">
        <v>322</v>
      </c>
      <c r="B7" s="177"/>
      <c r="C7" s="177"/>
      <c r="D7" s="23">
        <f t="shared" ref="D7:U7" si="5">D8-D6</f>
        <v>0</v>
      </c>
      <c r="E7" s="23">
        <f t="shared" si="5"/>
        <v>4980</v>
      </c>
      <c r="F7" s="23">
        <f t="shared" si="5"/>
        <v>-999</v>
      </c>
      <c r="G7" s="23">
        <f t="shared" si="5"/>
        <v>2</v>
      </c>
      <c r="H7" s="23">
        <f t="shared" si="5"/>
        <v>1</v>
      </c>
      <c r="I7" s="23">
        <f t="shared" si="5"/>
        <v>2</v>
      </c>
      <c r="J7" s="23">
        <f t="shared" si="5"/>
        <v>1</v>
      </c>
      <c r="K7" s="23">
        <f t="shared" si="5"/>
        <v>3</v>
      </c>
      <c r="L7" s="23">
        <f t="shared" si="5"/>
        <v>1</v>
      </c>
      <c r="M7" s="23">
        <f t="shared" si="5"/>
        <v>-1249</v>
      </c>
      <c r="N7" s="23">
        <f t="shared" si="5"/>
        <v>1</v>
      </c>
      <c r="O7" s="23">
        <f t="shared" si="5"/>
        <v>3</v>
      </c>
      <c r="P7" s="23">
        <f t="shared" si="5"/>
        <v>1</v>
      </c>
      <c r="Q7" s="23">
        <f t="shared" si="5"/>
        <v>-1249</v>
      </c>
      <c r="R7" s="23">
        <f t="shared" si="5"/>
        <v>1</v>
      </c>
      <c r="S7" s="23">
        <f t="shared" si="5"/>
        <v>1</v>
      </c>
      <c r="T7" s="23">
        <f t="shared" si="5"/>
        <v>1</v>
      </c>
      <c r="U7" s="23">
        <f t="shared" si="5"/>
        <v>2</v>
      </c>
      <c r="V7" s="121">
        <v>1</v>
      </c>
      <c r="W7" s="120">
        <v>-1249</v>
      </c>
      <c r="X7" s="121">
        <v>1</v>
      </c>
      <c r="Y7" s="120">
        <v>1</v>
      </c>
      <c r="Z7" s="121">
        <v>1</v>
      </c>
      <c r="AA7" s="121">
        <v>1</v>
      </c>
      <c r="AB7" s="121">
        <v>1</v>
      </c>
      <c r="AC7" s="121">
        <v>1</v>
      </c>
      <c r="AD7" s="121">
        <v>1</v>
      </c>
      <c r="AE7" s="121">
        <v>1</v>
      </c>
    </row>
    <row r="8" spans="1:31">
      <c r="A8" s="21" t="s">
        <v>323</v>
      </c>
      <c r="B8" s="22"/>
      <c r="C8" s="28">
        <f>'Balance Sheet'!B29+'Balance Sheet'!B31</f>
        <v>6963</v>
      </c>
      <c r="D8" s="29">
        <f>'Balance Sheet'!C29+'Balance Sheet'!C31</f>
        <v>6963</v>
      </c>
      <c r="E8" s="29">
        <f>'Balance Sheet'!D29+'Balance Sheet'!D31</f>
        <v>11943</v>
      </c>
      <c r="F8" s="29">
        <f>'Balance Sheet'!E29+'Balance Sheet'!E31</f>
        <v>10944</v>
      </c>
      <c r="G8" s="29">
        <f>'Balance Sheet'!F29+'Balance Sheet'!F31</f>
        <v>10946</v>
      </c>
      <c r="H8" s="29">
        <f>'Balance Sheet'!G29+'Balance Sheet'!G31</f>
        <v>10947</v>
      </c>
      <c r="I8" s="29">
        <f>'Balance Sheet'!H29+'Balance Sheet'!H31</f>
        <v>10949</v>
      </c>
      <c r="J8" s="29">
        <f>'Balance Sheet'!I29+'Balance Sheet'!I31</f>
        <v>10950</v>
      </c>
      <c r="K8" s="29">
        <f>'Balance Sheet'!J29+'Balance Sheet'!J31</f>
        <v>10953</v>
      </c>
      <c r="L8" s="29">
        <f>'Balance Sheet'!K29+'Balance Sheet'!K31</f>
        <v>10954</v>
      </c>
      <c r="M8" s="29">
        <f>'Balance Sheet'!L29+'Balance Sheet'!L31</f>
        <v>9705</v>
      </c>
      <c r="N8" s="29">
        <f>'Balance Sheet'!M29+'Balance Sheet'!M31</f>
        <v>9706</v>
      </c>
      <c r="O8" s="29">
        <f>'Balance Sheet'!N29+'Balance Sheet'!N31</f>
        <v>9709</v>
      </c>
      <c r="P8" s="29">
        <f>'Balance Sheet'!O29+'Balance Sheet'!O31</f>
        <v>9710</v>
      </c>
      <c r="Q8" s="29">
        <f>'Balance Sheet'!P29+'Balance Sheet'!P31</f>
        <v>8461</v>
      </c>
      <c r="R8" s="29">
        <f>'Balance Sheet'!Q29+'Balance Sheet'!Q31</f>
        <v>8462</v>
      </c>
      <c r="S8" s="29">
        <f>'Balance Sheet'!R29+'Balance Sheet'!R31</f>
        <v>8463</v>
      </c>
      <c r="T8" s="29">
        <f>'Balance Sheet'!S29+'Balance Sheet'!S31</f>
        <v>8464</v>
      </c>
      <c r="U8" s="29">
        <f>'Balance Sheet'!T29+'Balance Sheet'!T31</f>
        <v>8466</v>
      </c>
      <c r="V8" s="122">
        <f>V6+V7</f>
        <v>8467</v>
      </c>
      <c r="W8" s="122">
        <f t="shared" ref="W8:AE8" si="6">W6+W7</f>
        <v>7218</v>
      </c>
      <c r="X8" s="122">
        <f t="shared" si="6"/>
        <v>7219</v>
      </c>
      <c r="Y8" s="122">
        <f t="shared" si="6"/>
        <v>7220</v>
      </c>
      <c r="Z8" s="122">
        <f t="shared" si="6"/>
        <v>7221</v>
      </c>
      <c r="AA8" s="122">
        <f t="shared" si="6"/>
        <v>7222</v>
      </c>
      <c r="AB8" s="122">
        <f t="shared" si="6"/>
        <v>7223</v>
      </c>
      <c r="AC8" s="122">
        <f t="shared" si="6"/>
        <v>7224</v>
      </c>
      <c r="AD8" s="122">
        <f t="shared" si="6"/>
        <v>7225</v>
      </c>
      <c r="AE8" s="122">
        <f t="shared" si="6"/>
        <v>7226</v>
      </c>
    </row>
    <row r="10" spans="1:31">
      <c r="A10" t="s">
        <v>324</v>
      </c>
      <c r="D10" s="7">
        <f>'Income Statement'!C21</f>
        <v>-53</v>
      </c>
      <c r="E10" s="7" t="str">
        <f>'Income Statement'!D21</f>
        <v>(60)</v>
      </c>
      <c r="F10" s="7" t="str">
        <f>'Income Statement'!E21</f>
        <v>(62)</v>
      </c>
      <c r="G10" s="7">
        <f>'Income Statement'!F21</f>
        <v>-61</v>
      </c>
      <c r="H10" s="7">
        <f>'Income Statement'!G21</f>
        <v>-68</v>
      </c>
      <c r="I10" s="7" t="str">
        <f>'Income Statement'!H21</f>
        <v>(65)</v>
      </c>
      <c r="J10" s="7" t="str">
        <f>'Income Statement'!I21</f>
        <v>(65)</v>
      </c>
      <c r="K10" s="7">
        <f>'Income Statement'!J21</f>
        <v>-64</v>
      </c>
      <c r="L10" s="7">
        <f>'Income Statement'!K21</f>
        <v>-66</v>
      </c>
      <c r="M10" s="7">
        <f>'Income Statement'!L21</f>
        <v>-65</v>
      </c>
      <c r="N10" s="7">
        <f>'Income Statement'!M21</f>
        <v>-63</v>
      </c>
      <c r="O10" s="7">
        <f>'Income Statement'!N21</f>
        <v>-63</v>
      </c>
      <c r="P10" s="7">
        <f>'Income Statement'!O21</f>
        <v>-64</v>
      </c>
      <c r="Q10" s="7">
        <f>'Income Statement'!P21</f>
        <v>-61</v>
      </c>
      <c r="R10" s="7">
        <f>'Income Statement'!Q21</f>
        <v>-61</v>
      </c>
      <c r="S10" s="7">
        <f>'Income Statement'!R21</f>
        <v>-61</v>
      </c>
      <c r="T10" s="7">
        <f>'Income Statement'!S21</f>
        <v>-63</v>
      </c>
      <c r="U10" s="7">
        <f>'Income Statement'!T21</f>
        <v>-62</v>
      </c>
      <c r="V10" s="123">
        <f>V6*V12</f>
        <v>-55.465806348246488</v>
      </c>
      <c r="W10" s="123">
        <f t="shared" ref="W10:AE10" si="7">W6*W12</f>
        <v>-55.472357943610092</v>
      </c>
      <c r="X10" s="123">
        <f t="shared" si="7"/>
        <v>-47.28941533447238</v>
      </c>
      <c r="Y10" s="123">
        <f t="shared" si="7"/>
        <v>-47.295966929835977</v>
      </c>
      <c r="Z10" s="123">
        <f t="shared" si="7"/>
        <v>-47.302518525199581</v>
      </c>
      <c r="AA10" s="123">
        <f t="shared" si="7"/>
        <v>-47.309070120563177</v>
      </c>
      <c r="AB10" s="123">
        <f t="shared" si="7"/>
        <v>-47.315621715926781</v>
      </c>
      <c r="AC10" s="123">
        <f t="shared" si="7"/>
        <v>-47.322173311290385</v>
      </c>
      <c r="AD10" s="123">
        <f t="shared" si="7"/>
        <v>-47.328724906653981</v>
      </c>
      <c r="AE10" s="123">
        <f t="shared" si="7"/>
        <v>-47.335276502017585</v>
      </c>
    </row>
    <row r="11" spans="1:31">
      <c r="A11" t="s">
        <v>325</v>
      </c>
      <c r="D11" s="23">
        <f>'Income Statement'!B21+'Income Statement'!$B20</f>
        <v>-45</v>
      </c>
      <c r="E11" s="23">
        <f>'Income Statement'!C21+'Income Statement'!$B20</f>
        <v>-46</v>
      </c>
      <c r="F11" s="23">
        <f>'Income Statement'!D21+'Income Statement'!$B20</f>
        <v>-53</v>
      </c>
      <c r="G11" s="23">
        <f>'Income Statement'!E21+'Income Statement'!$B20</f>
        <v>-55</v>
      </c>
      <c r="H11" s="23">
        <f>'Income Statement'!F21+'Income Statement'!$B20</f>
        <v>-54</v>
      </c>
      <c r="I11" s="23">
        <f>'Income Statement'!G21+'Income Statement'!$B20</f>
        <v>-61</v>
      </c>
      <c r="J11" s="23">
        <f>'Income Statement'!H21+'Income Statement'!$B20</f>
        <v>-58</v>
      </c>
      <c r="K11" s="23">
        <f>'Income Statement'!I21+'Income Statement'!$B20</f>
        <v>-58</v>
      </c>
      <c r="L11" s="23">
        <f>'Income Statement'!J21+'Income Statement'!$B20</f>
        <v>-57</v>
      </c>
      <c r="M11" s="23">
        <f>'Income Statement'!K21+'Income Statement'!$B20</f>
        <v>-59</v>
      </c>
      <c r="N11" s="23">
        <f>'Income Statement'!L21+'Income Statement'!$B20</f>
        <v>-58</v>
      </c>
      <c r="O11" s="23">
        <f>'Income Statement'!M21+'Income Statement'!$B20</f>
        <v>-56</v>
      </c>
      <c r="P11" s="23">
        <f>'Income Statement'!N21+'Income Statement'!$B20</f>
        <v>-56</v>
      </c>
      <c r="Q11" s="23">
        <f>'Income Statement'!O21+'Income Statement'!$B20</f>
        <v>-57</v>
      </c>
      <c r="R11" s="23">
        <f>'Income Statement'!P21+'Income Statement'!$B20</f>
        <v>-54</v>
      </c>
      <c r="S11" s="23">
        <f>'Income Statement'!Q21+'Income Statement'!$B20</f>
        <v>-54</v>
      </c>
      <c r="T11" s="23">
        <f>'Income Statement'!R21+'Income Statement'!$B20</f>
        <v>-54</v>
      </c>
      <c r="U11" s="23">
        <f>'Income Statement'!S21+'Income Statement'!$B20</f>
        <v>-56</v>
      </c>
    </row>
    <row r="12" spans="1:31">
      <c r="A12" t="s">
        <v>326</v>
      </c>
      <c r="D12" s="34">
        <f t="shared" ref="D12:U12" si="8">D10/D6</f>
        <v>-7.6116616400976594E-3</v>
      </c>
      <c r="E12" s="34">
        <f t="shared" si="8"/>
        <v>-8.6169754416199913E-3</v>
      </c>
      <c r="F12" s="34">
        <f t="shared" si="8"/>
        <v>-5.1913254626140834E-3</v>
      </c>
      <c r="G12" s="34">
        <f t="shared" si="8"/>
        <v>-5.5738304093567248E-3</v>
      </c>
      <c r="H12" s="34">
        <f t="shared" si="8"/>
        <v>-6.212315000913576E-3</v>
      </c>
      <c r="I12" s="34">
        <f t="shared" si="8"/>
        <v>-5.9376998264364664E-3</v>
      </c>
      <c r="J12" s="34">
        <f t="shared" si="8"/>
        <v>-5.9366152160014616E-3</v>
      </c>
      <c r="K12" s="34">
        <f t="shared" si="8"/>
        <v>-5.8447488584474887E-3</v>
      </c>
      <c r="L12" s="34">
        <f t="shared" si="8"/>
        <v>-6.0257463708572991E-3</v>
      </c>
      <c r="M12" s="34">
        <f t="shared" si="8"/>
        <v>-5.9339054226766478E-3</v>
      </c>
      <c r="N12" s="34">
        <f t="shared" si="8"/>
        <v>-6.4914992272024734E-3</v>
      </c>
      <c r="O12" s="34">
        <f t="shared" si="8"/>
        <v>-6.4908304141767983E-3</v>
      </c>
      <c r="P12" s="34">
        <f t="shared" si="8"/>
        <v>-6.5918220208054379E-3</v>
      </c>
      <c r="Q12" s="34">
        <f t="shared" si="8"/>
        <v>-6.2821833161688977E-3</v>
      </c>
      <c r="R12" s="34">
        <f t="shared" si="8"/>
        <v>-7.2095496986171849E-3</v>
      </c>
      <c r="S12" s="34">
        <f t="shared" si="8"/>
        <v>-7.2086977073977784E-3</v>
      </c>
      <c r="T12" s="34">
        <f t="shared" si="8"/>
        <v>-7.4441687344913151E-3</v>
      </c>
      <c r="U12" s="34">
        <f t="shared" si="8"/>
        <v>-7.3251417769376178E-3</v>
      </c>
      <c r="V12" s="124">
        <f t="shared" ref="V12:AE12" si="9">AVERAGE($D12:$U12)</f>
        <v>-6.5515953636010498E-3</v>
      </c>
      <c r="W12" s="124">
        <f t="shared" si="9"/>
        <v>-6.5515953636010498E-3</v>
      </c>
      <c r="X12" s="124">
        <f t="shared" si="9"/>
        <v>-6.5515953636010498E-3</v>
      </c>
      <c r="Y12" s="124">
        <f t="shared" si="9"/>
        <v>-6.5515953636010498E-3</v>
      </c>
      <c r="Z12" s="124">
        <f t="shared" si="9"/>
        <v>-6.5515953636010498E-3</v>
      </c>
      <c r="AA12" s="124">
        <f t="shared" si="9"/>
        <v>-6.5515953636010498E-3</v>
      </c>
      <c r="AB12" s="124">
        <f t="shared" si="9"/>
        <v>-6.5515953636010498E-3</v>
      </c>
      <c r="AC12" s="124">
        <f t="shared" si="9"/>
        <v>-6.5515953636010498E-3</v>
      </c>
      <c r="AD12" s="124">
        <f t="shared" si="9"/>
        <v>-6.5515953636010498E-3</v>
      </c>
      <c r="AE12" s="124">
        <f t="shared" si="9"/>
        <v>-6.5515953636010498E-3</v>
      </c>
    </row>
    <row r="14" spans="1:31" ht="26.25" customHeight="1"/>
    <row r="15" spans="1:31">
      <c r="D15" s="133"/>
      <c r="E15" s="133"/>
      <c r="F15" s="133"/>
      <c r="G15" s="133"/>
    </row>
    <row r="16" spans="1:31">
      <c r="D16" s="2"/>
      <c r="E16" s="2"/>
      <c r="F16" s="39"/>
      <c r="G16" s="39"/>
      <c r="H16" s="2"/>
    </row>
    <row r="17" spans="2:8">
      <c r="D17" s="2"/>
      <c r="E17" s="2"/>
      <c r="F17" s="39"/>
      <c r="G17" s="39"/>
      <c r="H17" s="40"/>
    </row>
    <row r="18" spans="2:8">
      <c r="D18" s="2"/>
      <c r="E18" s="2"/>
      <c r="F18" s="39"/>
      <c r="G18" s="39"/>
      <c r="H18" s="40"/>
    </row>
    <row r="24" spans="2:8">
      <c r="B24" s="31"/>
    </row>
    <row r="29" spans="2:8">
      <c r="B29" s="31"/>
    </row>
    <row r="33" spans="2:2">
      <c r="B33" s="31"/>
    </row>
  </sheetData>
  <mergeCells count="3">
    <mergeCell ref="A7:C7"/>
    <mergeCell ref="D4:U4"/>
    <mergeCell ref="V4:AE4"/>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15527-09A8-4F6E-9C3F-64E2377F16CA}">
  <dimension ref="A1:AE25"/>
  <sheetViews>
    <sheetView showGridLines="0" zoomScaleNormal="100" workbookViewId="0"/>
  </sheetViews>
  <sheetFormatPr defaultRowHeight="15"/>
  <cols>
    <col min="1" max="1" width="11.7109375" customWidth="1"/>
    <col min="2" max="2" width="7.85546875" customWidth="1"/>
    <col min="3" max="3" width="8.28515625" bestFit="1" customWidth="1"/>
    <col min="4" max="4" width="9.140625" bestFit="1" customWidth="1"/>
    <col min="5" max="7" width="9.5703125" bestFit="1" customWidth="1"/>
    <col min="8" max="8" width="9.140625" bestFit="1" customWidth="1"/>
    <col min="9" max="11" width="9.5703125" bestFit="1" customWidth="1"/>
    <col min="12" max="12" width="9.140625" bestFit="1" customWidth="1"/>
    <col min="13" max="15" width="9.5703125" bestFit="1" customWidth="1"/>
    <col min="16" max="16" width="9.140625" bestFit="1" customWidth="1"/>
    <col min="17" max="19" width="9.5703125" bestFit="1" customWidth="1"/>
    <col min="20" max="20" width="9.140625" bestFit="1" customWidth="1"/>
    <col min="21" max="23" width="9.5703125" bestFit="1" customWidth="1"/>
    <col min="24" max="24" width="9.140625" bestFit="1" customWidth="1"/>
    <col min="25" max="27" width="9.5703125" bestFit="1" customWidth="1"/>
    <col min="28" max="28" width="9.28515625" bestFit="1" customWidth="1"/>
    <col min="29" max="31" width="9.5703125" bestFit="1" customWidth="1"/>
    <col min="32" max="32" width="8.85546875" bestFit="1" customWidth="1"/>
  </cols>
  <sheetData>
    <row r="1" spans="1:31" ht="9" customHeight="1">
      <c r="U1" s="22"/>
      <c r="V1" s="22"/>
      <c r="W1" s="22"/>
      <c r="X1" s="22"/>
      <c r="Y1" s="22"/>
      <c r="Z1" s="22"/>
      <c r="AA1" s="22"/>
      <c r="AB1" s="22"/>
      <c r="AC1" s="22"/>
      <c r="AD1" s="22"/>
      <c r="AE1" s="22"/>
    </row>
    <row r="2" spans="1:31" ht="21.75" customHeight="1">
      <c r="A2" s="161" t="s">
        <v>327</v>
      </c>
      <c r="L2" s="102"/>
      <c r="M2" s="102"/>
      <c r="N2" s="102"/>
      <c r="O2" s="103"/>
      <c r="P2" s="103"/>
      <c r="Q2" s="103"/>
      <c r="R2" s="103"/>
      <c r="S2" s="103"/>
    </row>
    <row r="4" spans="1:31">
      <c r="A4" s="1"/>
      <c r="D4" s="178" t="s">
        <v>302</v>
      </c>
      <c r="E4" s="178"/>
      <c r="F4" s="178"/>
      <c r="G4" s="178"/>
      <c r="H4" s="178"/>
      <c r="I4" s="178"/>
      <c r="J4" s="178"/>
      <c r="K4" s="178"/>
      <c r="L4" s="178"/>
      <c r="M4" s="178"/>
      <c r="N4" s="178"/>
      <c r="O4" s="178"/>
      <c r="P4" s="178"/>
      <c r="Q4" s="178"/>
      <c r="R4" s="178"/>
      <c r="S4" s="178"/>
      <c r="T4" s="178"/>
      <c r="U4" s="178"/>
      <c r="V4" s="178" t="s">
        <v>303</v>
      </c>
      <c r="W4" s="178"/>
      <c r="X4" s="178"/>
      <c r="Y4" s="178"/>
      <c r="Z4" s="178"/>
      <c r="AA4" s="178"/>
      <c r="AB4" s="178"/>
      <c r="AC4" s="178"/>
      <c r="AD4" s="178"/>
      <c r="AE4" s="178"/>
    </row>
    <row r="5" spans="1:31">
      <c r="A5" s="1" t="s">
        <v>304</v>
      </c>
      <c r="D5" s="152" t="s">
        <v>54</v>
      </c>
      <c r="E5" s="152" t="str">
        <f>IF(MID(D5,2,1)="4","Q1 "&amp;RIGHT(D5,4)+1, "Q"&amp;MID(D5,2,1)+1&amp;" "&amp;RIGHT(D5,4))</f>
        <v>Q2 2022</v>
      </c>
      <c r="F5" s="152" t="str">
        <f t="shared" ref="F5:N5" si="0">IF(MID(E5,2,1)="4","Q1 "&amp;RIGHT(E5,4)+1, "Q"&amp;MID(E5,2,1)+1&amp;" "&amp;RIGHT(E5,4))</f>
        <v>Q3 2022</v>
      </c>
      <c r="G5" s="152" t="str">
        <f t="shared" si="0"/>
        <v>Q4 2022</v>
      </c>
      <c r="H5" s="152" t="str">
        <f t="shared" si="0"/>
        <v>Q1 2023</v>
      </c>
      <c r="I5" s="152" t="str">
        <f t="shared" si="0"/>
        <v>Q2 2023</v>
      </c>
      <c r="J5" s="152" t="str">
        <f t="shared" si="0"/>
        <v>Q3 2023</v>
      </c>
      <c r="K5" s="152" t="str">
        <f t="shared" si="0"/>
        <v>Q4 2023</v>
      </c>
      <c r="L5" s="152" t="str">
        <f t="shared" si="0"/>
        <v>Q1 2024</v>
      </c>
      <c r="M5" s="152" t="str">
        <f t="shared" si="0"/>
        <v>Q2 2024</v>
      </c>
      <c r="N5" s="152" t="str">
        <f t="shared" si="0"/>
        <v>Q3 2024</v>
      </c>
      <c r="O5" s="152" t="str">
        <f>IF(MID(N5,2,1)="4","Q1 "&amp;RIGHT(N5,4)+1, "Q"&amp;MID(N5,2,1)+1&amp;" "&amp;RIGHT(N5,4))</f>
        <v>Q4 2024</v>
      </c>
      <c r="P5" s="152" t="str">
        <f>IF(MID(O5,2,1)="4","Q1 "&amp;RIGHT(O5,4)+1, "Q"&amp;MID(O5,2,1)+1&amp;" "&amp;RIGHT(O5,4))</f>
        <v>Q1 2025</v>
      </c>
      <c r="Q5" s="152" t="str">
        <f t="shared" ref="Q5:T5" si="1">IF(MID(P5,2,1)="4","Q1 "&amp;RIGHT(P5,4)+1, "Q"&amp;MID(P5,2,1)+1&amp;" "&amp;RIGHT(P5,4))</f>
        <v>Q2 2025</v>
      </c>
      <c r="R5" s="152" t="str">
        <f t="shared" si="1"/>
        <v>Q3 2025</v>
      </c>
      <c r="S5" s="152" t="str">
        <f t="shared" si="1"/>
        <v>Q4 2025</v>
      </c>
      <c r="T5" s="152" t="str">
        <f t="shared" si="1"/>
        <v>Q1 2026</v>
      </c>
      <c r="U5" s="152" t="str">
        <f>IF(MID(T5,2,1)="4","Q1 "&amp;RIGHT(T5,4)+1, "Q"&amp;MID(T5,2,1)+1&amp;" "&amp;RIGHT(T5,4))</f>
        <v>Q2 2026</v>
      </c>
      <c r="V5" s="113" t="str">
        <f t="shared" ref="V5:AD5" si="2">IF(MID(U5,2,1)="4","Q1 "&amp;RIGHT(U5,4)+1, "Q"&amp;MID(U5,2,1)+1&amp;" "&amp;RIGHT(U5,4))</f>
        <v>Q3 2026</v>
      </c>
      <c r="W5" s="113" t="str">
        <f t="shared" si="2"/>
        <v>Q4 2026</v>
      </c>
      <c r="X5" s="113" t="str">
        <f t="shared" si="2"/>
        <v>Q1 2027</v>
      </c>
      <c r="Y5" s="113" t="str">
        <f t="shared" si="2"/>
        <v>Q2 2027</v>
      </c>
      <c r="Z5" s="113" t="str">
        <f t="shared" si="2"/>
        <v>Q3 2027</v>
      </c>
      <c r="AA5" s="113" t="str">
        <f t="shared" si="2"/>
        <v>Q4 2027</v>
      </c>
      <c r="AB5" s="113" t="str">
        <f>IF(MID(AA5,2,1)="4","Q1 "&amp;RIGHT(AA5,4)+1, "Q"&amp;MID(AA5,2,1)+1&amp;" "&amp;RIGHT(AA5,4))</f>
        <v>Q1 2028</v>
      </c>
      <c r="AC5" s="113" t="str">
        <f t="shared" si="2"/>
        <v>Q2 2028</v>
      </c>
      <c r="AD5" s="113" t="str">
        <f t="shared" si="2"/>
        <v>Q3 2028</v>
      </c>
      <c r="AE5" s="113" t="str">
        <f>IF(MID(AD5,2,1)="4","Q1 "&amp;RIGHT(AD5,4)+1, "Q"&amp;MID(AD5,2,1)+1&amp;" "&amp;RIGHT(AD5,4))</f>
        <v>Q4 2028</v>
      </c>
    </row>
    <row r="6" spans="1:31">
      <c r="C6" s="2"/>
      <c r="D6" s="2"/>
      <c r="E6" s="2"/>
      <c r="F6" s="2"/>
      <c r="G6" s="2"/>
      <c r="H6" s="2"/>
      <c r="I6" s="2"/>
      <c r="J6" s="2"/>
      <c r="K6" s="2"/>
      <c r="L6" s="2"/>
      <c r="M6" s="2"/>
      <c r="N6" s="2"/>
      <c r="O6" s="2"/>
      <c r="P6" s="2"/>
      <c r="Q6" s="2"/>
      <c r="R6" s="2"/>
      <c r="S6" s="2"/>
      <c r="T6" s="2"/>
      <c r="U6" s="2"/>
      <c r="V6" s="2"/>
      <c r="W6" s="2"/>
    </row>
    <row r="7" spans="1:31">
      <c r="A7" s="1" t="s">
        <v>328</v>
      </c>
      <c r="C7" s="2"/>
      <c r="D7" s="2"/>
      <c r="E7" s="2"/>
      <c r="F7" s="2"/>
      <c r="G7" s="2"/>
      <c r="H7" s="2"/>
      <c r="I7" s="2"/>
      <c r="J7" s="2"/>
      <c r="K7" s="2"/>
      <c r="L7" s="2"/>
      <c r="M7" s="2"/>
      <c r="N7" s="2"/>
      <c r="O7" s="2"/>
      <c r="P7" s="2"/>
      <c r="Q7" s="2"/>
      <c r="R7" s="2"/>
      <c r="S7" s="2"/>
      <c r="T7" s="2"/>
      <c r="U7" s="2"/>
      <c r="V7" s="2"/>
      <c r="W7" s="2"/>
    </row>
    <row r="8" spans="1:31">
      <c r="A8" t="s">
        <v>321</v>
      </c>
      <c r="C8" s="2"/>
      <c r="D8" s="23">
        <f>'Balance Sheet'!B17</f>
        <v>2149</v>
      </c>
      <c r="E8" s="23">
        <f>'Balance Sheet'!C17</f>
        <v>2268</v>
      </c>
      <c r="F8" s="23">
        <f>'Balance Sheet'!D17</f>
        <v>2364</v>
      </c>
      <c r="G8" s="23">
        <f>'Balance Sheet'!E17</f>
        <v>2509</v>
      </c>
      <c r="H8" s="23">
        <f>'Balance Sheet'!F17</f>
        <v>2778</v>
      </c>
      <c r="I8" s="23">
        <f>'Balance Sheet'!G17</f>
        <v>2916</v>
      </c>
      <c r="J8" s="23">
        <f>'Balance Sheet'!H17</f>
        <v>3233</v>
      </c>
      <c r="K8" s="23">
        <f>'Balance Sheet'!I17</f>
        <v>3774</v>
      </c>
      <c r="L8" s="23" t="str">
        <f>'Balance Sheet'!J17</f>
        <v>3,807</v>
      </c>
      <c r="M8" s="23">
        <f>'Balance Sheet'!K17</f>
        <v>3740</v>
      </c>
      <c r="N8" s="23" t="str">
        <f>'Balance Sheet'!L17</f>
        <v>3,799</v>
      </c>
      <c r="O8" s="23">
        <f>'Balance Sheet'!M17</f>
        <v>3844</v>
      </c>
      <c r="P8" s="23">
        <f>'Balance Sheet'!N17</f>
        <v>3914</v>
      </c>
      <c r="Q8" s="23">
        <f>'Balance Sheet'!O17</f>
        <v>4006</v>
      </c>
      <c r="R8" s="23">
        <f>'Balance Sheet'!P17</f>
        <v>4885</v>
      </c>
      <c r="S8" s="23">
        <f>'Balance Sheet'!Q17</f>
        <v>5343</v>
      </c>
      <c r="T8" s="23">
        <f>'Balance Sheet'!R17</f>
        <v>6283</v>
      </c>
      <c r="U8" s="23">
        <f>'Balance Sheet'!S17</f>
        <v>7136</v>
      </c>
      <c r="V8" s="120">
        <f>U12</f>
        <v>9141</v>
      </c>
      <c r="W8" s="120">
        <f t="shared" ref="W8:AE8" si="3">V12</f>
        <v>7419.0107895134206</v>
      </c>
      <c r="X8" s="120">
        <f t="shared" si="3"/>
        <v>7518.1707524216426</v>
      </c>
      <c r="Y8" s="120">
        <f t="shared" si="3"/>
        <v>8796.4584130665935</v>
      </c>
      <c r="Z8" s="120">
        <f t="shared" si="3"/>
        <v>10291.834446766135</v>
      </c>
      <c r="AA8" s="120">
        <f t="shared" si="3"/>
        <v>12197.926667527177</v>
      </c>
      <c r="AB8" s="120">
        <f t="shared" si="3"/>
        <v>14364.587497444527</v>
      </c>
      <c r="AC8" s="120">
        <f t="shared" si="3"/>
        <v>17656.885950469878</v>
      </c>
      <c r="AD8" s="120">
        <f t="shared" si="3"/>
        <v>21781.877845961117</v>
      </c>
      <c r="AE8" s="120">
        <f t="shared" si="3"/>
        <v>26871.25512203926</v>
      </c>
    </row>
    <row r="9" spans="1:31">
      <c r="A9" t="s">
        <v>329</v>
      </c>
      <c r="C9" s="2"/>
      <c r="D9" s="23">
        <f>D10-D8</f>
        <v>263</v>
      </c>
      <c r="E9" s="23">
        <f t="shared" ref="E9:U9" si="4">E10-E8</f>
        <v>244</v>
      </c>
      <c r="F9" s="23">
        <f t="shared" si="4"/>
        <v>300</v>
      </c>
      <c r="G9" s="23">
        <f t="shared" si="4"/>
        <v>433</v>
      </c>
      <c r="H9" s="23">
        <f t="shared" si="4"/>
        <v>317</v>
      </c>
      <c r="I9" s="23">
        <f t="shared" si="4"/>
        <v>513</v>
      </c>
      <c r="J9" s="23">
        <f t="shared" si="4"/>
        <v>766</v>
      </c>
      <c r="K9" s="23">
        <f t="shared" si="4"/>
        <v>278</v>
      </c>
      <c r="L9" s="23">
        <f t="shared" si="4"/>
        <v>136</v>
      </c>
      <c r="M9" s="23">
        <f t="shared" si="4"/>
        <v>278</v>
      </c>
      <c r="N9" s="23">
        <f>N10-N8</f>
        <v>273</v>
      </c>
      <c r="O9" s="23">
        <f t="shared" si="4"/>
        <v>314</v>
      </c>
      <c r="P9" s="23">
        <f t="shared" si="4"/>
        <v>-1187</v>
      </c>
      <c r="Q9" s="23">
        <f t="shared" si="4"/>
        <v>1131</v>
      </c>
      <c r="R9" s="23">
        <f t="shared" si="4"/>
        <v>755</v>
      </c>
      <c r="S9" s="23">
        <f t="shared" si="4"/>
        <v>1337</v>
      </c>
      <c r="T9" s="23">
        <f t="shared" si="4"/>
        <v>-544</v>
      </c>
      <c r="U9" s="23">
        <f t="shared" si="4"/>
        <v>2531</v>
      </c>
      <c r="V9" s="120">
        <f>V10-V8</f>
        <v>-2029.1707918708171</v>
      </c>
      <c r="W9" s="120">
        <f t="shared" ref="W9:AE9" si="5">W10-W8</f>
        <v>-212.1273025193932</v>
      </c>
      <c r="X9" s="120">
        <f t="shared" si="5"/>
        <v>914.07333577486952</v>
      </c>
      <c r="Y9" s="120">
        <f t="shared" si="5"/>
        <v>1069.2461802194739</v>
      </c>
      <c r="Z9" s="120">
        <f t="shared" si="5"/>
        <v>1401.0412766869049</v>
      </c>
      <c r="AA9" s="120">
        <f t="shared" si="5"/>
        <v>1571.9000419111817</v>
      </c>
      <c r="AB9" s="120">
        <f t="shared" si="5"/>
        <v>2561.2211837682462</v>
      </c>
      <c r="AC9" s="120">
        <f t="shared" si="5"/>
        <v>3223.1207603665716</v>
      </c>
      <c r="AD9" s="120">
        <f t="shared" si="5"/>
        <v>3976.7822312192475</v>
      </c>
      <c r="AE9" s="120">
        <f t="shared" si="5"/>
        <v>4811.0556774597317</v>
      </c>
    </row>
    <row r="10" spans="1:31">
      <c r="A10" s="21" t="s">
        <v>330</v>
      </c>
      <c r="B10" s="22"/>
      <c r="C10" s="24"/>
      <c r="D10" s="25">
        <f>D12+D11</f>
        <v>2412</v>
      </c>
      <c r="E10" s="25">
        <f t="shared" ref="E10:N10" si="6">E12+E11</f>
        <v>2512</v>
      </c>
      <c r="F10" s="25">
        <f t="shared" si="6"/>
        <v>2664</v>
      </c>
      <c r="G10" s="25">
        <f t="shared" si="6"/>
        <v>2942</v>
      </c>
      <c r="H10" s="25">
        <f t="shared" si="6"/>
        <v>3095</v>
      </c>
      <c r="I10" s="25">
        <f t="shared" si="6"/>
        <v>3429</v>
      </c>
      <c r="J10" s="25">
        <f t="shared" si="6"/>
        <v>3999</v>
      </c>
      <c r="K10" s="25">
        <f t="shared" si="6"/>
        <v>4052</v>
      </c>
      <c r="L10" s="25">
        <f t="shared" si="6"/>
        <v>3943</v>
      </c>
      <c r="M10" s="25">
        <f t="shared" si="6"/>
        <v>4018</v>
      </c>
      <c r="N10" s="25">
        <f t="shared" si="6"/>
        <v>4072</v>
      </c>
      <c r="O10" s="25">
        <f>O12+O11</f>
        <v>4158</v>
      </c>
      <c r="P10" s="25">
        <f t="shared" ref="P10:U10" si="7">P12+P11</f>
        <v>2727</v>
      </c>
      <c r="Q10" s="25">
        <f t="shared" si="7"/>
        <v>5137</v>
      </c>
      <c r="R10" s="25">
        <f t="shared" si="7"/>
        <v>5640</v>
      </c>
      <c r="S10" s="25">
        <f t="shared" si="7"/>
        <v>6680</v>
      </c>
      <c r="T10" s="25">
        <f t="shared" si="7"/>
        <v>5739</v>
      </c>
      <c r="U10" s="25">
        <f t="shared" si="7"/>
        <v>9667</v>
      </c>
      <c r="V10" s="125">
        <f>'DCF Valuation'!X10/V16</f>
        <v>7111.8292081291829</v>
      </c>
      <c r="W10" s="125">
        <f>'DCF Valuation'!Y10/W16</f>
        <v>7206.8834869940274</v>
      </c>
      <c r="X10" s="125">
        <f>'DCF Valuation'!Z10/X16</f>
        <v>8432.2440881965122</v>
      </c>
      <c r="Y10" s="125">
        <f>'DCF Valuation'!AA10/Y16</f>
        <v>9865.7045932860674</v>
      </c>
      <c r="Z10" s="125">
        <f>'DCF Valuation'!AB10/Z16</f>
        <v>11692.87572345304</v>
      </c>
      <c r="AA10" s="125">
        <f>'DCF Valuation'!AC10/AA16</f>
        <v>13769.826709438359</v>
      </c>
      <c r="AB10" s="125">
        <f>'DCF Valuation'!AD10/AB16</f>
        <v>16925.808681212773</v>
      </c>
      <c r="AC10" s="125">
        <f>'DCF Valuation'!AE10/AC16</f>
        <v>20880.006710836449</v>
      </c>
      <c r="AD10" s="125">
        <f>'DCF Valuation'!AF10/AD16</f>
        <v>25758.660077180364</v>
      </c>
      <c r="AE10" s="125">
        <f>'DCF Valuation'!AG10/AE16</f>
        <v>31682.310799498991</v>
      </c>
    </row>
    <row r="11" spans="1:31">
      <c r="A11" t="s">
        <v>331</v>
      </c>
      <c r="C11" s="2"/>
      <c r="D11" s="2">
        <f>'DCF Valuation'!F24</f>
        <v>144</v>
      </c>
      <c r="E11" s="2">
        <f>'DCF Valuation'!G24</f>
        <v>148</v>
      </c>
      <c r="F11" s="2">
        <f>'DCF Valuation'!H24</f>
        <v>155</v>
      </c>
      <c r="G11" s="2">
        <f>'DCF Valuation'!I24</f>
        <v>164</v>
      </c>
      <c r="H11" s="2">
        <f>'DCF Valuation'!J24</f>
        <v>179</v>
      </c>
      <c r="I11" s="2">
        <f>'DCF Valuation'!K24</f>
        <v>196</v>
      </c>
      <c r="J11" s="2">
        <f>'DCF Valuation'!L24</f>
        <v>225</v>
      </c>
      <c r="K11" s="2">
        <f>'DCF Valuation'!M24</f>
        <v>245</v>
      </c>
      <c r="L11" s="2">
        <f>'DCF Valuation'!N24</f>
        <v>203</v>
      </c>
      <c r="M11" s="2">
        <f>'DCF Valuation'!O24</f>
        <v>219</v>
      </c>
      <c r="N11" s="2">
        <f>'DCF Valuation'!P24</f>
        <v>228</v>
      </c>
      <c r="O11" s="2">
        <f>'DCF Valuation'!Q24</f>
        <v>244</v>
      </c>
      <c r="P11" s="2">
        <f>'DCF Valuation'!R24</f>
        <v>-1279</v>
      </c>
      <c r="Q11" s="2">
        <f>'DCF Valuation'!S24</f>
        <v>252</v>
      </c>
      <c r="R11" s="2">
        <f>'DCF Valuation'!T24</f>
        <v>297</v>
      </c>
      <c r="S11" s="2">
        <f>'DCF Valuation'!U24</f>
        <v>397</v>
      </c>
      <c r="T11" s="2">
        <f>'DCF Valuation'!V24</f>
        <v>-1397</v>
      </c>
      <c r="U11" s="2">
        <f>'DCF Valuation'!W24</f>
        <v>526</v>
      </c>
      <c r="V11" s="126">
        <f>V10*V14</f>
        <v>-307.18158138423792</v>
      </c>
      <c r="W11" s="126">
        <f t="shared" ref="W11:AE11" si="8">W10*W14</f>
        <v>-311.2872654276153</v>
      </c>
      <c r="X11" s="126">
        <f t="shared" si="8"/>
        <v>-364.21432487008138</v>
      </c>
      <c r="Y11" s="126">
        <f t="shared" si="8"/>
        <v>-426.1298534800676</v>
      </c>
      <c r="Z11" s="126">
        <f t="shared" si="8"/>
        <v>-505.05094407413753</v>
      </c>
      <c r="AA11" s="126">
        <f t="shared" si="8"/>
        <v>-594.76078800616767</v>
      </c>
      <c r="AB11" s="126">
        <f t="shared" si="8"/>
        <v>-731.07726925710494</v>
      </c>
      <c r="AC11" s="126">
        <f t="shared" si="8"/>
        <v>-901.87113512466874</v>
      </c>
      <c r="AD11" s="126">
        <f t="shared" si="8"/>
        <v>-1112.5950448588967</v>
      </c>
      <c r="AE11" s="126">
        <f t="shared" si="8"/>
        <v>-1368.4555757009171</v>
      </c>
    </row>
    <row r="12" spans="1:31">
      <c r="A12" s="21" t="s">
        <v>323</v>
      </c>
      <c r="B12" s="22"/>
      <c r="C12" s="29">
        <f>'Balance Sheet'!B17</f>
        <v>2149</v>
      </c>
      <c r="D12" s="29">
        <f>'Balance Sheet'!C17</f>
        <v>2268</v>
      </c>
      <c r="E12" s="29">
        <f>'Balance Sheet'!D17</f>
        <v>2364</v>
      </c>
      <c r="F12" s="29">
        <f>'Balance Sheet'!E17</f>
        <v>2509</v>
      </c>
      <c r="G12" s="29">
        <f>'Balance Sheet'!F17</f>
        <v>2778</v>
      </c>
      <c r="H12" s="29">
        <f>'Balance Sheet'!G17</f>
        <v>2916</v>
      </c>
      <c r="I12" s="29">
        <f>'Balance Sheet'!H17</f>
        <v>3233</v>
      </c>
      <c r="J12" s="29">
        <f>'Balance Sheet'!I17</f>
        <v>3774</v>
      </c>
      <c r="K12" s="29" t="str">
        <f>'Balance Sheet'!J17</f>
        <v>3,807</v>
      </c>
      <c r="L12" s="29">
        <f>'Balance Sheet'!K17</f>
        <v>3740</v>
      </c>
      <c r="M12" s="29" t="str">
        <f>'Balance Sheet'!L17</f>
        <v>3,799</v>
      </c>
      <c r="N12" s="29">
        <f>'Balance Sheet'!M17</f>
        <v>3844</v>
      </c>
      <c r="O12" s="29">
        <f>'Balance Sheet'!N17</f>
        <v>3914</v>
      </c>
      <c r="P12" s="29">
        <f>'Balance Sheet'!O17</f>
        <v>4006</v>
      </c>
      <c r="Q12" s="29">
        <f>'Balance Sheet'!P17</f>
        <v>4885</v>
      </c>
      <c r="R12" s="29">
        <f>'Balance Sheet'!Q17</f>
        <v>5343</v>
      </c>
      <c r="S12" s="29">
        <f>'Balance Sheet'!R17</f>
        <v>6283</v>
      </c>
      <c r="T12" s="29">
        <f>'Balance Sheet'!S17</f>
        <v>7136</v>
      </c>
      <c r="U12" s="29">
        <f>'Balance Sheet'!T17</f>
        <v>9141</v>
      </c>
      <c r="V12" s="122">
        <f t="shared" ref="V12" si="9">V10-V11</f>
        <v>7419.0107895134206</v>
      </c>
      <c r="W12" s="122">
        <f t="shared" ref="W12:AE12" si="10">W10-W11</f>
        <v>7518.1707524216426</v>
      </c>
      <c r="X12" s="122">
        <f t="shared" si="10"/>
        <v>8796.4584130665935</v>
      </c>
      <c r="Y12" s="122">
        <f t="shared" si="10"/>
        <v>10291.834446766135</v>
      </c>
      <c r="Z12" s="122">
        <f t="shared" si="10"/>
        <v>12197.926667527177</v>
      </c>
      <c r="AA12" s="122">
        <f t="shared" si="10"/>
        <v>14364.587497444527</v>
      </c>
      <c r="AB12" s="122">
        <f t="shared" si="10"/>
        <v>17656.885950469878</v>
      </c>
      <c r="AC12" s="122">
        <f t="shared" si="10"/>
        <v>21781.877845961117</v>
      </c>
      <c r="AD12" s="122">
        <f t="shared" si="10"/>
        <v>26871.25512203926</v>
      </c>
      <c r="AE12" s="122">
        <f t="shared" si="10"/>
        <v>33050.766375199906</v>
      </c>
    </row>
    <row r="13" spans="1:31">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row>
    <row r="14" spans="1:31">
      <c r="A14" s="1" t="s">
        <v>332</v>
      </c>
      <c r="C14" s="2"/>
      <c r="D14" s="34">
        <f>D11/D10</f>
        <v>5.9701492537313432E-2</v>
      </c>
      <c r="E14" s="34">
        <f t="shared" ref="E14:T14" si="11">E11/E10</f>
        <v>5.89171974522293E-2</v>
      </c>
      <c r="F14" s="34">
        <f t="shared" si="11"/>
        <v>5.8183183183183183E-2</v>
      </c>
      <c r="G14" s="34">
        <f t="shared" si="11"/>
        <v>5.5744391570360298E-2</v>
      </c>
      <c r="H14" s="34">
        <f t="shared" si="11"/>
        <v>5.7835218093699514E-2</v>
      </c>
      <c r="I14" s="34">
        <f t="shared" si="11"/>
        <v>5.7159521726450863E-2</v>
      </c>
      <c r="J14" s="34">
        <f t="shared" si="11"/>
        <v>5.6264066016504126E-2</v>
      </c>
      <c r="K14" s="34">
        <f t="shared" si="11"/>
        <v>6.0463968410661401E-2</v>
      </c>
      <c r="L14" s="34">
        <f t="shared" si="11"/>
        <v>5.1483641897032716E-2</v>
      </c>
      <c r="M14" s="34">
        <f t="shared" si="11"/>
        <v>5.4504728720756596E-2</v>
      </c>
      <c r="N14" s="34">
        <f t="shared" si="11"/>
        <v>5.5992141453831044E-2</v>
      </c>
      <c r="O14" s="34">
        <f>O11/O10</f>
        <v>5.8682058682058683E-2</v>
      </c>
      <c r="P14" s="34">
        <f t="shared" si="11"/>
        <v>-0.469013568023469</v>
      </c>
      <c r="Q14" s="34">
        <f t="shared" si="11"/>
        <v>4.9055869184348844E-2</v>
      </c>
      <c r="R14" s="34">
        <f t="shared" si="11"/>
        <v>5.2659574468085106E-2</v>
      </c>
      <c r="S14" s="34">
        <f t="shared" si="11"/>
        <v>5.94311377245509E-2</v>
      </c>
      <c r="T14" s="34">
        <f t="shared" si="11"/>
        <v>-0.24342219898937098</v>
      </c>
      <c r="U14" s="34">
        <f>U11/U10</f>
        <v>5.441191683045412E-2</v>
      </c>
      <c r="V14" s="124">
        <f t="shared" ref="V14:AE14" si="12">AVERAGE($S14:$U14)</f>
        <v>-4.3193048144788644E-2</v>
      </c>
      <c r="W14" s="124">
        <f t="shared" si="12"/>
        <v>-4.3193048144788644E-2</v>
      </c>
      <c r="X14" s="124">
        <f t="shared" si="12"/>
        <v>-4.3193048144788644E-2</v>
      </c>
      <c r="Y14" s="124">
        <f t="shared" si="12"/>
        <v>-4.3193048144788644E-2</v>
      </c>
      <c r="Z14" s="124">
        <f t="shared" si="12"/>
        <v>-4.3193048144788644E-2</v>
      </c>
      <c r="AA14" s="124">
        <f t="shared" si="12"/>
        <v>-4.3193048144788644E-2</v>
      </c>
      <c r="AB14" s="124">
        <f t="shared" si="12"/>
        <v>-4.3193048144788644E-2</v>
      </c>
      <c r="AC14" s="124">
        <f t="shared" si="12"/>
        <v>-4.3193048144788644E-2</v>
      </c>
      <c r="AD14" s="124">
        <f t="shared" si="12"/>
        <v>-4.3193048144788644E-2</v>
      </c>
      <c r="AE14" s="124">
        <f t="shared" si="12"/>
        <v>-4.3193048144788644E-2</v>
      </c>
    </row>
    <row r="15" spans="1:31">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row>
    <row r="16" spans="1:31">
      <c r="A16" s="1" t="s">
        <v>333</v>
      </c>
      <c r="C16" s="2"/>
      <c r="D16" s="35">
        <f>'DCF Valuation'!F10/D10</f>
        <v>2.3470149253731343</v>
      </c>
      <c r="E16" s="35">
        <f>'DCF Valuation'!G10/E10</f>
        <v>2.5903662420382165</v>
      </c>
      <c r="F16" s="35">
        <f>'DCF Valuation'!H10/F10</f>
        <v>2.6662912912912913</v>
      </c>
      <c r="G16" s="35">
        <f>'DCF Valuation'!I10/G10</f>
        <v>2.5978925900747791</v>
      </c>
      <c r="H16" s="35">
        <f>'DCF Valuation'!J10/H10</f>
        <v>2.6778675282714053</v>
      </c>
      <c r="I16" s="35">
        <f>'DCF Valuation'!K10/I10</f>
        <v>1.9550889472149315</v>
      </c>
      <c r="J16" s="35">
        <f>'DCF Valuation'!L10/J10</f>
        <v>1.4831207801950488</v>
      </c>
      <c r="K16" s="35">
        <f>'DCF Valuation'!M10/K10</f>
        <v>1.4933366238894372</v>
      </c>
      <c r="L16" s="35">
        <f>'DCF Valuation'!N10/L10</f>
        <v>1.8239918843520162</v>
      </c>
      <c r="M16" s="35">
        <f>'DCF Valuation'!O10/M10</f>
        <v>3.3616226978596315</v>
      </c>
      <c r="N16" s="35">
        <f>'DCF Valuation'!P10/N10</f>
        <v>4.4499017681728876</v>
      </c>
      <c r="O16" s="35">
        <f>'DCF Valuation'!Q10/O10</f>
        <v>5.3157768157768155</v>
      </c>
      <c r="P16" s="35">
        <f>'DCF Valuation'!R10/P10</f>
        <v>9.5504217088375505</v>
      </c>
      <c r="Q16" s="35">
        <f>'DCF Valuation'!S10/Q10</f>
        <v>5.847771072610473</v>
      </c>
      <c r="R16" s="35">
        <f>'DCF Valuation'!T10/R10</f>
        <v>6.2202127659574469</v>
      </c>
      <c r="S16" s="35">
        <f>'DCF Valuation'!U10/S10</f>
        <v>5.8878742514970064</v>
      </c>
      <c r="T16" s="35">
        <f>'DCF Valuation'!V10/T10</f>
        <v>7.6776441888830806</v>
      </c>
      <c r="U16" s="35">
        <f>'DCF Valuation'!W10/U10</f>
        <v>4.8353160235853938</v>
      </c>
      <c r="V16" s="127">
        <f t="shared" ref="V16:AE16" si="13">AVERAGE($P16:$U16)</f>
        <v>6.669873335228492</v>
      </c>
      <c r="W16" s="127">
        <f t="shared" si="13"/>
        <v>6.669873335228492</v>
      </c>
      <c r="X16" s="127">
        <f t="shared" si="13"/>
        <v>6.669873335228492</v>
      </c>
      <c r="Y16" s="127">
        <f t="shared" si="13"/>
        <v>6.669873335228492</v>
      </c>
      <c r="Z16" s="127">
        <f t="shared" si="13"/>
        <v>6.669873335228492</v>
      </c>
      <c r="AA16" s="127">
        <f t="shared" si="13"/>
        <v>6.669873335228492</v>
      </c>
      <c r="AB16" s="127">
        <f t="shared" si="13"/>
        <v>6.669873335228492</v>
      </c>
      <c r="AC16" s="127">
        <f t="shared" si="13"/>
        <v>6.669873335228492</v>
      </c>
      <c r="AD16" s="127">
        <f t="shared" si="13"/>
        <v>6.669873335228492</v>
      </c>
      <c r="AE16" s="127">
        <f t="shared" si="13"/>
        <v>6.669873335228492</v>
      </c>
    </row>
    <row r="17" spans="1:31">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row>
    <row r="18" spans="1:31">
      <c r="A18" s="1" t="s">
        <v>334</v>
      </c>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row>
    <row r="19" spans="1:31">
      <c r="A19" t="s">
        <v>321</v>
      </c>
      <c r="C19" s="2"/>
      <c r="D19" s="23">
        <f>'Balance Sheet'!B20</f>
        <v>2737</v>
      </c>
      <c r="E19" s="23">
        <f>'Balance Sheet'!C20</f>
        <v>2613</v>
      </c>
      <c r="F19" s="23">
        <f>'Balance Sheet'!D20</f>
        <v>2478</v>
      </c>
      <c r="G19" s="23">
        <f>'Balance Sheet'!E20</f>
        <v>2454</v>
      </c>
      <c r="H19" s="23">
        <f>'Balance Sheet'!F20</f>
        <v>2339</v>
      </c>
      <c r="I19" s="23">
        <f>'Balance Sheet'!G20</f>
        <v>2211</v>
      </c>
      <c r="J19" s="23">
        <f>'Balance Sheet'!H20</f>
        <v>2036</v>
      </c>
      <c r="K19" s="23">
        <f>'Balance Sheet'!I20</f>
        <v>1850</v>
      </c>
      <c r="L19" s="23" t="str">
        <f>'Balance Sheet'!J20</f>
        <v>1,676</v>
      </c>
      <c r="M19" s="23">
        <f>'Balance Sheet'!K20</f>
        <v>1541</v>
      </c>
      <c r="N19" s="23" t="str">
        <f>'Balance Sheet'!L20</f>
        <v>1,395</v>
      </c>
      <c r="O19" s="23">
        <f>'Balance Sheet'!M20</f>
        <v>1251</v>
      </c>
      <c r="P19" s="23">
        <f>'Balance Sheet'!N20</f>
        <v>1112</v>
      </c>
      <c r="Q19" s="23">
        <f>'Balance Sheet'!O20</f>
        <v>986</v>
      </c>
      <c r="R19" s="23">
        <f>'Balance Sheet'!P20</f>
        <v>952</v>
      </c>
      <c r="S19" s="23">
        <f>'Balance Sheet'!Q20</f>
        <v>838</v>
      </c>
      <c r="T19" s="23">
        <f>'Balance Sheet'!R20</f>
        <v>807</v>
      </c>
      <c r="U19" s="23">
        <f>'Balance Sheet'!S20</f>
        <v>769</v>
      </c>
      <c r="V19" s="120">
        <f>U23</f>
        <v>755</v>
      </c>
      <c r="W19" s="120">
        <f t="shared" ref="W19:AE19" si="14">V23</f>
        <v>683.82846116782696</v>
      </c>
      <c r="X19" s="120">
        <f t="shared" si="14"/>
        <v>628.09185279083863</v>
      </c>
      <c r="Y19" s="120">
        <f t="shared" si="14"/>
        <v>584.8846426838104</v>
      </c>
      <c r="Z19" s="120">
        <f t="shared" si="14"/>
        <v>549.81873686362974</v>
      </c>
      <c r="AA19" s="120">
        <f t="shared" si="14"/>
        <v>524.96493347276817</v>
      </c>
      <c r="AB19" s="120">
        <f t="shared" si="14"/>
        <v>509.11581783148199</v>
      </c>
      <c r="AC19" s="120">
        <f t="shared" si="14"/>
        <v>501.00486409153081</v>
      </c>
      <c r="AD19" s="120">
        <f t="shared" si="14"/>
        <v>496.27325691545707</v>
      </c>
      <c r="AE19" s="120">
        <f t="shared" si="14"/>
        <v>488.10192759307836</v>
      </c>
    </row>
    <row r="20" spans="1:31">
      <c r="A20" t="s">
        <v>329</v>
      </c>
      <c r="C20" s="2"/>
      <c r="D20" s="23">
        <f>D21-D19</f>
        <v>13</v>
      </c>
      <c r="E20" s="23">
        <f t="shared" ref="E20:N20" si="15">E21-E19</f>
        <v>3</v>
      </c>
      <c r="F20" s="23">
        <f t="shared" si="15"/>
        <v>119</v>
      </c>
      <c r="G20" s="23">
        <f t="shared" si="15"/>
        <v>30</v>
      </c>
      <c r="H20" s="23">
        <f t="shared" si="15"/>
        <v>27</v>
      </c>
      <c r="I20" s="23">
        <f t="shared" si="15"/>
        <v>7</v>
      </c>
      <c r="J20" s="23">
        <f t="shared" si="15"/>
        <v>-5</v>
      </c>
      <c r="K20" s="23">
        <f t="shared" si="15"/>
        <v>7</v>
      </c>
      <c r="L20" s="23">
        <f t="shared" si="15"/>
        <v>46</v>
      </c>
      <c r="M20" s="23">
        <f t="shared" si="15"/>
        <v>0</v>
      </c>
      <c r="N20" s="23">
        <f t="shared" si="15"/>
        <v>0</v>
      </c>
      <c r="O20" s="23">
        <f>O21-O19</f>
        <v>4</v>
      </c>
      <c r="P20" s="23">
        <f t="shared" ref="P20:U20" si="16">P21-P19</f>
        <v>55</v>
      </c>
      <c r="Q20" s="23">
        <f t="shared" si="16"/>
        <v>147</v>
      </c>
      <c r="R20" s="23">
        <f t="shared" si="16"/>
        <v>67</v>
      </c>
      <c r="S20" s="23">
        <f t="shared" si="16"/>
        <v>115</v>
      </c>
      <c r="T20" s="23">
        <f t="shared" si="16"/>
        <v>106</v>
      </c>
      <c r="U20" s="23">
        <f t="shared" si="16"/>
        <v>129</v>
      </c>
      <c r="V20" s="120">
        <f t="shared" ref="V20" si="17">AVERAGE(J20:U20)</f>
        <v>55.916666666666664</v>
      </c>
      <c r="W20" s="120">
        <f t="shared" ref="W20" si="18">AVERAGE(K20:V20)</f>
        <v>60.99305555555555</v>
      </c>
      <c r="X20" s="120">
        <f t="shared" ref="X20" si="19">AVERAGE(L20:W20)</f>
        <v>65.492476851851848</v>
      </c>
      <c r="Y20" s="120">
        <f t="shared" ref="Y20" si="20">AVERAGE(M20:X20)</f>
        <v>67.116849922839506</v>
      </c>
      <c r="Z20" s="120">
        <f t="shared" ref="Z20" si="21">AVERAGE(N20:Y20)</f>
        <v>72.709920749742793</v>
      </c>
      <c r="AA20" s="120">
        <f t="shared" ref="AA20" si="22">AVERAGE(O20:Z20)</f>
        <v>78.769080812221361</v>
      </c>
      <c r="AB20" s="120">
        <f t="shared" ref="AB20" si="23">AVERAGE(P20:AA20)</f>
        <v>84.999837546573133</v>
      </c>
      <c r="AC20" s="120">
        <f t="shared" ref="AC20" si="24">AVERAGE(Q20:AB20)</f>
        <v>87.49982400878757</v>
      </c>
      <c r="AD20" s="120">
        <f t="shared" ref="AD20" si="25">AVERAGE(R20:AC20)</f>
        <v>82.541476009519855</v>
      </c>
      <c r="AE20" s="120">
        <f t="shared" ref="AE20" si="26">AVERAGE(S20:AD20)</f>
        <v>83.836599010313179</v>
      </c>
    </row>
    <row r="21" spans="1:31">
      <c r="A21" s="21" t="s">
        <v>335</v>
      </c>
      <c r="B21" s="22"/>
      <c r="C21" s="24"/>
      <c r="D21" s="25">
        <f>D23+D22</f>
        <v>2750</v>
      </c>
      <c r="E21" s="25">
        <f t="shared" ref="E21:U21" si="27">E23+E22</f>
        <v>2616</v>
      </c>
      <c r="F21" s="25">
        <f t="shared" si="27"/>
        <v>2597</v>
      </c>
      <c r="G21" s="25">
        <f t="shared" si="27"/>
        <v>2484</v>
      </c>
      <c r="H21" s="25">
        <f t="shared" si="27"/>
        <v>2366</v>
      </c>
      <c r="I21" s="25">
        <f t="shared" si="27"/>
        <v>2218</v>
      </c>
      <c r="J21" s="25">
        <f t="shared" si="27"/>
        <v>2031</v>
      </c>
      <c r="K21" s="25">
        <f t="shared" si="27"/>
        <v>1857</v>
      </c>
      <c r="L21" s="25">
        <f t="shared" si="27"/>
        <v>1722</v>
      </c>
      <c r="M21" s="25">
        <f t="shared" si="27"/>
        <v>1541</v>
      </c>
      <c r="N21" s="25">
        <f t="shared" si="27"/>
        <v>1395</v>
      </c>
      <c r="O21" s="25">
        <f t="shared" si="27"/>
        <v>1255</v>
      </c>
      <c r="P21" s="25">
        <f t="shared" si="27"/>
        <v>1167</v>
      </c>
      <c r="Q21" s="25">
        <f t="shared" si="27"/>
        <v>1133</v>
      </c>
      <c r="R21" s="25">
        <f t="shared" si="27"/>
        <v>1019</v>
      </c>
      <c r="S21" s="25">
        <f t="shared" si="27"/>
        <v>953</v>
      </c>
      <c r="T21" s="25">
        <f t="shared" si="27"/>
        <v>913</v>
      </c>
      <c r="U21" s="25">
        <f t="shared" si="27"/>
        <v>898</v>
      </c>
      <c r="V21" s="125">
        <f t="shared" ref="V21" si="28">V19+V20</f>
        <v>810.91666666666663</v>
      </c>
      <c r="W21" s="125">
        <f t="shared" ref="W21:AE21" si="29">W19+W20</f>
        <v>744.8215167233825</v>
      </c>
      <c r="X21" s="125">
        <f t="shared" si="29"/>
        <v>693.58432964269048</v>
      </c>
      <c r="Y21" s="125">
        <f t="shared" si="29"/>
        <v>652.00149260664989</v>
      </c>
      <c r="Z21" s="125">
        <f t="shared" si="29"/>
        <v>622.5286576133725</v>
      </c>
      <c r="AA21" s="125">
        <f t="shared" si="29"/>
        <v>603.73401428498948</v>
      </c>
      <c r="AB21" s="125">
        <f t="shared" si="29"/>
        <v>594.11565537805518</v>
      </c>
      <c r="AC21" s="125">
        <f t="shared" si="29"/>
        <v>588.50468810031839</v>
      </c>
      <c r="AD21" s="125">
        <f t="shared" si="29"/>
        <v>578.81473292497697</v>
      </c>
      <c r="AE21" s="125">
        <f t="shared" si="29"/>
        <v>571.93852660339155</v>
      </c>
    </row>
    <row r="22" spans="1:31">
      <c r="A22" t="s">
        <v>336</v>
      </c>
      <c r="C22" s="2"/>
      <c r="D22" s="23">
        <f>'Cash Flow Statement'!B54</f>
        <v>137</v>
      </c>
      <c r="E22" s="23">
        <f>'Cash Flow Statement'!C54</f>
        <v>138</v>
      </c>
      <c r="F22" s="23">
        <f>'Cash Flow Statement'!D54</f>
        <v>143</v>
      </c>
      <c r="G22" s="23">
        <f>'Cash Flow Statement'!E54</f>
        <v>145</v>
      </c>
      <c r="H22" s="23">
        <f>'Cash Flow Statement'!F54</f>
        <v>155</v>
      </c>
      <c r="I22" s="23">
        <f>'Cash Flow Statement'!G54</f>
        <v>182</v>
      </c>
      <c r="J22" s="23">
        <f>'Cash Flow Statement'!H54</f>
        <v>181</v>
      </c>
      <c r="K22" s="23">
        <f>'Cash Flow Statement'!I54</f>
        <v>181</v>
      </c>
      <c r="L22" s="23">
        <f>'Cash Flow Statement'!J54</f>
        <v>181</v>
      </c>
      <c r="M22" s="23">
        <f>'Cash Flow Statement'!K54</f>
        <v>146</v>
      </c>
      <c r="N22" s="23">
        <f>'Cash Flow Statement'!L54</f>
        <v>144</v>
      </c>
      <c r="O22" s="23">
        <f>'Cash Flow Statement'!M54</f>
        <v>143</v>
      </c>
      <c r="P22" s="23">
        <f>'Cash Flow Statement'!N54</f>
        <v>181</v>
      </c>
      <c r="Q22" s="23">
        <f>'Cash Flow Statement'!O54</f>
        <v>181</v>
      </c>
      <c r="R22" s="23">
        <f>'Cash Flow Statement'!P54</f>
        <v>181</v>
      </c>
      <c r="S22" s="23">
        <f>'Cash Flow Statement'!Q54</f>
        <v>146</v>
      </c>
      <c r="T22" s="23">
        <f>'Cash Flow Statement'!R54</f>
        <v>144</v>
      </c>
      <c r="U22" s="23">
        <f>'Cash Flow Statement'!S54</f>
        <v>143</v>
      </c>
      <c r="V22" s="126">
        <f t="shared" ref="V22" si="30">V21*V25</f>
        <v>127.08820549883964</v>
      </c>
      <c r="W22" s="126">
        <f t="shared" ref="W22:AE22" si="31">W21*W25</f>
        <v>116.72966393254383</v>
      </c>
      <c r="X22" s="126">
        <f t="shared" si="31"/>
        <v>108.69968695888009</v>
      </c>
      <c r="Y22" s="126">
        <f t="shared" si="31"/>
        <v>102.18275574302017</v>
      </c>
      <c r="Z22" s="126">
        <f t="shared" si="31"/>
        <v>97.563724140604336</v>
      </c>
      <c r="AA22" s="126">
        <f t="shared" si="31"/>
        <v>94.618196453507508</v>
      </c>
      <c r="AB22" s="126">
        <f t="shared" si="31"/>
        <v>93.110791286524389</v>
      </c>
      <c r="AC22" s="126">
        <f t="shared" si="31"/>
        <v>92.231431184861322</v>
      </c>
      <c r="AD22" s="126">
        <f t="shared" si="31"/>
        <v>90.712805331898622</v>
      </c>
      <c r="AE22" s="126">
        <f t="shared" si="31"/>
        <v>89.635154867958548</v>
      </c>
    </row>
    <row r="23" spans="1:31">
      <c r="A23" s="21" t="s">
        <v>337</v>
      </c>
      <c r="B23" s="22"/>
      <c r="C23" s="29">
        <f>'Balance Sheet'!B20</f>
        <v>2737</v>
      </c>
      <c r="D23" s="29">
        <f>'Balance Sheet'!C20</f>
        <v>2613</v>
      </c>
      <c r="E23" s="29">
        <f>'Balance Sheet'!D20</f>
        <v>2478</v>
      </c>
      <c r="F23" s="29">
        <f>'Balance Sheet'!E20</f>
        <v>2454</v>
      </c>
      <c r="G23" s="29">
        <f>'Balance Sheet'!F20</f>
        <v>2339</v>
      </c>
      <c r="H23" s="29">
        <f>'Balance Sheet'!G20</f>
        <v>2211</v>
      </c>
      <c r="I23" s="29">
        <f>'Balance Sheet'!H20</f>
        <v>2036</v>
      </c>
      <c r="J23" s="29">
        <f>'Balance Sheet'!I20</f>
        <v>1850</v>
      </c>
      <c r="K23" s="29" t="str">
        <f>'Balance Sheet'!J20</f>
        <v>1,676</v>
      </c>
      <c r="L23" s="29">
        <f>'Balance Sheet'!K20</f>
        <v>1541</v>
      </c>
      <c r="M23" s="29" t="str">
        <f>'Balance Sheet'!L20</f>
        <v>1,395</v>
      </c>
      <c r="N23" s="29">
        <f>'Balance Sheet'!M20</f>
        <v>1251</v>
      </c>
      <c r="O23" s="29">
        <f>'Balance Sheet'!N20</f>
        <v>1112</v>
      </c>
      <c r="P23" s="29">
        <f>'Balance Sheet'!O20</f>
        <v>986</v>
      </c>
      <c r="Q23" s="29">
        <f>'Balance Sheet'!P20</f>
        <v>952</v>
      </c>
      <c r="R23" s="29">
        <f>'Balance Sheet'!Q20</f>
        <v>838</v>
      </c>
      <c r="S23" s="29">
        <f>'Balance Sheet'!R20</f>
        <v>807</v>
      </c>
      <c r="T23" s="29">
        <f>'Balance Sheet'!S20</f>
        <v>769</v>
      </c>
      <c r="U23" s="29">
        <f>'Balance Sheet'!T20</f>
        <v>755</v>
      </c>
      <c r="V23" s="125">
        <f t="shared" ref="V23" si="32">V21-V22</f>
        <v>683.82846116782696</v>
      </c>
      <c r="W23" s="125">
        <f t="shared" ref="W23:AE23" si="33">W21-W22</f>
        <v>628.09185279083863</v>
      </c>
      <c r="X23" s="125">
        <f t="shared" si="33"/>
        <v>584.8846426838104</v>
      </c>
      <c r="Y23" s="125">
        <f t="shared" si="33"/>
        <v>549.81873686362974</v>
      </c>
      <c r="Z23" s="125">
        <f t="shared" si="33"/>
        <v>524.96493347276817</v>
      </c>
      <c r="AA23" s="125">
        <f t="shared" si="33"/>
        <v>509.11581783148199</v>
      </c>
      <c r="AB23" s="125">
        <f t="shared" si="33"/>
        <v>501.00486409153081</v>
      </c>
      <c r="AC23" s="125">
        <f t="shared" si="33"/>
        <v>496.27325691545707</v>
      </c>
      <c r="AD23" s="125">
        <f t="shared" si="33"/>
        <v>488.10192759307836</v>
      </c>
      <c r="AE23" s="125">
        <f t="shared" si="33"/>
        <v>482.30337173543302</v>
      </c>
    </row>
    <row r="24" spans="1:31">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row>
    <row r="25" spans="1:31">
      <c r="A25" t="s">
        <v>338</v>
      </c>
      <c r="C25" s="2"/>
      <c r="D25" s="34">
        <f>D22/D21</f>
        <v>4.9818181818181817E-2</v>
      </c>
      <c r="E25" s="34">
        <f t="shared" ref="E25:N25" si="34">E22/E21</f>
        <v>5.2752293577981654E-2</v>
      </c>
      <c r="F25" s="34">
        <f t="shared" si="34"/>
        <v>5.5063534847901427E-2</v>
      </c>
      <c r="G25" s="34">
        <f t="shared" si="34"/>
        <v>5.8373590982286637E-2</v>
      </c>
      <c r="H25" s="34">
        <f t="shared" si="34"/>
        <v>6.5511411665257813E-2</v>
      </c>
      <c r="I25" s="34">
        <f t="shared" si="34"/>
        <v>8.2055906221821462E-2</v>
      </c>
      <c r="J25" s="34">
        <f t="shared" si="34"/>
        <v>8.9118660758247176E-2</v>
      </c>
      <c r="K25" s="34">
        <f t="shared" si="34"/>
        <v>9.7469036079698437E-2</v>
      </c>
      <c r="L25" s="34">
        <f t="shared" si="34"/>
        <v>0.10511033681765389</v>
      </c>
      <c r="M25" s="34">
        <f t="shared" si="34"/>
        <v>9.4743672939649581E-2</v>
      </c>
      <c r="N25" s="34">
        <f t="shared" si="34"/>
        <v>0.1032258064516129</v>
      </c>
      <c r="O25" s="34">
        <f>O22/O21</f>
        <v>0.11394422310756971</v>
      </c>
      <c r="P25" s="34">
        <f t="shared" ref="P25:U25" si="35">P22/P21</f>
        <v>0.15509854327335046</v>
      </c>
      <c r="Q25" s="34">
        <f t="shared" si="35"/>
        <v>0.15975286849073256</v>
      </c>
      <c r="R25" s="34">
        <f t="shared" si="35"/>
        <v>0.17762512266928362</v>
      </c>
      <c r="S25" s="34">
        <f t="shared" si="35"/>
        <v>0.15320041972717732</v>
      </c>
      <c r="T25" s="34">
        <f t="shared" si="35"/>
        <v>0.15772179627601315</v>
      </c>
      <c r="U25" s="34">
        <f t="shared" si="35"/>
        <v>0.15924276169265034</v>
      </c>
      <c r="V25" s="124">
        <f t="shared" ref="V25:AE25" si="36">AVERAGE($S25:$U25)</f>
        <v>0.15672165923194695</v>
      </c>
      <c r="W25" s="124">
        <f t="shared" si="36"/>
        <v>0.15672165923194695</v>
      </c>
      <c r="X25" s="124">
        <f t="shared" si="36"/>
        <v>0.15672165923194695</v>
      </c>
      <c r="Y25" s="124">
        <f t="shared" si="36"/>
        <v>0.15672165923194695</v>
      </c>
      <c r="Z25" s="124">
        <f t="shared" si="36"/>
        <v>0.15672165923194695</v>
      </c>
      <c r="AA25" s="124">
        <f t="shared" si="36"/>
        <v>0.15672165923194695</v>
      </c>
      <c r="AB25" s="124">
        <f t="shared" si="36"/>
        <v>0.15672165923194695</v>
      </c>
      <c r="AC25" s="124">
        <f t="shared" si="36"/>
        <v>0.15672165923194695</v>
      </c>
      <c r="AD25" s="124">
        <f t="shared" si="36"/>
        <v>0.15672165923194695</v>
      </c>
      <c r="AE25" s="124">
        <f t="shared" si="36"/>
        <v>0.15672165923194695</v>
      </c>
    </row>
  </sheetData>
  <mergeCells count="2">
    <mergeCell ref="D4:U4"/>
    <mergeCell ref="V4:AE4"/>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E5BE7-EAEB-4D3C-8EE9-644675512BB5}">
  <dimension ref="A1:S41"/>
  <sheetViews>
    <sheetView showGridLines="0" topLeftCell="A15" zoomScale="85" zoomScaleNormal="85" workbookViewId="0">
      <selection activeCell="R26" sqref="R26"/>
    </sheetView>
  </sheetViews>
  <sheetFormatPr defaultRowHeight="15"/>
  <cols>
    <col min="1" max="1" width="4.7109375" customWidth="1"/>
    <col min="6" max="6" width="20.42578125" bestFit="1" customWidth="1"/>
    <col min="7" max="7" width="10.28515625" customWidth="1"/>
    <col min="11" max="11" width="9.140625" bestFit="1" customWidth="1"/>
    <col min="12" max="12" width="19.140625" customWidth="1"/>
    <col min="13" max="13" width="14.5703125" customWidth="1"/>
    <col min="14" max="14" width="11" customWidth="1"/>
    <col min="15" max="15" width="12.28515625" customWidth="1"/>
    <col min="18" max="18" width="9.5703125" bestFit="1" customWidth="1"/>
  </cols>
  <sheetData>
    <row r="1" spans="1:19" ht="3.75" customHeight="1"/>
    <row r="2" spans="1:19" ht="26.25">
      <c r="A2" s="161" t="s">
        <v>339</v>
      </c>
      <c r="L2" s="102"/>
      <c r="M2" s="102"/>
      <c r="N2" s="102"/>
      <c r="O2" s="103"/>
      <c r="P2" s="103"/>
      <c r="Q2" s="103"/>
      <c r="R2" s="103"/>
      <c r="S2" s="103"/>
    </row>
    <row r="3" spans="1:19" ht="18.75">
      <c r="B3" s="4"/>
    </row>
    <row r="5" spans="1:19">
      <c r="B5" t="s">
        <v>340</v>
      </c>
    </row>
    <row r="6" spans="1:19">
      <c r="B6" t="s">
        <v>341</v>
      </c>
    </row>
    <row r="8" spans="1:19">
      <c r="B8" s="154" t="s">
        <v>342</v>
      </c>
      <c r="C8" s="152"/>
      <c r="D8" s="152"/>
      <c r="E8" s="152"/>
      <c r="F8" s="152"/>
      <c r="G8" s="3"/>
      <c r="I8" s="45"/>
      <c r="J8" s="46"/>
      <c r="K8" s="46"/>
      <c r="L8" s="46"/>
      <c r="M8" s="46"/>
    </row>
    <row r="9" spans="1:19">
      <c r="B9" t="s">
        <v>343</v>
      </c>
      <c r="F9" s="40">
        <v>4850000</v>
      </c>
      <c r="I9" s="2"/>
      <c r="J9" s="38"/>
    </row>
    <row r="10" spans="1:19">
      <c r="B10" t="s">
        <v>344</v>
      </c>
      <c r="F10" s="42">
        <f>F9/(F16+F9)</f>
        <v>0.99799187572881698</v>
      </c>
      <c r="I10" s="2"/>
    </row>
    <row r="11" spans="1:19">
      <c r="B11" t="s">
        <v>345</v>
      </c>
      <c r="F11" s="39">
        <f>F12+F13*F14</f>
        <v>0.10269999999999999</v>
      </c>
      <c r="I11" s="2"/>
    </row>
    <row r="12" spans="1:19">
      <c r="B12" t="s">
        <v>346</v>
      </c>
      <c r="F12" s="34">
        <v>4.1500000000000002E-2</v>
      </c>
      <c r="I12" s="2"/>
      <c r="J12" s="41"/>
    </row>
    <row r="13" spans="1:19">
      <c r="B13" t="s">
        <v>20</v>
      </c>
      <c r="F13" s="2">
        <v>1.2</v>
      </c>
      <c r="I13" s="2"/>
    </row>
    <row r="14" spans="1:19">
      <c r="B14" t="s">
        <v>22</v>
      </c>
      <c r="F14" s="34">
        <v>5.0999999999999997E-2</v>
      </c>
      <c r="I14" s="2"/>
    </row>
    <row r="15" spans="1:19">
      <c r="F15" s="2"/>
    </row>
    <row r="16" spans="1:19">
      <c r="B16" t="s">
        <v>37</v>
      </c>
      <c r="F16" s="40">
        <f>N41</f>
        <v>9759</v>
      </c>
    </row>
    <row r="17" spans="2:15">
      <c r="B17" t="s">
        <v>347</v>
      </c>
      <c r="F17" s="42">
        <f>F16/(F9+F16)</f>
        <v>2.0081242711829949E-3</v>
      </c>
    </row>
    <row r="18" spans="2:15">
      <c r="B18" t="s">
        <v>348</v>
      </c>
      <c r="F18" s="39">
        <v>3.9E-2</v>
      </c>
      <c r="G18" s="91"/>
    </row>
    <row r="19" spans="2:15">
      <c r="B19" t="s">
        <v>24</v>
      </c>
      <c r="F19" s="43">
        <v>0.17</v>
      </c>
    </row>
    <row r="20" spans="2:15">
      <c r="F20" s="2"/>
    </row>
    <row r="21" spans="2:15">
      <c r="B21" t="s">
        <v>14</v>
      </c>
      <c r="F21" s="39">
        <f>F10*F11+F17*F18*(1-F19)</f>
        <v>0.10255876862000769</v>
      </c>
    </row>
    <row r="24" spans="2:15" ht="45">
      <c r="B24" s="65"/>
      <c r="C24" s="66"/>
      <c r="D24" s="67" t="s">
        <v>349</v>
      </c>
      <c r="E24" s="68" t="s">
        <v>350</v>
      </c>
      <c r="F24" s="68" t="s">
        <v>351</v>
      </c>
      <c r="G24" s="68" t="s">
        <v>352</v>
      </c>
      <c r="H24" s="68" t="s">
        <v>353</v>
      </c>
      <c r="I24" s="69" t="s">
        <v>14</v>
      </c>
    </row>
    <row r="25" spans="2:15">
      <c r="B25" s="70" t="s">
        <v>354</v>
      </c>
      <c r="C25" s="62"/>
      <c r="D25" s="39">
        <v>4.0899999999999999E-2</v>
      </c>
      <c r="E25" s="63">
        <v>9.1200000000000003E-2</v>
      </c>
      <c r="F25" s="63">
        <v>5.11E-2</v>
      </c>
      <c r="G25" s="64">
        <v>1.22</v>
      </c>
      <c r="H25" s="63">
        <v>4.1200000000000001E-2</v>
      </c>
      <c r="I25" s="71">
        <v>9.11E-2</v>
      </c>
    </row>
    <row r="26" spans="2:15">
      <c r="B26" s="72" t="s">
        <v>355</v>
      </c>
      <c r="C26" s="73"/>
      <c r="D26" s="74">
        <v>4.1500000000000002E-2</v>
      </c>
      <c r="E26" s="75">
        <v>0.111</v>
      </c>
      <c r="F26" s="75">
        <v>4.2500000000000003E-2</v>
      </c>
      <c r="G26" s="76">
        <v>1.1100000000000001</v>
      </c>
      <c r="H26" s="75">
        <v>5.0999999999999997E-2</v>
      </c>
      <c r="I26" s="77">
        <v>9.7000000000000003E-2</v>
      </c>
    </row>
    <row r="28" spans="2:15">
      <c r="D28" s="130"/>
      <c r="E28" s="44"/>
    </row>
    <row r="29" spans="2:15">
      <c r="E29" s="44"/>
      <c r="F29" s="130"/>
    </row>
    <row r="30" spans="2:15">
      <c r="E30" s="44"/>
      <c r="F30" s="42"/>
    </row>
    <row r="31" spans="2:15" ht="45">
      <c r="F31" s="43"/>
      <c r="K31" s="9" t="s">
        <v>356</v>
      </c>
      <c r="L31" s="97" t="s">
        <v>357</v>
      </c>
      <c r="M31" s="97" t="s">
        <v>358</v>
      </c>
      <c r="N31" s="97" t="s">
        <v>359</v>
      </c>
      <c r="O31" s="97" t="s">
        <v>360</v>
      </c>
    </row>
    <row r="32" spans="2:15">
      <c r="F32" s="34"/>
      <c r="K32" s="2" t="s">
        <v>361</v>
      </c>
      <c r="L32" s="2">
        <v>0.4</v>
      </c>
      <c r="M32" s="39">
        <v>6.6E-3</v>
      </c>
      <c r="N32" s="40">
        <v>1250</v>
      </c>
      <c r="O32" s="36">
        <f>N32*M32</f>
        <v>8.25</v>
      </c>
    </row>
    <row r="33" spans="11:16">
      <c r="K33" s="2" t="s">
        <v>362</v>
      </c>
      <c r="L33" s="2">
        <v>2.6</v>
      </c>
      <c r="M33" s="39">
        <v>3.3099999999999997E-2</v>
      </c>
      <c r="N33" s="40">
        <v>1000</v>
      </c>
      <c r="O33" s="36">
        <f>N33*M33</f>
        <v>33.099999999999994</v>
      </c>
    </row>
    <row r="34" spans="11:16">
      <c r="K34" s="2" t="s">
        <v>363</v>
      </c>
      <c r="L34" s="2">
        <v>4.4000000000000004</v>
      </c>
      <c r="M34" s="39">
        <v>1.6400000000000001E-2</v>
      </c>
      <c r="N34" s="40">
        <v>1250</v>
      </c>
      <c r="O34" s="36">
        <f t="shared" ref="O34:O39" si="0">N34*M34</f>
        <v>20.5</v>
      </c>
    </row>
    <row r="35" spans="11:16">
      <c r="K35" s="2" t="s">
        <v>364</v>
      </c>
      <c r="L35" s="2">
        <v>6.2</v>
      </c>
      <c r="M35" s="39">
        <v>2.93E-2</v>
      </c>
      <c r="N35" s="40">
        <v>1500</v>
      </c>
      <c r="O35" s="36">
        <f t="shared" si="0"/>
        <v>43.95</v>
      </c>
    </row>
    <row r="36" spans="11:16">
      <c r="K36" s="2" t="s">
        <v>365</v>
      </c>
      <c r="L36" s="2">
        <v>7.4</v>
      </c>
      <c r="M36" s="39">
        <v>2.0899999999999998E-2</v>
      </c>
      <c r="N36" s="40">
        <v>1250</v>
      </c>
      <c r="O36" s="36">
        <f t="shared" si="0"/>
        <v>26.124999999999996</v>
      </c>
    </row>
    <row r="37" spans="11:16">
      <c r="K37" s="2" t="s">
        <v>366</v>
      </c>
      <c r="L37" s="2">
        <v>16.2</v>
      </c>
      <c r="M37" s="39">
        <v>3.5400000000000001E-2</v>
      </c>
      <c r="N37" s="40">
        <v>1000</v>
      </c>
      <c r="O37" s="36">
        <f t="shared" si="0"/>
        <v>35.4</v>
      </c>
    </row>
    <row r="38" spans="11:16">
      <c r="K38" s="2" t="s">
        <v>367</v>
      </c>
      <c r="L38" s="2">
        <v>26.2</v>
      </c>
      <c r="M38" s="39">
        <v>3.5400000000000001E-2</v>
      </c>
      <c r="N38" s="40">
        <v>2000</v>
      </c>
      <c r="O38" s="36">
        <f t="shared" si="0"/>
        <v>70.8</v>
      </c>
    </row>
    <row r="39" spans="11:16">
      <c r="K39" s="2" t="s">
        <v>368</v>
      </c>
      <c r="L39" s="2">
        <v>36.200000000000003</v>
      </c>
      <c r="M39" s="39">
        <v>3.73E-2</v>
      </c>
      <c r="N39" s="40">
        <v>509</v>
      </c>
      <c r="O39" s="36">
        <f t="shared" si="0"/>
        <v>18.985700000000001</v>
      </c>
    </row>
    <row r="40" spans="11:16">
      <c r="K40" s="2"/>
      <c r="L40" s="2"/>
      <c r="M40" s="2"/>
      <c r="N40" s="2"/>
      <c r="O40" s="2"/>
    </row>
    <row r="41" spans="11:16">
      <c r="K41" s="2"/>
      <c r="L41" s="2"/>
      <c r="M41" s="2"/>
      <c r="N41" s="40">
        <f>SUM(N32:N39)</f>
        <v>9759</v>
      </c>
      <c r="O41" s="36">
        <f>SUM(O32:O39)</f>
        <v>257.11070000000001</v>
      </c>
      <c r="P41" s="42">
        <f>O41/N41</f>
        <v>2.6346008812378318E-2</v>
      </c>
    </row>
  </sheetData>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88"/>
  <sheetViews>
    <sheetView showGridLines="0" zoomScaleNormal="100" workbookViewId="0">
      <selection activeCell="H28" sqref="H28"/>
    </sheetView>
  </sheetViews>
  <sheetFormatPr defaultRowHeight="15"/>
  <cols>
    <col min="1" max="1" width="3.28515625" style="2" customWidth="1"/>
    <col min="2" max="2" width="10.5703125" customWidth="1"/>
    <col min="4" max="4" width="11.42578125" bestFit="1" customWidth="1"/>
    <col min="5" max="5" width="10.85546875" bestFit="1" customWidth="1"/>
    <col min="6" max="6" width="10.42578125" customWidth="1"/>
    <col min="7" max="9" width="7.85546875" bestFit="1" customWidth="1"/>
    <col min="10" max="10" width="8" customWidth="1"/>
    <col min="11" max="11" width="9.85546875" customWidth="1"/>
    <col min="12" max="14" width="7.85546875" bestFit="1" customWidth="1"/>
    <col min="15" max="15" width="9.140625" customWidth="1"/>
    <col min="16" max="18" width="7.85546875" bestFit="1" customWidth="1"/>
    <col min="19" max="21" width="8" bestFit="1" customWidth="1"/>
    <col min="22" max="22" width="8.42578125" bestFit="1" customWidth="1"/>
    <col min="23" max="24" width="7.85546875" bestFit="1" customWidth="1"/>
    <col min="25" max="26" width="8" bestFit="1" customWidth="1"/>
    <col min="27" max="33" width="7.85546875" bestFit="1" customWidth="1"/>
    <col min="34" max="35" width="7.5703125" bestFit="1" customWidth="1"/>
  </cols>
  <sheetData>
    <row r="1" spans="1:35">
      <c r="A1"/>
      <c r="S1" s="22"/>
    </row>
    <row r="2" spans="1:35" ht="26.25">
      <c r="A2" s="161" t="s">
        <v>369</v>
      </c>
      <c r="L2" s="102"/>
      <c r="M2" s="102"/>
      <c r="N2" s="102"/>
      <c r="O2" s="103"/>
      <c r="P2" s="103"/>
      <c r="Q2" s="103"/>
      <c r="R2" s="103"/>
      <c r="S2" s="103"/>
    </row>
    <row r="3" spans="1:35">
      <c r="T3" s="49"/>
      <c r="U3" s="49"/>
      <c r="V3" s="49"/>
    </row>
    <row r="4" spans="1:35" ht="15.75">
      <c r="B4" s="32" t="s">
        <v>370</v>
      </c>
      <c r="D4" t="s">
        <v>371</v>
      </c>
      <c r="F4" t="s">
        <v>372</v>
      </c>
      <c r="J4" s="92">
        <f ca="1">E88</f>
        <v>739.15194797622496</v>
      </c>
      <c r="L4" s="130"/>
      <c r="T4" s="49"/>
      <c r="U4" s="49"/>
      <c r="V4" s="49"/>
    </row>
    <row r="5" spans="1:35" ht="15.75">
      <c r="B5" s="32" t="s">
        <v>1</v>
      </c>
      <c r="D5" s="52">
        <v>45973</v>
      </c>
      <c r="F5" t="s">
        <v>373</v>
      </c>
      <c r="J5" s="92">
        <v>193.16</v>
      </c>
      <c r="L5" s="130"/>
      <c r="R5" s="49"/>
      <c r="S5" s="49"/>
      <c r="U5" s="49"/>
      <c r="V5" s="49"/>
      <c r="W5" s="49"/>
    </row>
    <row r="6" spans="1:35" ht="15.75">
      <c r="B6" s="32" t="s">
        <v>374</v>
      </c>
      <c r="D6" s="52">
        <v>45684</v>
      </c>
      <c r="F6" t="s">
        <v>375</v>
      </c>
      <c r="J6" s="93">
        <f ca="1">J4/J5-1</f>
        <v>2.8266305030866898</v>
      </c>
      <c r="L6" s="130"/>
      <c r="O6" s="49"/>
      <c r="P6" s="23"/>
      <c r="Q6" s="23"/>
      <c r="R6" s="23"/>
      <c r="S6" s="23"/>
      <c r="T6" s="23"/>
    </row>
    <row r="7" spans="1:35" ht="15.75">
      <c r="B7" s="32" t="s">
        <v>376</v>
      </c>
      <c r="D7" s="52">
        <v>46047</v>
      </c>
      <c r="P7" s="23"/>
      <c r="Q7" s="23"/>
      <c r="R7" s="23"/>
      <c r="S7" s="23"/>
      <c r="T7" s="23"/>
      <c r="W7" s="38"/>
    </row>
    <row r="8" spans="1:35">
      <c r="Y8" s="3"/>
      <c r="Z8" s="3"/>
      <c r="AA8" s="82"/>
      <c r="AB8" s="82"/>
    </row>
    <row r="9" spans="1:35">
      <c r="A9" s="2" t="s">
        <v>377</v>
      </c>
      <c r="B9" s="154" t="s">
        <v>378</v>
      </c>
      <c r="C9" s="152"/>
      <c r="D9" s="152"/>
      <c r="E9" s="152"/>
      <c r="F9" s="156" t="s">
        <v>54</v>
      </c>
      <c r="G9" s="156" t="str">
        <f>IF(MID(F9,2,1)="4","Q1 "&amp;RIGHT(F9,4)+1, "Q"&amp;MID(F9,2,1)+1&amp;" "&amp;RIGHT(F9,4))</f>
        <v>Q2 2022</v>
      </c>
      <c r="H9" s="156" t="str">
        <f t="shared" ref="H9:P9" si="0">IF(MID(G9,2,1)="4","Q1 "&amp;RIGHT(G9,4)+1, "Q"&amp;MID(G9,2,1)+1&amp;" "&amp;RIGHT(G9,4))</f>
        <v>Q3 2022</v>
      </c>
      <c r="I9" s="156" t="str">
        <f t="shared" si="0"/>
        <v>Q4 2022</v>
      </c>
      <c r="J9" s="156" t="str">
        <f t="shared" si="0"/>
        <v>Q1 2023</v>
      </c>
      <c r="K9" s="156" t="str">
        <f t="shared" si="0"/>
        <v>Q2 2023</v>
      </c>
      <c r="L9" s="156" t="str">
        <f t="shared" si="0"/>
        <v>Q3 2023</v>
      </c>
      <c r="M9" s="156" t="str">
        <f t="shared" si="0"/>
        <v>Q4 2023</v>
      </c>
      <c r="N9" s="156" t="str">
        <f t="shared" si="0"/>
        <v>Q1 2024</v>
      </c>
      <c r="O9" s="156" t="str">
        <f t="shared" si="0"/>
        <v>Q2 2024</v>
      </c>
      <c r="P9" s="156" t="str">
        <f t="shared" si="0"/>
        <v>Q3 2024</v>
      </c>
      <c r="Q9" s="156" t="str">
        <f>IF(MID(P9,2,1)="4","Q1 "&amp;RIGHT(P9,4)+1, "Q"&amp;MID(P9,2,1)+1&amp;" "&amp;RIGHT(P9,4))</f>
        <v>Q4 2024</v>
      </c>
      <c r="R9" s="156" t="str">
        <f t="shared" ref="R9:AG9" si="1">IF(MID(Q9,2,1)="4","Q1 "&amp;RIGHT(Q9,4)+1, "Q"&amp;MID(Q9,2,1)+1&amp;" "&amp;RIGHT(Q9,4))</f>
        <v>Q1 2025</v>
      </c>
      <c r="S9" s="156" t="str">
        <f t="shared" si="1"/>
        <v>Q2 2025</v>
      </c>
      <c r="T9" s="156" t="str">
        <f t="shared" si="1"/>
        <v>Q3 2025</v>
      </c>
      <c r="U9" s="156" t="str">
        <f t="shared" si="1"/>
        <v>Q4 2025</v>
      </c>
      <c r="V9" s="156" t="str">
        <f t="shared" si="1"/>
        <v>Q1 2026</v>
      </c>
      <c r="W9" s="156" t="str">
        <f t="shared" si="1"/>
        <v>Q2 2026</v>
      </c>
      <c r="X9" s="155" t="str">
        <f t="shared" si="1"/>
        <v>Q3 2026</v>
      </c>
      <c r="Y9" s="155" t="str">
        <f t="shared" si="1"/>
        <v>Q4 2026</v>
      </c>
      <c r="Z9" s="155" t="str">
        <f t="shared" si="1"/>
        <v>Q1 2027</v>
      </c>
      <c r="AA9" s="155" t="str">
        <f t="shared" si="1"/>
        <v>Q2 2027</v>
      </c>
      <c r="AB9" s="155" t="str">
        <f t="shared" si="1"/>
        <v>Q3 2027</v>
      </c>
      <c r="AC9" s="155" t="str">
        <f t="shared" si="1"/>
        <v>Q4 2027</v>
      </c>
      <c r="AD9" s="155" t="str">
        <f t="shared" si="1"/>
        <v>Q1 2028</v>
      </c>
      <c r="AE9" s="155" t="str">
        <f t="shared" si="1"/>
        <v>Q2 2028</v>
      </c>
      <c r="AF9" s="155" t="str">
        <f t="shared" si="1"/>
        <v>Q3 2028</v>
      </c>
      <c r="AG9" s="155" t="str">
        <f t="shared" si="1"/>
        <v>Q4 2028</v>
      </c>
      <c r="AH9" s="155">
        <v>2029</v>
      </c>
      <c r="AI9" s="155">
        <v>2030</v>
      </c>
    </row>
    <row r="10" spans="1:35">
      <c r="B10" t="s">
        <v>81</v>
      </c>
      <c r="F10" s="19" t="str">
        <f>'Income Statement'!C9</f>
        <v>5,661</v>
      </c>
      <c r="G10" s="19" t="str">
        <f>'Income Statement'!D9</f>
        <v>6,507</v>
      </c>
      <c r="H10" s="19">
        <f>'Income Statement'!E9</f>
        <v>7103</v>
      </c>
      <c r="I10" s="19">
        <f>'Income Statement'!F9</f>
        <v>7643</v>
      </c>
      <c r="J10" s="19">
        <f>'Income Statement'!G9</f>
        <v>8288</v>
      </c>
      <c r="K10" s="19" t="str">
        <f>'Income Statement'!H9</f>
        <v>6,704</v>
      </c>
      <c r="L10" s="19" t="str">
        <f>'Income Statement'!I9</f>
        <v>5,931</v>
      </c>
      <c r="M10" s="19">
        <f>'Income Statement'!J9</f>
        <v>6051</v>
      </c>
      <c r="N10" s="19">
        <f>'Income Statement'!K9</f>
        <v>7192</v>
      </c>
      <c r="O10" s="19">
        <f>'Income Statement'!L9</f>
        <v>13507</v>
      </c>
      <c r="P10" s="19">
        <f>'Income Statement'!M9</f>
        <v>18120</v>
      </c>
      <c r="Q10" s="19">
        <f>'Income Statement'!N9</f>
        <v>22103</v>
      </c>
      <c r="R10" s="19">
        <f>'Income Statement'!O9</f>
        <v>26044</v>
      </c>
      <c r="S10" s="19">
        <f>'Income Statement'!P9</f>
        <v>30040</v>
      </c>
      <c r="T10" s="19">
        <f>'Income Statement'!Q9</f>
        <v>35082</v>
      </c>
      <c r="U10" s="19">
        <f>'Income Statement'!R9</f>
        <v>39331</v>
      </c>
      <c r="V10" s="19">
        <f>'Income Statement'!S9</f>
        <v>44062</v>
      </c>
      <c r="W10" s="19">
        <f>'Income Statement'!T9</f>
        <v>46743</v>
      </c>
      <c r="X10" s="80">
        <v>47435</v>
      </c>
      <c r="Y10" s="80">
        <v>48069</v>
      </c>
      <c r="Z10" s="80">
        <v>56242</v>
      </c>
      <c r="AA10" s="80">
        <v>65803</v>
      </c>
      <c r="AB10" s="80">
        <v>77990</v>
      </c>
      <c r="AC10" s="80">
        <v>91843</v>
      </c>
      <c r="AD10" s="80">
        <v>112893</v>
      </c>
      <c r="AE10" s="80">
        <v>139267</v>
      </c>
      <c r="AF10" s="80">
        <v>171807</v>
      </c>
      <c r="AG10" s="80">
        <v>211317</v>
      </c>
      <c r="AH10" s="80">
        <v>259922</v>
      </c>
      <c r="AI10" s="80">
        <v>319700</v>
      </c>
    </row>
    <row r="11" spans="1:35">
      <c r="B11" s="5" t="s">
        <v>379</v>
      </c>
      <c r="F11" s="2"/>
      <c r="G11" s="30">
        <f>G10/F10-1</f>
        <v>0.14944356120826718</v>
      </c>
      <c r="H11" s="30">
        <f t="shared" ref="H11:P11" si="2">H10/G10-1</f>
        <v>9.1593668357153879E-2</v>
      </c>
      <c r="I11" s="30">
        <f t="shared" si="2"/>
        <v>7.6024215120371608E-2</v>
      </c>
      <c r="J11" s="30">
        <f t="shared" si="2"/>
        <v>8.4390945963626951E-2</v>
      </c>
      <c r="K11" s="30">
        <f t="shared" si="2"/>
        <v>-0.19111969111969107</v>
      </c>
      <c r="L11" s="30">
        <f t="shared" si="2"/>
        <v>-0.11530429594272074</v>
      </c>
      <c r="M11" s="30">
        <f t="shared" si="2"/>
        <v>2.0232675771370667E-2</v>
      </c>
      <c r="N11" s="30">
        <f t="shared" si="2"/>
        <v>0.1885638737398776</v>
      </c>
      <c r="O11" s="30">
        <f t="shared" si="2"/>
        <v>0.87805895439377091</v>
      </c>
      <c r="P11" s="30">
        <f t="shared" si="2"/>
        <v>0.34152661582882948</v>
      </c>
      <c r="Q11" s="30">
        <f>Q10/P10-1</f>
        <v>0.21981236203090515</v>
      </c>
      <c r="R11" s="30">
        <f t="shared" ref="R11:W11" si="3">R10/Q10-1</f>
        <v>0.17830158801972584</v>
      </c>
      <c r="S11" s="30">
        <f t="shared" si="3"/>
        <v>0.1534326524343419</v>
      </c>
      <c r="T11" s="30">
        <f t="shared" si="3"/>
        <v>0.16784287616511318</v>
      </c>
      <c r="U11" s="30">
        <f t="shared" si="3"/>
        <v>0.12111624194743742</v>
      </c>
      <c r="V11" s="30">
        <f t="shared" si="3"/>
        <v>0.12028679667437903</v>
      </c>
      <c r="W11" s="30">
        <f t="shared" si="3"/>
        <v>6.0846080522899637E-2</v>
      </c>
      <c r="X11" s="30">
        <f>X10/W10-1</f>
        <v>1.4804355732409125E-2</v>
      </c>
      <c r="Y11" s="30">
        <f t="shared" ref="Y11:AF11" si="4">Y10/X10-1</f>
        <v>1.3365658269210545E-2</v>
      </c>
      <c r="Z11" s="30">
        <f t="shared" si="4"/>
        <v>0.17002642035407445</v>
      </c>
      <c r="AA11" s="30">
        <f t="shared" si="4"/>
        <v>0.16999751075708547</v>
      </c>
      <c r="AB11" s="30">
        <f t="shared" si="4"/>
        <v>0.18520432199139858</v>
      </c>
      <c r="AC11" s="30">
        <f t="shared" si="4"/>
        <v>0.17762533658161295</v>
      </c>
      <c r="AD11" s="30">
        <f t="shared" si="4"/>
        <v>0.22919547488649106</v>
      </c>
      <c r="AE11" s="30">
        <f t="shared" si="4"/>
        <v>0.23361944496115794</v>
      </c>
      <c r="AF11" s="30">
        <f t="shared" si="4"/>
        <v>0.23365190605096675</v>
      </c>
      <c r="AG11" s="30">
        <f>AG10/AF10-1</f>
        <v>0.22996734708131794</v>
      </c>
      <c r="AH11" s="30">
        <f t="shared" ref="AH11:AI11" si="5">AH10/AG10-1</f>
        <v>0.23000989035430175</v>
      </c>
      <c r="AI11" s="30">
        <f t="shared" si="5"/>
        <v>0.22998437992936349</v>
      </c>
    </row>
    <row r="12" spans="1:35">
      <c r="B12" s="5"/>
      <c r="G12" s="18"/>
      <c r="H12" s="18"/>
      <c r="I12" s="18"/>
      <c r="J12" s="18"/>
      <c r="K12" s="18"/>
      <c r="L12" s="18"/>
      <c r="M12" s="18"/>
      <c r="N12" s="18"/>
      <c r="O12" s="18"/>
      <c r="P12" s="18"/>
      <c r="Q12" s="18"/>
      <c r="X12" s="2"/>
      <c r="Y12" s="2"/>
      <c r="Z12" s="2"/>
      <c r="AA12" s="2"/>
      <c r="AB12" s="2"/>
      <c r="AC12" s="2"/>
      <c r="AD12" s="2"/>
      <c r="AE12" s="2"/>
      <c r="AF12" s="2"/>
      <c r="AG12" s="2"/>
    </row>
    <row r="13" spans="1:35">
      <c r="B13" t="s">
        <v>380</v>
      </c>
      <c r="F13" s="19" t="str">
        <f>'Income Statement'!C11</f>
        <v>3,629</v>
      </c>
      <c r="G13" s="19" t="str">
        <f>'Income Statement'!D11</f>
        <v>4,215</v>
      </c>
      <c r="H13" s="19" t="str">
        <f>'Income Statement'!E11</f>
        <v>4,631</v>
      </c>
      <c r="I13" s="19">
        <f>'Income Statement'!F11</f>
        <v>5000</v>
      </c>
      <c r="J13" s="19">
        <f>'Income Statement'!G11</f>
        <v>5431</v>
      </c>
      <c r="K13" s="19" t="str">
        <f>'Income Statement'!H11</f>
        <v>2,915</v>
      </c>
      <c r="L13" s="19" t="str">
        <f>'Income Statement'!I11</f>
        <v>3,177</v>
      </c>
      <c r="M13" s="19">
        <f>'Income Statement'!J11</f>
        <v>3833</v>
      </c>
      <c r="N13" s="19">
        <f>'Income Statement'!K11</f>
        <v>4648</v>
      </c>
      <c r="O13" s="19">
        <f>'Income Statement'!L11</f>
        <v>9462</v>
      </c>
      <c r="P13" s="19">
        <f>'Income Statement'!M11</f>
        <v>13400</v>
      </c>
      <c r="Q13" s="19">
        <f>'Income Statement'!N11</f>
        <v>16791</v>
      </c>
      <c r="R13" s="19">
        <f>'Income Statement'!O11</f>
        <v>20406</v>
      </c>
      <c r="S13" s="19">
        <f>'Income Statement'!P11</f>
        <v>22574</v>
      </c>
      <c r="T13" s="19">
        <f>'Income Statement'!Q11</f>
        <v>26156</v>
      </c>
      <c r="U13" s="19">
        <f>'Income Statement'!R11</f>
        <v>28723</v>
      </c>
      <c r="V13" s="19">
        <f>'Income Statement'!S11</f>
        <v>26668</v>
      </c>
      <c r="W13" s="19">
        <f>'Income Statement'!T11</f>
        <v>33853</v>
      </c>
      <c r="X13" s="80">
        <f>X10*X14</f>
        <v>36192.904999999999</v>
      </c>
      <c r="Y13" s="80">
        <f>Y10*Y14</f>
        <v>33712.369610184513</v>
      </c>
      <c r="Z13" s="80">
        <f t="shared" ref="Z13:AF13" si="6">Z10*Z14</f>
        <v>39689.472416145712</v>
      </c>
      <c r="AA13" s="80">
        <f t="shared" si="6"/>
        <v>45960.232436803744</v>
      </c>
      <c r="AB13" s="80">
        <f t="shared" si="6"/>
        <v>56430.846776487546</v>
      </c>
      <c r="AC13" s="80">
        <f t="shared" si="6"/>
        <v>65862.355369932164</v>
      </c>
      <c r="AD13" s="80">
        <f t="shared" si="6"/>
        <v>79844.72981927036</v>
      </c>
      <c r="AE13" s="80">
        <f>AE10*AE14</f>
        <v>99047.631234372573</v>
      </c>
      <c r="AF13" s="80">
        <f t="shared" si="6"/>
        <v>122257.70110858399</v>
      </c>
      <c r="AG13" s="80">
        <f>AG10*AG14</f>
        <v>151046.80809410141</v>
      </c>
      <c r="AH13" s="80">
        <f>AH10*AH14</f>
        <v>185011.50527661067</v>
      </c>
      <c r="AI13" s="80">
        <f>AI10*AI14</f>
        <v>227374.94268559548</v>
      </c>
    </row>
    <row r="14" spans="1:35">
      <c r="B14" s="5" t="s">
        <v>381</v>
      </c>
      <c r="F14" s="30">
        <f>F13/F$10</f>
        <v>0.6410528175234057</v>
      </c>
      <c r="G14" s="30">
        <f t="shared" ref="G14:P14" si="7">G13/G$10</f>
        <v>0.64776394651913327</v>
      </c>
      <c r="H14" s="30">
        <f t="shared" si="7"/>
        <v>0.65197803744896521</v>
      </c>
      <c r="I14" s="30">
        <f t="shared" si="7"/>
        <v>0.65419337956299883</v>
      </c>
      <c r="J14" s="30">
        <f t="shared" si="7"/>
        <v>0.65528474903474898</v>
      </c>
      <c r="K14" s="30">
        <f t="shared" si="7"/>
        <v>0.43481503579952269</v>
      </c>
      <c r="L14" s="30">
        <f t="shared" si="7"/>
        <v>0.53566009104704093</v>
      </c>
      <c r="M14" s="30">
        <f t="shared" si="7"/>
        <v>0.63344901669145592</v>
      </c>
      <c r="N14" s="30">
        <f t="shared" si="7"/>
        <v>0.64627363737486099</v>
      </c>
      <c r="O14" s="30">
        <f t="shared" si="7"/>
        <v>0.7005256533649219</v>
      </c>
      <c r="P14" s="30">
        <f t="shared" si="7"/>
        <v>0.73951434878587197</v>
      </c>
      <c r="Q14" s="30">
        <f>Q13/Q$10</f>
        <v>0.75967063294575399</v>
      </c>
      <c r="R14" s="30">
        <f t="shared" ref="R14:U14" si="8">R13/R$10</f>
        <v>0.78352019659038552</v>
      </c>
      <c r="S14" s="30">
        <f t="shared" si="8"/>
        <v>0.75146471371504664</v>
      </c>
      <c r="T14" s="30">
        <f t="shared" si="8"/>
        <v>0.74556752750698363</v>
      </c>
      <c r="U14" s="30">
        <f t="shared" si="8"/>
        <v>0.73028908494571709</v>
      </c>
      <c r="V14" s="30">
        <f>V13/V$10</f>
        <v>0.60523807362353044</v>
      </c>
      <c r="W14" s="30">
        <f>W13/W$10</f>
        <v>0.72423678411740799</v>
      </c>
      <c r="X14" s="30">
        <v>0.76300000000000001</v>
      </c>
      <c r="Y14" s="30">
        <f>AVERAGE(T14:W14)</f>
        <v>0.70133286754840984</v>
      </c>
      <c r="Z14" s="30">
        <f t="shared" ref="Z14:AF14" si="9">AVERAGE(U14:X14)</f>
        <v>0.70569098567166377</v>
      </c>
      <c r="AA14" s="30">
        <f>AVERAGE(V14:Y14)</f>
        <v>0.69845193132233707</v>
      </c>
      <c r="AB14" s="30">
        <f t="shared" si="9"/>
        <v>0.72356515933437038</v>
      </c>
      <c r="AC14" s="30">
        <f t="shared" si="9"/>
        <v>0.71711894613560268</v>
      </c>
      <c r="AD14" s="30">
        <f t="shared" si="9"/>
        <v>0.70726023596919529</v>
      </c>
      <c r="AE14" s="30">
        <f t="shared" si="9"/>
        <v>0.71120675561599356</v>
      </c>
      <c r="AF14" s="30">
        <f t="shared" si="9"/>
        <v>0.71159906819037633</v>
      </c>
      <c r="AG14" s="30">
        <f>AVERAGE(AB14:AE14)</f>
        <v>0.71478777426379048</v>
      </c>
      <c r="AH14" s="30">
        <f t="shared" ref="AH14:AI14" si="10">AVERAGE(AC14:AF14)</f>
        <v>0.71179625147779202</v>
      </c>
      <c r="AI14" s="30">
        <f t="shared" si="10"/>
        <v>0.71121345850983886</v>
      </c>
    </row>
    <row r="15" spans="1:35">
      <c r="X15" s="2"/>
      <c r="Y15" s="2"/>
      <c r="Z15" s="2"/>
      <c r="AA15" s="2"/>
      <c r="AB15" s="2"/>
      <c r="AC15" s="2"/>
      <c r="AD15" s="2"/>
      <c r="AE15" s="2"/>
      <c r="AF15" s="2"/>
      <c r="AG15" s="2"/>
    </row>
    <row r="16" spans="1:35">
      <c r="B16" t="s">
        <v>382</v>
      </c>
      <c r="F16" s="19">
        <f>'Income Statement'!C19+'Income Statement'!C20+'Income Statement'!C21</f>
        <v>1909</v>
      </c>
      <c r="G16" s="19">
        <f>'Income Statement'!D19+'Income Statement'!D20+'Income Statement'!D21</f>
        <v>2390</v>
      </c>
      <c r="H16" s="19">
        <f>'Income Statement'!E19+'Income Statement'!E20+'Income Statement'!E21</f>
        <v>2616</v>
      </c>
      <c r="I16" s="19">
        <f>'Income Statement'!F19+'Income Statement'!F20+'Income Statement'!F21</f>
        <v>2919</v>
      </c>
      <c r="J16" s="19">
        <f>'Income Statement'!G19+'Income Statement'!G20+'Income Statement'!G21</f>
        <v>1818</v>
      </c>
      <c r="K16" s="19">
        <f>'Income Statement'!H19+'Income Statement'!H20+'Income Statement'!H21</f>
        <v>480</v>
      </c>
      <c r="L16" s="19">
        <f>'Income Statement'!I19+'Income Statement'!I20+'Income Statement'!I21</f>
        <v>624</v>
      </c>
      <c r="M16" s="19">
        <f>'Income Statement'!J19+'Income Statement'!J20+'Income Statement'!J21</f>
        <v>1307</v>
      </c>
      <c r="N16" s="19">
        <f>'Income Statement'!K19+'Income Statement'!K20+'Income Statement'!K21</f>
        <v>2224</v>
      </c>
      <c r="O16" s="19">
        <f>'Income Statement'!L19+'Income Statement'!L20+'Income Statement'!L21</f>
        <v>6922</v>
      </c>
      <c r="P16" s="19">
        <f>'Income Statement'!M19+'Income Statement'!M20+'Income Statement'!M21</f>
        <v>10588</v>
      </c>
      <c r="Q16" s="19">
        <f>'Income Statement'!N19+'Income Statement'!N20+'Income Statement'!N21</f>
        <v>13847</v>
      </c>
      <c r="R16" s="19">
        <f>'Income Statement'!O19+'Income Statement'!O20+'Income Statement'!O21</f>
        <v>17204</v>
      </c>
      <c r="S16" s="19">
        <f>'Income Statement'!P19+'Income Statement'!P20+'Income Statement'!P21</f>
        <v>19025</v>
      </c>
      <c r="T16" s="19">
        <f>'Income Statement'!Q19+'Income Statement'!Q20+'Income Statement'!Q21</f>
        <v>22280</v>
      </c>
      <c r="U16" s="19">
        <f>'Income Statement'!R19+'Income Statement'!R20+'Income Statement'!R21</f>
        <v>24484</v>
      </c>
      <c r="V16" s="19">
        <f>'Income Statement'!S19+'Income Statement'!S20+'Income Statement'!S21</f>
        <v>22090</v>
      </c>
      <c r="W16" s="19">
        <f>'Income Statement'!T19+'Income Statement'!T20+'Income Statement'!T21</f>
        <v>28970</v>
      </c>
      <c r="X16" s="80">
        <f>X13-3500</f>
        <v>32692.904999999999</v>
      </c>
      <c r="Y16" s="80">
        <f>Y13-3500</f>
        <v>30212.369610184513</v>
      </c>
      <c r="Z16" s="80">
        <f t="shared" ref="Z16:AI16" si="11">Z13-3500</f>
        <v>36189.472416145712</v>
      </c>
      <c r="AA16" s="80">
        <f t="shared" si="11"/>
        <v>42460.232436803744</v>
      </c>
      <c r="AB16" s="80">
        <f t="shared" si="11"/>
        <v>52930.846776487546</v>
      </c>
      <c r="AC16" s="80">
        <f t="shared" si="11"/>
        <v>62362.355369932164</v>
      </c>
      <c r="AD16" s="80">
        <f>AD13-3500</f>
        <v>76344.72981927036</v>
      </c>
      <c r="AE16" s="80">
        <f t="shared" si="11"/>
        <v>95547.631234372573</v>
      </c>
      <c r="AF16" s="80">
        <f t="shared" si="11"/>
        <v>118757.70110858399</v>
      </c>
      <c r="AG16" s="80">
        <f>AG13-3500</f>
        <v>147546.80809410141</v>
      </c>
      <c r="AH16" s="80">
        <f>AH13-3500</f>
        <v>181511.50527661067</v>
      </c>
      <c r="AI16" s="80">
        <f t="shared" si="11"/>
        <v>223874.94268559548</v>
      </c>
    </row>
    <row r="17" spans="1:37">
      <c r="B17" s="5" t="s">
        <v>381</v>
      </c>
      <c r="F17" s="30">
        <f>F16/F$10</f>
        <v>0.33721957251369017</v>
      </c>
      <c r="G17" s="30">
        <f t="shared" ref="G17:Q17" si="12">G16/G$10</f>
        <v>0.36729675733825112</v>
      </c>
      <c r="H17" s="30">
        <f t="shared" si="12"/>
        <v>0.36829508658313387</v>
      </c>
      <c r="I17" s="30">
        <f t="shared" si="12"/>
        <v>0.38191809498887869</v>
      </c>
      <c r="J17" s="30">
        <f t="shared" si="12"/>
        <v>0.21935328185328185</v>
      </c>
      <c r="K17" s="30">
        <f t="shared" si="12"/>
        <v>7.1599045346062054E-2</v>
      </c>
      <c r="L17" s="30">
        <f t="shared" si="12"/>
        <v>0.10520991401112798</v>
      </c>
      <c r="M17" s="30">
        <f t="shared" si="12"/>
        <v>0.21599735580895721</v>
      </c>
      <c r="N17" s="30">
        <f t="shared" si="12"/>
        <v>0.3092324805339266</v>
      </c>
      <c r="O17" s="30">
        <f t="shared" si="12"/>
        <v>0.51247501295624487</v>
      </c>
      <c r="P17" s="30">
        <f t="shared" si="12"/>
        <v>0.58432671081677701</v>
      </c>
      <c r="Q17" s="30">
        <f t="shared" si="12"/>
        <v>0.62647604397593082</v>
      </c>
      <c r="R17" s="30">
        <f t="shared" ref="R17:W17" si="13">R16/R$10</f>
        <v>0.66057441253263705</v>
      </c>
      <c r="S17" s="30">
        <f t="shared" si="13"/>
        <v>0.63332223701731027</v>
      </c>
      <c r="T17" s="30">
        <f t="shared" si="13"/>
        <v>0.63508351861353396</v>
      </c>
      <c r="U17" s="30">
        <f t="shared" si="13"/>
        <v>0.62251150491978335</v>
      </c>
      <c r="V17" s="30">
        <f t="shared" si="13"/>
        <v>0.50133902228677774</v>
      </c>
      <c r="W17" s="30">
        <f t="shared" si="13"/>
        <v>0.61977194446227246</v>
      </c>
      <c r="X17" s="30">
        <f>X16/X$10</f>
        <v>0.68921482028038361</v>
      </c>
      <c r="Y17" s="30">
        <f>Y16/Y10</f>
        <v>0.6285208681309058</v>
      </c>
      <c r="Z17" s="30">
        <f t="shared" ref="Z17:AB17" si="14">Z16/Z10</f>
        <v>0.64345991280796755</v>
      </c>
      <c r="AA17" s="30">
        <f t="shared" si="14"/>
        <v>0.64526286699396296</v>
      </c>
      <c r="AB17" s="30">
        <f t="shared" si="14"/>
        <v>0.67868761093072894</v>
      </c>
      <c r="AC17" s="30">
        <f t="shared" ref="AC17" si="15">AC16/AC10</f>
        <v>0.67901043487181567</v>
      </c>
      <c r="AD17" s="30">
        <f t="shared" ref="AD17" si="16">AD16/AD10</f>
        <v>0.67625742800058786</v>
      </c>
      <c r="AE17" s="30">
        <f t="shared" ref="AE17" si="17">AE16/AE10</f>
        <v>0.68607517383423622</v>
      </c>
      <c r="AF17" s="30">
        <f>AF16/AF10</f>
        <v>0.69122737204295515</v>
      </c>
      <c r="AG17" s="30">
        <f>AG16/AG10</f>
        <v>0.6982249799784277</v>
      </c>
      <c r="AH17" s="30">
        <f t="shared" ref="AH17:AI17" si="18">AH16/AH10</f>
        <v>0.69833067334281307</v>
      </c>
      <c r="AI17" s="30">
        <f t="shared" si="18"/>
        <v>0.70026569498153102</v>
      </c>
    </row>
    <row r="18" spans="1:37">
      <c r="X18" s="2"/>
      <c r="Y18" s="2"/>
      <c r="Z18" s="2"/>
      <c r="AA18" s="2"/>
      <c r="AB18" s="2"/>
      <c r="AC18" s="2"/>
      <c r="AD18" s="2"/>
      <c r="AE18" s="2"/>
      <c r="AF18" s="2"/>
      <c r="AG18" s="2"/>
    </row>
    <row r="19" spans="1:37">
      <c r="B19" t="s">
        <v>383</v>
      </c>
      <c r="F19" s="7" t="str">
        <f>'Income Statement'!C26</f>
        <v>132</v>
      </c>
      <c r="G19" s="7" t="str">
        <f>'Income Statement'!D26</f>
        <v>20</v>
      </c>
      <c r="H19" s="7" t="str">
        <f>'Income Statement'!E26</f>
        <v>174</v>
      </c>
      <c r="I19" s="7">
        <f>'Income Statement'!F26</f>
        <v>-137</v>
      </c>
      <c r="J19" s="7">
        <f>'Income Statement'!G26</f>
        <v>187</v>
      </c>
      <c r="K19" s="7" t="str">
        <f>'Income Statement'!H26</f>
        <v>(181)</v>
      </c>
      <c r="L19" s="7" t="str">
        <f>'Income Statement'!I26</f>
        <v>(67)</v>
      </c>
      <c r="M19" s="23">
        <f>'Income Statement'!J26</f>
        <v>-126</v>
      </c>
      <c r="N19" s="23">
        <f>'Income Statement'!K26</f>
        <v>166</v>
      </c>
      <c r="O19" s="23">
        <f>'Income Statement'!L26</f>
        <v>793</v>
      </c>
      <c r="P19" s="23">
        <f>'Income Statement'!M26</f>
        <v>1279</v>
      </c>
      <c r="Q19" s="23">
        <f>'Income Statement'!N26</f>
        <v>1820</v>
      </c>
      <c r="R19" s="23">
        <f>'Income Statement'!O26</f>
        <v>2398</v>
      </c>
      <c r="S19" s="23">
        <f>'Income Statement'!P26</f>
        <v>2615</v>
      </c>
      <c r="T19" s="23">
        <f>'Income Statement'!Q26</f>
        <v>3007</v>
      </c>
      <c r="U19" s="23">
        <f>'Income Statement'!R26</f>
        <v>3126</v>
      </c>
      <c r="V19" s="23">
        <f>'Income Statement'!S26</f>
        <v>3135</v>
      </c>
      <c r="W19" s="23">
        <f>'Income Statement'!T26</f>
        <v>4784</v>
      </c>
      <c r="X19" s="80">
        <f>X16*X20</f>
        <v>5557.79385</v>
      </c>
      <c r="Y19" s="80">
        <f t="shared" ref="Y19:AE19" si="19">Y16*Y20</f>
        <v>5136.1028337313674</v>
      </c>
      <c r="Z19" s="80">
        <f>Z16*Z20</f>
        <v>6152.210310744772</v>
      </c>
      <c r="AA19" s="80">
        <f t="shared" si="19"/>
        <v>7218.2395142566374</v>
      </c>
      <c r="AB19" s="80">
        <f t="shared" si="19"/>
        <v>8998.2439520028838</v>
      </c>
      <c r="AC19" s="80">
        <f t="shared" si="19"/>
        <v>10601.600412888469</v>
      </c>
      <c r="AD19" s="80">
        <f t="shared" si="19"/>
        <v>12978.604069275962</v>
      </c>
      <c r="AE19" s="80">
        <f t="shared" si="19"/>
        <v>16243.097309843339</v>
      </c>
      <c r="AF19" s="80">
        <f t="shared" ref="AF19" si="20">AF16*AF20</f>
        <v>20188.80918845928</v>
      </c>
      <c r="AG19" s="80">
        <f>AG16*AG20</f>
        <v>25082.957375997241</v>
      </c>
      <c r="AH19" s="80">
        <f t="shared" ref="AH19:AI19" si="21">AH16*AH20</f>
        <v>30856.955897023814</v>
      </c>
      <c r="AI19" s="80">
        <f t="shared" si="21"/>
        <v>38058.740256551231</v>
      </c>
    </row>
    <row r="20" spans="1:37">
      <c r="B20" s="5" t="s">
        <v>384</v>
      </c>
      <c r="F20" s="30">
        <f>F19/'Income Statement'!C25</f>
        <v>6.4579256360078274E-2</v>
      </c>
      <c r="G20" s="30">
        <f>G19/'Income Statement'!D25</f>
        <v>8.3542188805346695E-3</v>
      </c>
      <c r="H20" s="30">
        <f>H19/'Income Statement'!E25</f>
        <v>6.5959059893858987E-2</v>
      </c>
      <c r="I20" s="30">
        <f>I19/'Income Statement'!F25</f>
        <v>-4.7818499127399654E-2</v>
      </c>
      <c r="J20" s="30">
        <f>J19/'Income Statement'!G25</f>
        <v>0.10360110803324099</v>
      </c>
      <c r="K20" s="30">
        <f>K19/'Income Statement'!H25</f>
        <v>-0.38105263157894737</v>
      </c>
      <c r="L20" s="30">
        <f>L19/'Income Statement'!I25</f>
        <v>-0.10929853181076672</v>
      </c>
      <c r="M20" s="30">
        <f>M19/'Income Statement'!J25</f>
        <v>-9.7826086956521743E-2</v>
      </c>
      <c r="N20" s="30">
        <f>N19/'Income Statement'!K25</f>
        <v>7.5147125396106837E-2</v>
      </c>
      <c r="O20" s="30">
        <f>O19/'Income Statement'!L25</f>
        <v>0.11359404096834265</v>
      </c>
      <c r="P20" s="30">
        <f>P19/'Income Statement'!M25</f>
        <v>0.12155483748336818</v>
      </c>
      <c r="Q20" s="30">
        <f>Q19/'Income Statement'!N25</f>
        <v>0.12902311073302142</v>
      </c>
      <c r="R20" s="30">
        <f>R19/'Income Statement'!O25</f>
        <v>0.13878117946640431</v>
      </c>
      <c r="S20" s="30">
        <f>S19/'Income Statement'!P25</f>
        <v>0.1360986780472572</v>
      </c>
      <c r="T20" s="30">
        <f>T19/'Income Statement'!Q25</f>
        <v>0.13474637031726117</v>
      </c>
      <c r="U20" s="30">
        <f>U19/'Income Statement'!R25</f>
        <v>0.1239639925447119</v>
      </c>
      <c r="V20" s="30">
        <f>V19/'Income Statement'!S25</f>
        <v>0.1430853491556367</v>
      </c>
      <c r="W20" s="30">
        <f>W19/'Income Statement'!T25</f>
        <v>0.15330385182336731</v>
      </c>
      <c r="X20" s="30">
        <v>0.17</v>
      </c>
      <c r="Y20" s="30">
        <v>0.17</v>
      </c>
      <c r="Z20" s="30">
        <v>0.17</v>
      </c>
      <c r="AA20" s="30">
        <v>0.17</v>
      </c>
      <c r="AB20" s="30">
        <v>0.17</v>
      </c>
      <c r="AC20" s="30">
        <v>0.17</v>
      </c>
      <c r="AD20" s="30">
        <v>0.17</v>
      </c>
      <c r="AE20" s="30">
        <v>0.17</v>
      </c>
      <c r="AF20" s="30">
        <v>0.17</v>
      </c>
      <c r="AG20" s="30">
        <v>0.17</v>
      </c>
      <c r="AH20" s="30">
        <v>0.17</v>
      </c>
      <c r="AI20" s="30">
        <v>0.17</v>
      </c>
    </row>
    <row r="21" spans="1:37">
      <c r="Y21" s="15"/>
    </row>
    <row r="22" spans="1:37">
      <c r="A22" s="2" t="s">
        <v>377</v>
      </c>
      <c r="B22" s="154" t="s">
        <v>385</v>
      </c>
      <c r="C22" s="152"/>
      <c r="D22" s="152"/>
      <c r="E22" s="152"/>
      <c r="F22" s="152" t="s">
        <v>54</v>
      </c>
      <c r="G22" s="152" t="str">
        <f>IF(MID(F22,2,1)="4","Q1 "&amp;RIGHT(F22,4)+1, "Q"&amp;MID(F22,2,1)+1&amp;" "&amp;RIGHT(F22,4))</f>
        <v>Q2 2022</v>
      </c>
      <c r="H22" s="152" t="str">
        <f t="shared" ref="H22:P22" si="22">IF(MID(G22,2,1)="4","Q1 "&amp;RIGHT(G22,4)+1, "Q"&amp;MID(G22,2,1)+1&amp;" "&amp;RIGHT(G22,4))</f>
        <v>Q3 2022</v>
      </c>
      <c r="I22" s="152" t="str">
        <f t="shared" si="22"/>
        <v>Q4 2022</v>
      </c>
      <c r="J22" s="152" t="str">
        <f t="shared" si="22"/>
        <v>Q1 2023</v>
      </c>
      <c r="K22" s="152" t="str">
        <f t="shared" si="22"/>
        <v>Q2 2023</v>
      </c>
      <c r="L22" s="152" t="str">
        <f t="shared" si="22"/>
        <v>Q3 2023</v>
      </c>
      <c r="M22" s="152" t="str">
        <f t="shared" si="22"/>
        <v>Q4 2023</v>
      </c>
      <c r="N22" s="152" t="str">
        <f t="shared" si="22"/>
        <v>Q1 2024</v>
      </c>
      <c r="O22" s="152" t="str">
        <f t="shared" si="22"/>
        <v>Q2 2024</v>
      </c>
      <c r="P22" s="152" t="str">
        <f t="shared" si="22"/>
        <v>Q3 2024</v>
      </c>
      <c r="Q22" s="152" t="str">
        <f>IF(MID(P22,2,1)="4","Q1 "&amp;RIGHT(P22,4)+1, "Q"&amp;MID(P22,2,1)+1&amp;" "&amp;RIGHT(P22,4))</f>
        <v>Q4 2024</v>
      </c>
      <c r="R22" s="152" t="str">
        <f t="shared" ref="R22:AG22" si="23">IF(MID(Q22,2,1)="4","Q1 "&amp;RIGHT(Q22,4)+1, "Q"&amp;MID(Q22,2,1)+1&amp;" "&amp;RIGHT(Q22,4))</f>
        <v>Q1 2025</v>
      </c>
      <c r="S22" s="152" t="str">
        <f t="shared" si="23"/>
        <v>Q2 2025</v>
      </c>
      <c r="T22" s="152" t="str">
        <f t="shared" si="23"/>
        <v>Q3 2025</v>
      </c>
      <c r="U22" s="152" t="str">
        <f t="shared" si="23"/>
        <v>Q4 2025</v>
      </c>
      <c r="V22" s="152" t="str">
        <f t="shared" si="23"/>
        <v>Q1 2026</v>
      </c>
      <c r="W22" s="152" t="str">
        <f t="shared" si="23"/>
        <v>Q2 2026</v>
      </c>
      <c r="X22" s="113" t="str">
        <f t="shared" si="23"/>
        <v>Q3 2026</v>
      </c>
      <c r="Y22" s="113" t="str">
        <f t="shared" si="23"/>
        <v>Q4 2026</v>
      </c>
      <c r="Z22" s="113" t="str">
        <f t="shared" si="23"/>
        <v>Q1 2027</v>
      </c>
      <c r="AA22" s="113" t="str">
        <f t="shared" si="23"/>
        <v>Q2 2027</v>
      </c>
      <c r="AB22" s="113" t="str">
        <f t="shared" si="23"/>
        <v>Q3 2027</v>
      </c>
      <c r="AC22" s="113" t="str">
        <f t="shared" si="23"/>
        <v>Q4 2027</v>
      </c>
      <c r="AD22" s="113" t="str">
        <f t="shared" si="23"/>
        <v>Q1 2028</v>
      </c>
      <c r="AE22" s="113" t="str">
        <f t="shared" si="23"/>
        <v>Q2 2028</v>
      </c>
      <c r="AF22" s="113" t="str">
        <f t="shared" si="23"/>
        <v>Q3 2028</v>
      </c>
      <c r="AG22" s="113" t="str">
        <f t="shared" si="23"/>
        <v>Q4 2028</v>
      </c>
      <c r="AH22" s="128">
        <v>2029</v>
      </c>
      <c r="AI22" s="128">
        <v>2030</v>
      </c>
    </row>
    <row r="23" spans="1:37">
      <c r="B23" t="s">
        <v>386</v>
      </c>
      <c r="F23" s="2">
        <f>'Cash Flow Statement'!B14</f>
        <v>281</v>
      </c>
      <c r="G23" s="2">
        <f>'Cash Flow Statement'!C14-'Cash Flow Statement'!B14</f>
        <v>286</v>
      </c>
      <c r="H23" s="2">
        <f>'Cash Flow Statement'!D14-'Cash Flow Statement'!C14</f>
        <v>298</v>
      </c>
      <c r="I23" s="2">
        <f>'Cash Flow Statement'!E14-'Cash Flow Statement'!D14</f>
        <v>309</v>
      </c>
      <c r="J23" s="2">
        <f>'Cash Flow Statement'!F14</f>
        <v>334</v>
      </c>
      <c r="K23" s="2">
        <f>'Cash Flow Statement'!G14-'Cash Flow Statement'!F14</f>
        <v>378</v>
      </c>
      <c r="L23" s="2">
        <f>'Cash Flow Statement'!H14-'Cash Flow Statement'!G14</f>
        <v>406</v>
      </c>
      <c r="M23" s="2">
        <f>'Cash Flow Statement'!I14-'Cash Flow Statement'!H14</f>
        <v>426</v>
      </c>
      <c r="N23" s="2">
        <f>'Cash Flow Statement'!J14</f>
        <v>384</v>
      </c>
      <c r="O23" s="2">
        <f>'Cash Flow Statement'!K14-'Cash Flow Statement'!J14</f>
        <v>365</v>
      </c>
      <c r="P23" s="2">
        <f>'Cash Flow Statement'!L14-'Cash Flow Statement'!K14</f>
        <v>372</v>
      </c>
      <c r="Q23" s="2">
        <f>'Cash Flow Statement'!M14-'Cash Flow Statement'!L14</f>
        <v>387</v>
      </c>
      <c r="R23" s="2">
        <f>'Cash Flow Statement'!N14-'Cash Flow Statement'!M14</f>
        <v>-1098</v>
      </c>
      <c r="S23" s="2">
        <f>'Cash Flow Statement'!O14-'Cash Flow Statement'!N14</f>
        <v>433</v>
      </c>
      <c r="T23" s="2">
        <f>'Cash Flow Statement'!P14-'Cash Flow Statement'!O14</f>
        <v>478</v>
      </c>
      <c r="U23" s="2">
        <f>'Cash Flow Statement'!Q14-'Cash Flow Statement'!P14</f>
        <v>543</v>
      </c>
      <c r="V23" s="2">
        <f>'Cash Flow Statement'!R14-'Cash Flow Statement'!Q14</f>
        <v>-1253</v>
      </c>
      <c r="W23" s="2">
        <f>'Cash Flow Statement'!S14-'Cash Flow Statement'!R14</f>
        <v>669</v>
      </c>
      <c r="X23" s="81">
        <f>X24+X25</f>
        <v>-1098</v>
      </c>
      <c r="Y23" s="81">
        <f t="shared" ref="Y23:AE23" si="24">Y24+Y25</f>
        <v>433</v>
      </c>
      <c r="Z23" s="81">
        <f t="shared" si="24"/>
        <v>478</v>
      </c>
      <c r="AA23" s="81">
        <f>AA24+AA25</f>
        <v>543</v>
      </c>
      <c r="AB23" s="81">
        <f t="shared" si="24"/>
        <v>-1253</v>
      </c>
      <c r="AC23" s="81">
        <f t="shared" si="24"/>
        <v>669</v>
      </c>
      <c r="AD23" s="81">
        <f t="shared" si="24"/>
        <v>-180.09337588539827</v>
      </c>
      <c r="AE23" s="81">
        <f t="shared" si="24"/>
        <v>-194.55760149507148</v>
      </c>
      <c r="AF23" s="81">
        <f>AF24+AF25</f>
        <v>-255.51463791120131</v>
      </c>
      <c r="AG23" s="81">
        <f>AG24+AG25</f>
        <v>-323.94709773704744</v>
      </c>
      <c r="AH23" s="129">
        <v>-1175</v>
      </c>
      <c r="AI23" s="129">
        <v>-1446</v>
      </c>
    </row>
    <row r="24" spans="1:37">
      <c r="B24" s="33" t="s">
        <v>387</v>
      </c>
      <c r="F24" s="2">
        <f>F23-F25</f>
        <v>144</v>
      </c>
      <c r="G24" s="2">
        <f t="shared" ref="G24:N24" si="25">G23-G25</f>
        <v>148</v>
      </c>
      <c r="H24" s="2">
        <f t="shared" si="25"/>
        <v>155</v>
      </c>
      <c r="I24" s="2">
        <f t="shared" si="25"/>
        <v>164</v>
      </c>
      <c r="J24" s="2">
        <f t="shared" si="25"/>
        <v>179</v>
      </c>
      <c r="K24" s="2">
        <f t="shared" si="25"/>
        <v>196</v>
      </c>
      <c r="L24" s="2">
        <f t="shared" si="25"/>
        <v>225</v>
      </c>
      <c r="M24" s="2">
        <f t="shared" si="25"/>
        <v>245</v>
      </c>
      <c r="N24" s="2">
        <f t="shared" si="25"/>
        <v>203</v>
      </c>
      <c r="O24" s="2">
        <f>O23-O25</f>
        <v>219</v>
      </c>
      <c r="P24" s="2">
        <f>P23-P25</f>
        <v>228</v>
      </c>
      <c r="Q24" s="2">
        <f>Q23-Q25</f>
        <v>244</v>
      </c>
      <c r="R24" s="2">
        <f t="shared" ref="R24:V24" si="26">R23-R25</f>
        <v>-1279</v>
      </c>
      <c r="S24" s="2">
        <f t="shared" si="26"/>
        <v>252</v>
      </c>
      <c r="T24" s="2">
        <f t="shared" si="26"/>
        <v>297</v>
      </c>
      <c r="U24" s="2">
        <f t="shared" si="26"/>
        <v>397</v>
      </c>
      <c r="V24" s="2">
        <f t="shared" si="26"/>
        <v>-1397</v>
      </c>
      <c r="W24" s="2">
        <f>W23-W25</f>
        <v>526</v>
      </c>
      <c r="X24" s="50">
        <f>'Fixed Assets'!P11</f>
        <v>-1279</v>
      </c>
      <c r="Y24" s="50">
        <f>'Fixed Assets'!Q11</f>
        <v>252</v>
      </c>
      <c r="Z24" s="50">
        <f>'Fixed Assets'!R11</f>
        <v>297</v>
      </c>
      <c r="AA24" s="50">
        <f>'Fixed Assets'!S11</f>
        <v>397</v>
      </c>
      <c r="AB24" s="50">
        <f>'Fixed Assets'!T11</f>
        <v>-1397</v>
      </c>
      <c r="AC24" s="50">
        <f>'Fixed Assets'!U11</f>
        <v>526</v>
      </c>
      <c r="AD24" s="50">
        <f>'Fixed Assets'!V11</f>
        <v>-307.18158138423792</v>
      </c>
      <c r="AE24" s="50">
        <f>'Fixed Assets'!W11</f>
        <v>-311.2872654276153</v>
      </c>
      <c r="AF24" s="50">
        <f>'Fixed Assets'!X11</f>
        <v>-364.21432487008138</v>
      </c>
      <c r="AG24" s="50">
        <f>'Fixed Assets'!Y11</f>
        <v>-426.1298534800676</v>
      </c>
      <c r="AH24" s="50">
        <f>'Fixed Assets'!Z11</f>
        <v>-505.05094407413753</v>
      </c>
      <c r="AI24" s="50">
        <f>'Fixed Assets'!AA11</f>
        <v>-594.76078800616767</v>
      </c>
    </row>
    <row r="25" spans="1:37">
      <c r="B25" s="33" t="s">
        <v>388</v>
      </c>
      <c r="F25" s="2">
        <f>'Cash Flow Statement'!B54</f>
        <v>137</v>
      </c>
      <c r="G25" s="2">
        <f>'Cash Flow Statement'!C54</f>
        <v>138</v>
      </c>
      <c r="H25" s="2">
        <f>'Cash Flow Statement'!D54</f>
        <v>143</v>
      </c>
      <c r="I25" s="2">
        <f>'Cash Flow Statement'!E54</f>
        <v>145</v>
      </c>
      <c r="J25" s="2">
        <f>'Cash Flow Statement'!F54</f>
        <v>155</v>
      </c>
      <c r="K25" s="2">
        <f>'Cash Flow Statement'!G54</f>
        <v>182</v>
      </c>
      <c r="L25" s="2">
        <f>'Cash Flow Statement'!H54</f>
        <v>181</v>
      </c>
      <c r="M25" s="2">
        <f>'Cash Flow Statement'!I54</f>
        <v>181</v>
      </c>
      <c r="N25" s="2">
        <f>'Cash Flow Statement'!J54</f>
        <v>181</v>
      </c>
      <c r="O25" s="2">
        <f>'Cash Flow Statement'!K54</f>
        <v>146</v>
      </c>
      <c r="P25" s="2">
        <f>'Cash Flow Statement'!L54</f>
        <v>144</v>
      </c>
      <c r="Q25" s="2">
        <f>'Cash Flow Statement'!M54</f>
        <v>143</v>
      </c>
      <c r="R25" s="2">
        <f>'Cash Flow Statement'!N54</f>
        <v>181</v>
      </c>
      <c r="S25" s="2">
        <f>'Cash Flow Statement'!O54</f>
        <v>181</v>
      </c>
      <c r="T25" s="2">
        <f>'Cash Flow Statement'!P54</f>
        <v>181</v>
      </c>
      <c r="U25" s="2">
        <f>'Cash Flow Statement'!Q54</f>
        <v>146</v>
      </c>
      <c r="V25" s="2">
        <f>'Cash Flow Statement'!R54</f>
        <v>144</v>
      </c>
      <c r="W25" s="2">
        <f>'Cash Flow Statement'!S54</f>
        <v>143</v>
      </c>
      <c r="X25" s="50">
        <f>'Fixed Assets'!P22</f>
        <v>181</v>
      </c>
      <c r="Y25" s="50">
        <f>'Fixed Assets'!Q22</f>
        <v>181</v>
      </c>
      <c r="Z25" s="50">
        <f>'Fixed Assets'!R22</f>
        <v>181</v>
      </c>
      <c r="AA25" s="50">
        <f>'Fixed Assets'!S22</f>
        <v>146</v>
      </c>
      <c r="AB25" s="50">
        <f>'Fixed Assets'!T22</f>
        <v>144</v>
      </c>
      <c r="AC25" s="50">
        <f>'Fixed Assets'!U22</f>
        <v>143</v>
      </c>
      <c r="AD25" s="50">
        <f>'Fixed Assets'!V22</f>
        <v>127.08820549883964</v>
      </c>
      <c r="AE25" s="50">
        <f>'Fixed Assets'!W22</f>
        <v>116.72966393254383</v>
      </c>
      <c r="AF25" s="50">
        <f>'Fixed Assets'!X22</f>
        <v>108.69968695888009</v>
      </c>
      <c r="AG25" s="50">
        <f>'Fixed Assets'!Y22</f>
        <v>102.18275574302017</v>
      </c>
      <c r="AH25" s="50">
        <f>'Fixed Assets'!Z22</f>
        <v>97.563724140604336</v>
      </c>
      <c r="AI25" s="50">
        <f>'Fixed Assets'!AA22</f>
        <v>94.618196453507508</v>
      </c>
    </row>
    <row r="26" spans="1:37">
      <c r="B26" s="5" t="s">
        <v>381</v>
      </c>
      <c r="F26" s="30">
        <f>F23/F$10</f>
        <v>4.9637873167284935E-2</v>
      </c>
      <c r="G26" s="30">
        <f t="shared" ref="G26:Q26" si="27">G23/G$10</f>
        <v>4.3952666359305365E-2</v>
      </c>
      <c r="H26" s="30">
        <f t="shared" si="27"/>
        <v>4.1954103899760661E-2</v>
      </c>
      <c r="I26" s="30">
        <f t="shared" si="27"/>
        <v>4.0429150856993328E-2</v>
      </c>
      <c r="J26" s="30">
        <f t="shared" si="27"/>
        <v>4.0299227799227802E-2</v>
      </c>
      <c r="K26" s="30">
        <f t="shared" si="27"/>
        <v>5.6384248210023864E-2</v>
      </c>
      <c r="L26" s="30">
        <f>L23/L$10</f>
        <v>6.8453886359804414E-2</v>
      </c>
      <c r="M26" s="30">
        <f t="shared" si="27"/>
        <v>7.0401586514625678E-2</v>
      </c>
      <c r="N26" s="30">
        <f t="shared" si="27"/>
        <v>5.3392658509454953E-2</v>
      </c>
      <c r="O26" s="30">
        <f t="shared" si="27"/>
        <v>2.7023025098097283E-2</v>
      </c>
      <c r="P26" s="30">
        <f t="shared" si="27"/>
        <v>2.052980132450331E-2</v>
      </c>
      <c r="Q26" s="30">
        <f t="shared" si="27"/>
        <v>1.7508935438628241E-2</v>
      </c>
      <c r="R26" s="30">
        <f t="shared" ref="R26:W26" si="28">R23/R$10</f>
        <v>-4.2159422515742589E-2</v>
      </c>
      <c r="S26" s="30">
        <f t="shared" si="28"/>
        <v>1.4414114513981358E-2</v>
      </c>
      <c r="T26" s="30">
        <f t="shared" si="28"/>
        <v>1.3625220911008495E-2</v>
      </c>
      <c r="U26" s="30">
        <f t="shared" si="28"/>
        <v>1.3805903740052377E-2</v>
      </c>
      <c r="V26" s="30">
        <f t="shared" si="28"/>
        <v>-2.8437202124279425E-2</v>
      </c>
      <c r="W26" s="30">
        <f t="shared" si="28"/>
        <v>1.4312303446505359E-2</v>
      </c>
      <c r="X26" s="30">
        <f>X23/X$10</f>
        <v>-2.3147464952039634E-2</v>
      </c>
      <c r="Y26" s="30">
        <f t="shared" ref="Y26:AI26" si="29">Y23/Y$10</f>
        <v>9.0078844993654959E-3</v>
      </c>
      <c r="Z26" s="30">
        <f t="shared" si="29"/>
        <v>8.4989865225276479E-3</v>
      </c>
      <c r="AA26" s="30">
        <f t="shared" si="29"/>
        <v>8.2519034086591791E-3</v>
      </c>
      <c r="AB26" s="30">
        <f t="shared" si="29"/>
        <v>-1.6066162328503653E-2</v>
      </c>
      <c r="AC26" s="30">
        <f t="shared" si="29"/>
        <v>7.2841697244210232E-3</v>
      </c>
      <c r="AD26" s="30">
        <f t="shared" si="29"/>
        <v>-1.5952572425694974E-3</v>
      </c>
      <c r="AE26" s="30">
        <f t="shared" si="29"/>
        <v>-1.397011506638841E-3</v>
      </c>
      <c r="AF26" s="30">
        <f t="shared" si="29"/>
        <v>-1.4872190184986717E-3</v>
      </c>
      <c r="AG26" s="30">
        <f>AG23/AG$10</f>
        <v>-1.532991182616862E-3</v>
      </c>
      <c r="AH26" s="30">
        <f t="shared" si="29"/>
        <v>-4.5205869453143633E-3</v>
      </c>
      <c r="AI26" s="30">
        <f t="shared" si="29"/>
        <v>-4.5229903034094462E-3</v>
      </c>
    </row>
    <row r="28" spans="1:37">
      <c r="B28" t="s">
        <v>389</v>
      </c>
      <c r="F28" s="19">
        <f>-1*'Cash Flow Statement'!B31</f>
        <v>298</v>
      </c>
      <c r="G28" s="19">
        <f>('Cash Flow Statement'!C31-'Cash Flow Statement'!B31)*-1</f>
        <v>183</v>
      </c>
      <c r="H28" s="19">
        <f>('Cash Flow Statement'!D31-'Cash Flow Statement'!C31)*-1</f>
        <v>222</v>
      </c>
      <c r="I28" s="19">
        <f>('Cash Flow Statement'!E31-'Cash Flow Statement'!D31)*-1</f>
        <v>273</v>
      </c>
      <c r="J28" s="19">
        <f>-1*'Cash Flow Statement'!F31</f>
        <v>361</v>
      </c>
      <c r="K28" s="19">
        <f>('Cash Flow Statement'!G31-'Cash Flow Statement'!F31)*-1</f>
        <v>433</v>
      </c>
      <c r="L28" s="19">
        <f>('Cash Flow Statement'!H31-'Cash Flow Statement'!G31)*-1</f>
        <v>530</v>
      </c>
      <c r="M28" s="19">
        <f>('Cash Flow Statement'!I31-'Cash Flow Statement'!H31)*-1</f>
        <v>509</v>
      </c>
      <c r="N28" s="19">
        <f>-1*'Cash Flow Statement'!J31</f>
        <v>248</v>
      </c>
      <c r="O28" s="19">
        <f>('Cash Flow Statement'!K31-'Cash Flow Statement'!J31)*-1</f>
        <v>289</v>
      </c>
      <c r="P28" s="19">
        <f>('Cash Flow Statement'!L31-'Cash Flow Statement'!K31)*-1</f>
        <v>278</v>
      </c>
      <c r="Q28" s="19">
        <f>('Cash Flow Statement'!M31-'Cash Flow Statement'!L31)*-1</f>
        <v>254</v>
      </c>
      <c r="R28" s="19">
        <f>('Cash Flow Statement'!N31-'Cash Flow Statement'!M31)*-1</f>
        <v>-700</v>
      </c>
      <c r="S28" s="19">
        <f>('Cash Flow Statement'!O31-'Cash Flow Statement'!N31)*-1</f>
        <v>977</v>
      </c>
      <c r="T28" s="19">
        <f>('Cash Flow Statement'!P31-'Cash Flow Statement'!O31)*-1</f>
        <v>813</v>
      </c>
      <c r="U28" s="19">
        <f>('Cash Flow Statement'!Q31-'Cash Flow Statement'!P31)*-1</f>
        <v>1077</v>
      </c>
      <c r="V28" s="19">
        <f>('Cash Flow Statement'!R31-'Cash Flow Statement'!Q31)*-1</f>
        <v>-2009</v>
      </c>
      <c r="W28" s="19">
        <f>('Cash Flow Statement'!S31-'Cash Flow Statement'!R31)*-1</f>
        <v>1895</v>
      </c>
      <c r="X28" s="81">
        <f>'Fixed Assets'!P9</f>
        <v>-1187</v>
      </c>
      <c r="Y28" s="81">
        <f>'Fixed Assets'!Q9</f>
        <v>1131</v>
      </c>
      <c r="Z28" s="81">
        <f>'Fixed Assets'!R9</f>
        <v>755</v>
      </c>
      <c r="AA28" s="81">
        <f>'Fixed Assets'!S9</f>
        <v>1337</v>
      </c>
      <c r="AB28" s="81">
        <f>'Fixed Assets'!T9</f>
        <v>-544</v>
      </c>
      <c r="AC28" s="81">
        <f>'Fixed Assets'!U9</f>
        <v>2531</v>
      </c>
      <c r="AD28" s="81">
        <f>'Fixed Assets'!V9</f>
        <v>-2029.1707918708171</v>
      </c>
      <c r="AE28" s="81">
        <f>'Fixed Assets'!W9</f>
        <v>-212.1273025193932</v>
      </c>
      <c r="AF28" s="81">
        <f>'Fixed Assets'!X9</f>
        <v>914.07333577486952</v>
      </c>
      <c r="AG28" s="81">
        <f>'Fixed Assets'!Y9</f>
        <v>1069.2461802194739</v>
      </c>
      <c r="AH28" s="131">
        <v>4159</v>
      </c>
      <c r="AI28" s="131">
        <v>5115</v>
      </c>
      <c r="AK28" s="49"/>
    </row>
    <row r="29" spans="1:37">
      <c r="B29" s="5" t="s">
        <v>381</v>
      </c>
      <c r="F29" s="30">
        <f>F28/F$10</f>
        <v>5.2640876170287933E-2</v>
      </c>
      <c r="G29" s="30">
        <f t="shared" ref="G29:P29" si="30">G28/G$10</f>
        <v>2.8123559243891195E-2</v>
      </c>
      <c r="H29" s="30">
        <f t="shared" si="30"/>
        <v>3.1254399549486132E-2</v>
      </c>
      <c r="I29" s="30">
        <f t="shared" si="30"/>
        <v>3.5718958524139734E-2</v>
      </c>
      <c r="J29" s="30">
        <f t="shared" si="30"/>
        <v>4.355694980694981E-2</v>
      </c>
      <c r="K29" s="30">
        <f t="shared" si="30"/>
        <v>6.4588305489260145E-2</v>
      </c>
      <c r="L29" s="30">
        <f t="shared" si="30"/>
        <v>8.9360984656887535E-2</v>
      </c>
      <c r="M29" s="30">
        <f t="shared" si="30"/>
        <v>8.4118327549165428E-2</v>
      </c>
      <c r="N29" s="30">
        <f t="shared" si="30"/>
        <v>3.4482758620689655E-2</v>
      </c>
      <c r="O29" s="30">
        <f t="shared" si="30"/>
        <v>2.1396313022877027E-2</v>
      </c>
      <c r="P29" s="30">
        <f t="shared" si="30"/>
        <v>1.5342163355408389E-2</v>
      </c>
      <c r="Q29" s="30">
        <f t="shared" ref="Q29" si="31">Q28/Q$10</f>
        <v>1.149165271682577E-2</v>
      </c>
      <c r="R29" s="30">
        <f t="shared" ref="R29:W29" si="32">R28/R$10</f>
        <v>-2.6877591767777608E-2</v>
      </c>
      <c r="S29" s="30">
        <f t="shared" si="32"/>
        <v>3.2523302263648468E-2</v>
      </c>
      <c r="T29" s="30">
        <f t="shared" si="32"/>
        <v>2.3174277407217378E-2</v>
      </c>
      <c r="U29" s="30">
        <f t="shared" si="32"/>
        <v>2.7382980346291729E-2</v>
      </c>
      <c r="V29" s="30">
        <f t="shared" si="32"/>
        <v>-4.5594843629431253E-2</v>
      </c>
      <c r="W29" s="30">
        <f t="shared" si="32"/>
        <v>4.0540829642941187E-2</v>
      </c>
      <c r="X29" s="30">
        <f>X28/X$10</f>
        <v>-2.5023716664909875E-2</v>
      </c>
      <c r="Y29" s="30">
        <f t="shared" ref="Y29:AG29" si="33">Y28/Y$10</f>
        <v>2.3528677526056294E-2</v>
      </c>
      <c r="Z29" s="30">
        <f t="shared" si="33"/>
        <v>1.3424131432025888E-2</v>
      </c>
      <c r="AA29" s="30">
        <f t="shared" si="33"/>
        <v>2.0318222573438901E-2</v>
      </c>
      <c r="AB29" s="30">
        <f t="shared" si="33"/>
        <v>-6.9752532375945637E-3</v>
      </c>
      <c r="AC29" s="30">
        <f t="shared" si="33"/>
        <v>2.7557897716755767E-2</v>
      </c>
      <c r="AD29" s="30">
        <f t="shared" si="33"/>
        <v>-1.7974283541679442E-2</v>
      </c>
      <c r="AE29" s="30">
        <f t="shared" si="33"/>
        <v>-1.5231699004027745E-3</v>
      </c>
      <c r="AF29" s="30">
        <f t="shared" si="33"/>
        <v>5.3203497865329675E-3</v>
      </c>
      <c r="AG29" s="30">
        <f t="shared" si="33"/>
        <v>5.0599155781100146E-3</v>
      </c>
      <c r="AH29" s="30">
        <f t="shared" ref="AH29" si="34">AH28/AH$10</f>
        <v>1.6000954132393563E-2</v>
      </c>
      <c r="AI29" s="30">
        <f t="shared" ref="AI29" si="35">AI28/AI$10</f>
        <v>1.5999374413512669E-2</v>
      </c>
    </row>
    <row r="30" spans="1:37">
      <c r="X30" s="2"/>
      <c r="Y30" s="23"/>
      <c r="Z30" s="23">
        <f>SUM(X28:AA28)</f>
        <v>2036</v>
      </c>
      <c r="AA30" s="23"/>
      <c r="AB30" s="2"/>
      <c r="AC30" s="2"/>
      <c r="AD30" s="2"/>
      <c r="AE30" s="2"/>
      <c r="AF30" s="2"/>
      <c r="AG30" s="2"/>
    </row>
    <row r="31" spans="1:37">
      <c r="B31" t="s">
        <v>390</v>
      </c>
      <c r="F31" s="19">
        <f>'Working Capital'!E18</f>
        <v>887</v>
      </c>
      <c r="G31" s="19">
        <f>'Working Capital'!F18</f>
        <v>249</v>
      </c>
      <c r="H31" s="19">
        <f>'Working Capital'!G18</f>
        <v>192</v>
      </c>
      <c r="I31" s="19">
        <f>'Working Capital'!H18</f>
        <v>390</v>
      </c>
      <c r="J31" s="19">
        <f>'Working Capital'!I18</f>
        <v>389</v>
      </c>
      <c r="K31" s="19">
        <f>'Working Capital'!J18</f>
        <v>382</v>
      </c>
      <c r="L31" s="19">
        <f>'Working Capital'!K18</f>
        <v>417</v>
      </c>
      <c r="M31" s="19">
        <f>'Working Capital'!L18</f>
        <v>-10</v>
      </c>
      <c r="N31" s="19">
        <f>'Working Capital'!M18</f>
        <v>-911</v>
      </c>
      <c r="O31" s="19">
        <f>'Working Capital'!N18</f>
        <v>136</v>
      </c>
      <c r="P31" s="19">
        <f>'Working Capital'!O18</f>
        <v>2836</v>
      </c>
      <c r="Q31" s="19">
        <f>'Working Capital'!P18</f>
        <v>2455</v>
      </c>
      <c r="R31" s="19">
        <f>'Working Capital'!Q18</f>
        <v>-662</v>
      </c>
      <c r="S31" s="19">
        <f>'Working Capital'!R18</f>
        <v>2546</v>
      </c>
      <c r="T31" s="19">
        <f>'Working Capital'!S18</f>
        <v>1810</v>
      </c>
      <c r="U31" s="19">
        <f>'Working Capital'!T18</f>
        <v>6195</v>
      </c>
      <c r="V31" s="19">
        <f>'Working Capital'!U18</f>
        <v>-9167</v>
      </c>
      <c r="W31" s="19">
        <f>'Working Capital'!V18</f>
        <v>11469</v>
      </c>
      <c r="X31" s="81">
        <f>'Working Capital'!W18</f>
        <v>3103.9945920409045</v>
      </c>
      <c r="Y31" s="81">
        <f>'Working Capital'!X18</f>
        <v>1800.5351617299712</v>
      </c>
      <c r="Z31" s="81">
        <f>'Working Capital'!Y18</f>
        <v>5610.1649830756287</v>
      </c>
      <c r="AA31" s="81">
        <f>'Working Capital'!Z18</f>
        <v>6897.4760765848478</v>
      </c>
      <c r="AB31" s="81">
        <f>'Working Capital'!AA18</f>
        <v>7642.9833772481361</v>
      </c>
      <c r="AC31" s="81">
        <f>'Working Capital'!AB18</f>
        <v>9833.4585632552044</v>
      </c>
      <c r="AD31" s="81">
        <f>'Working Capital'!AC18</f>
        <v>15104.070003685483</v>
      </c>
      <c r="AE31" s="81">
        <f>'Working Capital'!AD18</f>
        <v>18143.239451904141</v>
      </c>
      <c r="AF31" s="81">
        <f>'Working Capital'!AE18</f>
        <v>22608.622066453463</v>
      </c>
      <c r="AG31" s="81">
        <f>'Working Capital'!AF18</f>
        <v>27169.624868366824</v>
      </c>
      <c r="AH31" s="131">
        <v>21313</v>
      </c>
      <c r="AI31" s="131">
        <v>26215</v>
      </c>
    </row>
    <row r="32" spans="1:37">
      <c r="B32" s="5" t="s">
        <v>381</v>
      </c>
      <c r="F32" s="30">
        <f>F31/F$10</f>
        <v>0.15668609786256846</v>
      </c>
      <c r="G32" s="30">
        <f t="shared" ref="G32:Q32" si="36">G31/G$10</f>
        <v>3.8266482249884742E-2</v>
      </c>
      <c r="H32" s="30">
        <f t="shared" si="36"/>
        <v>2.7030832042798818E-2</v>
      </c>
      <c r="I32" s="30">
        <f t="shared" si="36"/>
        <v>5.102708360591391E-2</v>
      </c>
      <c r="J32" s="30">
        <f t="shared" si="36"/>
        <v>4.6935328185328189E-2</v>
      </c>
      <c r="K32" s="30">
        <f t="shared" si="36"/>
        <v>5.6980906921241053E-2</v>
      </c>
      <c r="L32" s="30">
        <f t="shared" si="36"/>
        <v>7.0308548305513405E-2</v>
      </c>
      <c r="M32" s="30">
        <f t="shared" si="36"/>
        <v>-1.6526194017517765E-3</v>
      </c>
      <c r="N32" s="30">
        <f t="shared" si="36"/>
        <v>-0.12666852057842046</v>
      </c>
      <c r="O32" s="30">
        <f t="shared" si="36"/>
        <v>1.0068853187236248E-2</v>
      </c>
      <c r="P32" s="30">
        <f t="shared" si="36"/>
        <v>0.15651214128035321</v>
      </c>
      <c r="Q32" s="30">
        <f t="shared" si="36"/>
        <v>0.11107089535357191</v>
      </c>
      <c r="R32" s="30">
        <f t="shared" ref="R32:V32" si="37">R31/R$10</f>
        <v>-2.5418522500383966E-2</v>
      </c>
      <c r="S32" s="30">
        <f t="shared" si="37"/>
        <v>8.4753661784287615E-2</v>
      </c>
      <c r="T32" s="30">
        <f t="shared" si="37"/>
        <v>5.15934097257853E-2</v>
      </c>
      <c r="U32" s="30">
        <f t="shared" si="37"/>
        <v>0.15750934377463069</v>
      </c>
      <c r="V32" s="30">
        <f t="shared" si="37"/>
        <v>-0.20804775089646407</v>
      </c>
      <c r="W32" s="30">
        <f>W31/W$10</f>
        <v>0.24536294204479814</v>
      </c>
      <c r="X32" s="30">
        <f>X31/X$10</f>
        <v>6.5436799663558656E-2</v>
      </c>
      <c r="Y32" s="30">
        <f t="shared" ref="Y32:AG32" si="38">Y31/Y$10</f>
        <v>3.7457304327736612E-2</v>
      </c>
      <c r="Z32" s="30">
        <f t="shared" si="38"/>
        <v>9.9750453096896063E-2</v>
      </c>
      <c r="AA32" s="30">
        <f>AA31/AA$10</f>
        <v>0.10482008535454079</v>
      </c>
      <c r="AB32" s="30">
        <f t="shared" si="38"/>
        <v>9.7999530417337305E-2</v>
      </c>
      <c r="AC32" s="30">
        <f t="shared" si="38"/>
        <v>0.10706813326279851</v>
      </c>
      <c r="AD32" s="30">
        <f t="shared" si="38"/>
        <v>0.13379102339104712</v>
      </c>
      <c r="AE32" s="30">
        <f t="shared" si="38"/>
        <v>0.1302766588775815</v>
      </c>
      <c r="AF32" s="30">
        <f t="shared" si="38"/>
        <v>0.13159313687133506</v>
      </c>
      <c r="AG32" s="30">
        <f t="shared" si="38"/>
        <v>0.12857283071578163</v>
      </c>
      <c r="AH32" s="30">
        <f t="shared" ref="AH32" si="39">AH31/AH$10</f>
        <v>8.1997676225944713E-2</v>
      </c>
      <c r="AI32" s="30">
        <f t="shared" ref="AI32" si="40">AI31/AI$10</f>
        <v>8.1998748827025333E-2</v>
      </c>
    </row>
    <row r="33" spans="1:35">
      <c r="B33" s="5" t="s">
        <v>391</v>
      </c>
      <c r="G33" s="30">
        <f t="shared" ref="G33:Q33" si="41">G31/(G10-F10)</f>
        <v>0.29432624113475175</v>
      </c>
      <c r="H33" s="30">
        <f t="shared" si="41"/>
        <v>0.32214765100671139</v>
      </c>
      <c r="I33" s="30">
        <f t="shared" si="41"/>
        <v>0.72222222222222221</v>
      </c>
      <c r="J33" s="30">
        <f t="shared" si="41"/>
        <v>0.60310077519379846</v>
      </c>
      <c r="K33" s="30">
        <f t="shared" si="41"/>
        <v>-0.24116161616161616</v>
      </c>
      <c r="L33" s="30">
        <f t="shared" si="41"/>
        <v>-0.5394566623544631</v>
      </c>
      <c r="M33" s="30">
        <f t="shared" si="41"/>
        <v>-8.3333333333333329E-2</v>
      </c>
      <c r="N33" s="30">
        <f t="shared" si="41"/>
        <v>-0.79842243645924627</v>
      </c>
      <c r="O33" s="30">
        <f t="shared" si="41"/>
        <v>2.1536025336500397E-2</v>
      </c>
      <c r="P33" s="30">
        <f t="shared" si="41"/>
        <v>0.61478430522436589</v>
      </c>
      <c r="Q33" s="30">
        <f t="shared" si="41"/>
        <v>0.61636957067537035</v>
      </c>
      <c r="R33" s="30">
        <f>R31/(R10-Q10)</f>
        <v>-0.16797767064196906</v>
      </c>
      <c r="S33" s="30">
        <f t="shared" ref="S33" si="42">S31/(S10-R10)</f>
        <v>0.63713713713713716</v>
      </c>
      <c r="T33" s="30">
        <f t="shared" ref="T33" si="43">T31/(T10-S10)</f>
        <v>0.35898452994843316</v>
      </c>
      <c r="U33" s="30">
        <f>U31/(U10-T10)</f>
        <v>1.457990115321252</v>
      </c>
      <c r="V33" s="30">
        <f>V31/(V10-U10)</f>
        <v>-1.9376453181145634</v>
      </c>
      <c r="W33" s="30">
        <f>W31/(W10-V10)</f>
        <v>4.2778813875419619</v>
      </c>
      <c r="X33" s="30">
        <f t="shared" ref="X33:AG33" si="44">X31/(X10-W10)</f>
        <v>4.4855413179781856</v>
      </c>
      <c r="Y33" s="30">
        <f t="shared" si="44"/>
        <v>2.8399608229179356</v>
      </c>
      <c r="Z33" s="30">
        <f t="shared" si="44"/>
        <v>0.68642664665063369</v>
      </c>
      <c r="AA33" s="30">
        <f t="shared" si="44"/>
        <v>0.72141785133195768</v>
      </c>
      <c r="AB33" s="30">
        <f t="shared" si="44"/>
        <v>0.62714231371528151</v>
      </c>
      <c r="AC33" s="30">
        <f t="shared" si="44"/>
        <v>0.70984325151629279</v>
      </c>
      <c r="AD33" s="30">
        <f t="shared" si="44"/>
        <v>0.71753301680216075</v>
      </c>
      <c r="AE33" s="30">
        <f t="shared" si="44"/>
        <v>0.68792141699795784</v>
      </c>
      <c r="AF33" s="30">
        <f t="shared" si="44"/>
        <v>0.69479477770293374</v>
      </c>
      <c r="AG33" s="30">
        <f t="shared" si="44"/>
        <v>0.68766451198093703</v>
      </c>
      <c r="AH33" s="30">
        <f t="shared" ref="AH33:AI33" si="45">AH31/(AH10-AG10)</f>
        <v>0.43849398210060692</v>
      </c>
      <c r="AI33" s="30">
        <f t="shared" si="45"/>
        <v>0.43853926193582926</v>
      </c>
    </row>
    <row r="35" spans="1:35">
      <c r="B35" s="154" t="s">
        <v>392</v>
      </c>
      <c r="C35" s="152"/>
      <c r="D35" s="152"/>
      <c r="E35" s="152"/>
      <c r="F35" s="152" t="s">
        <v>54</v>
      </c>
      <c r="G35" s="152" t="str">
        <f>IF(MID(F35,2,1)="4","Q1 "&amp;RIGHT(F35,4)+1, "Q"&amp;MID(F35,2,1)+1&amp;" "&amp;RIGHT(F35,4))</f>
        <v>Q2 2022</v>
      </c>
      <c r="H35" s="152" t="str">
        <f t="shared" ref="H35:P35" si="46">IF(MID(G35,2,1)="4","Q1 "&amp;RIGHT(G35,4)+1, "Q"&amp;MID(G35,2,1)+1&amp;" "&amp;RIGHT(G35,4))</f>
        <v>Q3 2022</v>
      </c>
      <c r="I35" s="152" t="str">
        <f t="shared" si="46"/>
        <v>Q4 2022</v>
      </c>
      <c r="J35" s="152" t="str">
        <f t="shared" si="46"/>
        <v>Q1 2023</v>
      </c>
      <c r="K35" s="152" t="str">
        <f t="shared" si="46"/>
        <v>Q2 2023</v>
      </c>
      <c r="L35" s="152" t="str">
        <f t="shared" si="46"/>
        <v>Q3 2023</v>
      </c>
      <c r="M35" s="152" t="str">
        <f t="shared" si="46"/>
        <v>Q4 2023</v>
      </c>
      <c r="N35" s="152" t="str">
        <f t="shared" si="46"/>
        <v>Q1 2024</v>
      </c>
      <c r="O35" s="152" t="str">
        <f t="shared" si="46"/>
        <v>Q2 2024</v>
      </c>
      <c r="P35" s="152" t="str">
        <f t="shared" si="46"/>
        <v>Q3 2024</v>
      </c>
      <c r="Q35" s="152" t="str">
        <f>IF(MID(P35,2,1)="4","Q1 "&amp;RIGHT(P35,4)+1, "Q"&amp;MID(P35,2,1)+1&amp;" "&amp;RIGHT(P35,4))</f>
        <v>Q4 2024</v>
      </c>
      <c r="R35" s="152" t="str">
        <f t="shared" ref="R35:W35" si="47">IF(MID(Q35,2,1)="4","Q1 "&amp;RIGHT(Q35,4)+1, "Q"&amp;MID(Q35,2,1)+1&amp;" "&amp;RIGHT(Q35,4))</f>
        <v>Q1 2025</v>
      </c>
      <c r="S35" s="152" t="str">
        <f t="shared" si="47"/>
        <v>Q2 2025</v>
      </c>
      <c r="T35" s="152" t="str">
        <f t="shared" si="47"/>
        <v>Q3 2025</v>
      </c>
      <c r="U35" s="152" t="str">
        <f t="shared" si="47"/>
        <v>Q4 2025</v>
      </c>
      <c r="V35" s="152" t="str">
        <f t="shared" si="47"/>
        <v>Q1 2026</v>
      </c>
      <c r="W35" s="152" t="str">
        <f t="shared" si="47"/>
        <v>Q2 2026</v>
      </c>
    </row>
    <row r="36" spans="1:35">
      <c r="B36" s="1" t="s">
        <v>393</v>
      </c>
      <c r="F36" s="100" t="s">
        <v>394</v>
      </c>
      <c r="H36" s="100"/>
      <c r="I36" s="100"/>
      <c r="K36" s="1" t="s">
        <v>395</v>
      </c>
      <c r="L36" s="1"/>
      <c r="M36" s="1"/>
      <c r="O36" s="1" t="s">
        <v>396</v>
      </c>
      <c r="P36" s="1"/>
      <c r="V36" s="53"/>
      <c r="W36" s="53"/>
    </row>
    <row r="37" spans="1:35">
      <c r="A37" s="2" t="s">
        <v>377</v>
      </c>
      <c r="B37" t="s">
        <v>81</v>
      </c>
      <c r="D37" s="160">
        <v>2</v>
      </c>
      <c r="F37" t="s">
        <v>397</v>
      </c>
      <c r="I37" s="51">
        <v>0.35</v>
      </c>
      <c r="O37" t="s">
        <v>397</v>
      </c>
      <c r="R37" s="51">
        <v>0.9</v>
      </c>
    </row>
    <row r="38" spans="1:35">
      <c r="B38" t="s">
        <v>382</v>
      </c>
      <c r="D38" s="160">
        <v>2</v>
      </c>
      <c r="F38" t="s">
        <v>398</v>
      </c>
      <c r="I38" s="56">
        <v>0.08</v>
      </c>
      <c r="K38" t="s">
        <v>398</v>
      </c>
      <c r="M38" s="56">
        <v>0.1</v>
      </c>
      <c r="O38" t="s">
        <v>398</v>
      </c>
      <c r="R38" s="56">
        <v>0.14599999999999999</v>
      </c>
    </row>
    <row r="39" spans="1:35">
      <c r="B39" t="s">
        <v>14</v>
      </c>
      <c r="D39" s="160">
        <v>2</v>
      </c>
      <c r="F39" t="s">
        <v>399</v>
      </c>
      <c r="I39" s="51">
        <v>0.4</v>
      </c>
      <c r="O39" t="s">
        <v>399</v>
      </c>
      <c r="R39" s="51">
        <v>0.56999999999999995</v>
      </c>
    </row>
    <row r="40" spans="1:35">
      <c r="B40" t="s">
        <v>400</v>
      </c>
      <c r="D40" s="160">
        <v>2</v>
      </c>
      <c r="K40" t="s">
        <v>383</v>
      </c>
      <c r="M40" s="51">
        <v>0.17</v>
      </c>
      <c r="S40" s="130"/>
      <c r="AH40" s="130"/>
    </row>
    <row r="41" spans="1:35">
      <c r="I41" s="2"/>
      <c r="M41" s="2"/>
      <c r="Q41" s="2"/>
      <c r="W41" s="15"/>
    </row>
    <row r="42" spans="1:35">
      <c r="B42" t="s">
        <v>14</v>
      </c>
      <c r="D42" s="79">
        <f>CHOOSE(D39,I42,M42,R42)</f>
        <v>0.10255876862000769</v>
      </c>
      <c r="F42" t="s">
        <v>14</v>
      </c>
      <c r="I42" s="56">
        <f>M42+0.01</f>
        <v>0.11255876862000769</v>
      </c>
      <c r="K42" t="s">
        <v>14</v>
      </c>
      <c r="M42" s="56">
        <f>WACC!F21</f>
        <v>0.10255876862000769</v>
      </c>
      <c r="O42" t="s">
        <v>14</v>
      </c>
      <c r="R42" s="56">
        <f>M42-0.01</f>
        <v>9.2558768620007698E-2</v>
      </c>
    </row>
    <row r="43" spans="1:35">
      <c r="B43" t="s">
        <v>400</v>
      </c>
      <c r="D43" s="79">
        <f>CHOOSE(D40,I43,M43,R43)</f>
        <v>3.5000000000000003E-2</v>
      </c>
      <c r="F43" t="s">
        <v>400</v>
      </c>
      <c r="I43" s="83">
        <v>0.03</v>
      </c>
      <c r="K43" t="s">
        <v>400</v>
      </c>
      <c r="M43" s="83">
        <v>3.5000000000000003E-2</v>
      </c>
      <c r="O43" t="s">
        <v>400</v>
      </c>
      <c r="R43" s="83">
        <v>0.04</v>
      </c>
    </row>
    <row r="44" spans="1:35">
      <c r="B44" s="157"/>
      <c r="C44" s="157"/>
      <c r="D44" s="158"/>
      <c r="E44" s="157"/>
      <c r="F44" s="157"/>
      <c r="G44" s="157"/>
      <c r="H44" s="159"/>
      <c r="I44" s="157" t="s">
        <v>401</v>
      </c>
      <c r="J44" s="157"/>
      <c r="K44" s="157"/>
      <c r="L44" s="159"/>
      <c r="M44" s="157"/>
      <c r="N44" s="157"/>
      <c r="O44" s="157"/>
      <c r="P44" s="159"/>
      <c r="Q44" s="157"/>
    </row>
    <row r="45" spans="1:35">
      <c r="D45" s="98"/>
      <c r="H45" s="99"/>
      <c r="L45" s="99"/>
      <c r="P45" s="99"/>
    </row>
    <row r="46" spans="1:35">
      <c r="D46" s="98"/>
      <c r="H46" s="99"/>
      <c r="L46" s="99"/>
      <c r="P46" s="99"/>
    </row>
    <row r="47" spans="1:35">
      <c r="B47" s="154" t="s">
        <v>369</v>
      </c>
      <c r="C47" s="152"/>
      <c r="D47" s="152"/>
      <c r="E47" s="152"/>
      <c r="F47" s="152" t="s">
        <v>54</v>
      </c>
      <c r="G47" s="152" t="str">
        <f>IF(MID(F47,2,1)="4","Q1 "&amp;RIGHT(F47,4)+1, "Q"&amp;MID(F47,2,1)+1&amp;" "&amp;RIGHT(F47,4))</f>
        <v>Q2 2022</v>
      </c>
      <c r="H47" s="152" t="str">
        <f t="shared" ref="H47:P47" si="48">IF(MID(G47,2,1)="4","Q1 "&amp;RIGHT(G47,4)+1, "Q"&amp;MID(G47,2,1)+1&amp;" "&amp;RIGHT(G47,4))</f>
        <v>Q3 2022</v>
      </c>
      <c r="I47" s="152" t="str">
        <f t="shared" si="48"/>
        <v>Q4 2022</v>
      </c>
      <c r="J47" s="152" t="str">
        <f t="shared" si="48"/>
        <v>Q1 2023</v>
      </c>
      <c r="K47" s="152" t="str">
        <f t="shared" si="48"/>
        <v>Q2 2023</v>
      </c>
      <c r="L47" s="152" t="str">
        <f t="shared" si="48"/>
        <v>Q3 2023</v>
      </c>
      <c r="M47" s="152" t="str">
        <f t="shared" si="48"/>
        <v>Q4 2023</v>
      </c>
      <c r="N47" s="152" t="str">
        <f t="shared" si="48"/>
        <v>Q1 2024</v>
      </c>
      <c r="O47" s="152" t="str">
        <f t="shared" si="48"/>
        <v>Q2 2024</v>
      </c>
      <c r="P47" s="152" t="str">
        <f t="shared" si="48"/>
        <v>Q3 2024</v>
      </c>
      <c r="Q47" s="152" t="str">
        <f>IF(MID(P47,2,1)="4","Q1 "&amp;RIGHT(P47,4)+1, "Q"&amp;MID(P47,2,1)+1&amp;" "&amp;RIGHT(P47,4))</f>
        <v>Q4 2024</v>
      </c>
      <c r="R47" s="152" t="str">
        <f t="shared" ref="R47:W47" si="49">IF(MID(Q47,2,1)="4","Q1 "&amp;RIGHT(Q47,4)+1, "Q"&amp;MID(Q47,2,1)+1&amp;" "&amp;RIGHT(Q47,4))</f>
        <v>Q1 2025</v>
      </c>
      <c r="S47" s="152" t="str">
        <f t="shared" si="49"/>
        <v>Q2 2025</v>
      </c>
      <c r="T47" s="152" t="str">
        <f t="shared" si="49"/>
        <v>Q3 2025</v>
      </c>
      <c r="U47" s="152" t="str">
        <f t="shared" si="49"/>
        <v>Q4 2025</v>
      </c>
      <c r="V47" s="152" t="str">
        <f t="shared" si="49"/>
        <v>Q1 2026</v>
      </c>
      <c r="W47" s="152" t="str">
        <f t="shared" si="49"/>
        <v>Q2 2026</v>
      </c>
      <c r="X47" s="113" t="str">
        <f>IF(MID(W35,2,1)="4","Q1 "&amp;RIGHT(W35,4)+1, "Q"&amp;MID(W35,2,1)+1&amp;" "&amp;RIGHT(W35,4))</f>
        <v>Q3 2026</v>
      </c>
      <c r="Y47" s="113" t="str">
        <f t="shared" ref="Y47:AG47" si="50">IF(MID(X47,2,1)="4","Q1 "&amp;RIGHT(X47,4)+1, "Q"&amp;MID(X47,2,1)+1&amp;" "&amp;RIGHT(X47,4))</f>
        <v>Q4 2026</v>
      </c>
      <c r="Z47" s="113" t="str">
        <f t="shared" si="50"/>
        <v>Q1 2027</v>
      </c>
      <c r="AA47" s="113" t="str">
        <f t="shared" si="50"/>
        <v>Q2 2027</v>
      </c>
      <c r="AB47" s="113" t="str">
        <f t="shared" si="50"/>
        <v>Q3 2027</v>
      </c>
      <c r="AC47" s="113" t="str">
        <f t="shared" si="50"/>
        <v>Q4 2027</v>
      </c>
      <c r="AD47" s="113" t="str">
        <f t="shared" si="50"/>
        <v>Q1 2028</v>
      </c>
      <c r="AE47" s="113" t="str">
        <f t="shared" si="50"/>
        <v>Q2 2028</v>
      </c>
      <c r="AF47" s="113" t="str">
        <f t="shared" si="50"/>
        <v>Q3 2028</v>
      </c>
      <c r="AG47" s="113" t="str">
        <f t="shared" si="50"/>
        <v>Q4 2028</v>
      </c>
      <c r="AH47" s="128">
        <v>2029</v>
      </c>
      <c r="AI47" s="128">
        <v>2030</v>
      </c>
    </row>
    <row r="48" spans="1:35">
      <c r="B48" t="s">
        <v>81</v>
      </c>
      <c r="F48" s="59" t="str">
        <f t="shared" ref="F48:P48" si="51">F10</f>
        <v>5,661</v>
      </c>
      <c r="G48" s="59" t="str">
        <f t="shared" si="51"/>
        <v>6,507</v>
      </c>
      <c r="H48" s="59">
        <f t="shared" si="51"/>
        <v>7103</v>
      </c>
      <c r="I48" s="59">
        <f t="shared" si="51"/>
        <v>7643</v>
      </c>
      <c r="J48" s="59">
        <f t="shared" si="51"/>
        <v>8288</v>
      </c>
      <c r="K48" s="59" t="str">
        <f t="shared" si="51"/>
        <v>6,704</v>
      </c>
      <c r="L48" s="59" t="str">
        <f t="shared" si="51"/>
        <v>5,931</v>
      </c>
      <c r="M48" s="59">
        <f t="shared" si="51"/>
        <v>6051</v>
      </c>
      <c r="N48" s="59">
        <f t="shared" si="51"/>
        <v>7192</v>
      </c>
      <c r="O48" s="59">
        <f t="shared" si="51"/>
        <v>13507</v>
      </c>
      <c r="P48" s="59">
        <f t="shared" si="51"/>
        <v>18120</v>
      </c>
      <c r="Q48" s="59">
        <f>Q10</f>
        <v>22103</v>
      </c>
      <c r="R48" s="59">
        <f t="shared" ref="R48:W48" si="52">R10</f>
        <v>26044</v>
      </c>
      <c r="S48" s="59">
        <f t="shared" si="52"/>
        <v>30040</v>
      </c>
      <c r="T48" s="59">
        <f t="shared" si="52"/>
        <v>35082</v>
      </c>
      <c r="U48" s="59">
        <f t="shared" si="52"/>
        <v>39331</v>
      </c>
      <c r="V48" s="59">
        <f>V10</f>
        <v>44062</v>
      </c>
      <c r="W48" s="59">
        <f t="shared" si="52"/>
        <v>46743</v>
      </c>
      <c r="X48" s="132">
        <f ca="1">W48*(1+X49)</f>
        <v>51065.611953128537</v>
      </c>
      <c r="Y48" s="132">
        <f t="shared" ref="Y48:AF48" ca="1" si="53">X48*(1+Y49)</f>
        <v>55195.778853549295</v>
      </c>
      <c r="Z48" s="132">
        <f t="shared" ca="1" si="53"/>
        <v>60239.531059132241</v>
      </c>
      <c r="AA48" s="132">
        <f t="shared" ca="1" si="53"/>
        <v>64481.781341899288</v>
      </c>
      <c r="AB48" s="132">
        <f t="shared" ca="1" si="53"/>
        <v>63741.608062253988</v>
      </c>
      <c r="AC48" s="132">
        <f t="shared" ca="1" si="53"/>
        <v>68779.720852372979</v>
      </c>
      <c r="AD48" s="132">
        <f t="shared" ca="1" si="53"/>
        <v>70894.501651359533</v>
      </c>
      <c r="AE48" s="132">
        <f t="shared" ca="1" si="53"/>
        <v>73009.282450346087</v>
      </c>
      <c r="AF48" s="132">
        <f t="shared" ca="1" si="53"/>
        <v>82763.886949683132</v>
      </c>
      <c r="AG48" s="132">
        <f ca="1">AF48*(1+AG49)</f>
        <v>93130.109172724609</v>
      </c>
      <c r="AH48" s="23">
        <v>259922</v>
      </c>
      <c r="AI48" s="23">
        <v>319700</v>
      </c>
    </row>
    <row r="49" spans="1:35">
      <c r="A49" s="2" t="s">
        <v>377</v>
      </c>
      <c r="B49" s="5" t="s">
        <v>379</v>
      </c>
      <c r="G49" s="30">
        <f>G11</f>
        <v>0.14944356120826718</v>
      </c>
      <c r="H49" s="30">
        <f t="shared" ref="H49:W49" si="54">H11</f>
        <v>9.1593668357153879E-2</v>
      </c>
      <c r="I49" s="30">
        <f t="shared" si="54"/>
        <v>7.6024215120371608E-2</v>
      </c>
      <c r="J49" s="30">
        <f t="shared" si="54"/>
        <v>8.4390945963626951E-2</v>
      </c>
      <c r="K49" s="30">
        <f t="shared" si="54"/>
        <v>-0.19111969111969107</v>
      </c>
      <c r="L49" s="30">
        <f t="shared" si="54"/>
        <v>-0.11530429594272074</v>
      </c>
      <c r="M49" s="30">
        <f t="shared" si="54"/>
        <v>2.0232675771370667E-2</v>
      </c>
      <c r="N49" s="30">
        <f t="shared" si="54"/>
        <v>0.1885638737398776</v>
      </c>
      <c r="O49" s="30">
        <f t="shared" si="54"/>
        <v>0.87805895439377091</v>
      </c>
      <c r="P49" s="30">
        <f t="shared" si="54"/>
        <v>0.34152661582882948</v>
      </c>
      <c r="Q49" s="30">
        <f t="shared" si="54"/>
        <v>0.21981236203090515</v>
      </c>
      <c r="R49" s="30">
        <f>R11</f>
        <v>0.17830158801972584</v>
      </c>
      <c r="S49" s="30">
        <f t="shared" si="54"/>
        <v>0.1534326524343419</v>
      </c>
      <c r="T49" s="30">
        <f t="shared" si="54"/>
        <v>0.16784287616511318</v>
      </c>
      <c r="U49" s="30">
        <f t="shared" si="54"/>
        <v>0.12111624194743742</v>
      </c>
      <c r="V49" s="30">
        <f t="shared" si="54"/>
        <v>0.12028679667437903</v>
      </c>
      <c r="W49" s="30">
        <f t="shared" si="54"/>
        <v>6.0846080522899637E-2</v>
      </c>
      <c r="X49" s="30">
        <f ca="1">OFFSET(X49,$D$37,0)</f>
        <v>9.2476134461385404E-2</v>
      </c>
      <c r="Y49" s="30">
        <f t="shared" ref="Y49:AE49" ca="1" si="55">OFFSET(Y49,$D$37,0)</f>
        <v>8.0879612374207932E-2</v>
      </c>
      <c r="Z49" s="30">
        <f t="shared" ca="1" si="55"/>
        <v>9.1379310344827505E-2</v>
      </c>
      <c r="AA49" s="30">
        <f t="shared" ca="1" si="55"/>
        <v>7.0423029664735903E-2</v>
      </c>
      <c r="AB49" s="30">
        <f t="shared" ca="1" si="55"/>
        <v>-1.1478797022072107E-2</v>
      </c>
      <c r="AC49" s="30">
        <f t="shared" ca="1" si="55"/>
        <v>7.9039624874202463E-2</v>
      </c>
      <c r="AD49" s="30">
        <f t="shared" ca="1" si="55"/>
        <v>3.0747155888080302E-2</v>
      </c>
      <c r="AE49" s="30">
        <f t="shared" ca="1" si="55"/>
        <v>2.9829969175698468E-2</v>
      </c>
      <c r="AF49" s="30">
        <f ca="1">OFFSET(AF49,$D$37,0)</f>
        <v>0.13360773003037241</v>
      </c>
      <c r="AG49" s="30">
        <f t="shared" ref="AG49:AI49" ca="1" si="56">OFFSET(AG49,$D$37,0)</f>
        <v>0.125250548338114</v>
      </c>
      <c r="AH49" s="30">
        <f ca="1">OFFSET(AH49,$D$37,0)</f>
        <v>0.125250548338114</v>
      </c>
      <c r="AI49" s="30">
        <f t="shared" ca="1" si="56"/>
        <v>0.125250548338114</v>
      </c>
    </row>
    <row r="50" spans="1:35">
      <c r="B50" s="1" t="s">
        <v>402</v>
      </c>
      <c r="X50" s="54">
        <v>9.2476134461385404E-2</v>
      </c>
      <c r="Y50" s="56">
        <f>Y51*$I$37</f>
        <v>2.8307864330972776E-2</v>
      </c>
      <c r="Z50" s="56">
        <f t="shared" ref="Z50:AH50" si="57">Z51*$I$37</f>
        <v>3.1982758620689625E-2</v>
      </c>
      <c r="AA50" s="56">
        <f t="shared" si="57"/>
        <v>2.4648060382657565E-2</v>
      </c>
      <c r="AB50" s="56">
        <f t="shared" si="57"/>
        <v>-4.0175789577252376E-3</v>
      </c>
      <c r="AC50" s="56">
        <f t="shared" si="57"/>
        <v>2.7663868705970859E-2</v>
      </c>
      <c r="AD50" s="56">
        <f t="shared" si="57"/>
        <v>1.0761504560828104E-2</v>
      </c>
      <c r="AE50" s="56">
        <f>AE51*$I$37</f>
        <v>1.0440489211494463E-2</v>
      </c>
      <c r="AF50" s="56">
        <f>AF51*$I$37</f>
        <v>4.6762705510630338E-2</v>
      </c>
      <c r="AG50" s="56">
        <f>AG51*$I$37</f>
        <v>4.3837691918339895E-2</v>
      </c>
      <c r="AH50" s="56">
        <f t="shared" si="57"/>
        <v>4.3837691918339895E-2</v>
      </c>
      <c r="AI50" s="56">
        <f t="shared" ref="AI50" si="58">AI51*$I$37</f>
        <v>4.3837691918339895E-2</v>
      </c>
    </row>
    <row r="51" spans="1:35">
      <c r="B51" s="1" t="s">
        <v>403</v>
      </c>
      <c r="X51" s="54">
        <v>9.2476134461385404E-2</v>
      </c>
      <c r="Y51" s="54">
        <v>8.0879612374207932E-2</v>
      </c>
      <c r="Z51" s="54">
        <v>9.1379310344827505E-2</v>
      </c>
      <c r="AA51" s="54">
        <v>7.0423029664735903E-2</v>
      </c>
      <c r="AB51" s="54">
        <v>-1.1478797022072107E-2</v>
      </c>
      <c r="AC51" s="54">
        <v>7.9039624874202463E-2</v>
      </c>
      <c r="AD51" s="54">
        <v>3.0747155888080302E-2</v>
      </c>
      <c r="AE51" s="54">
        <v>2.9829969175698468E-2</v>
      </c>
      <c r="AF51" s="56">
        <v>0.13360773003037241</v>
      </c>
      <c r="AG51" s="83">
        <v>0.125250548338114</v>
      </c>
      <c r="AH51" s="83">
        <v>0.125250548338114</v>
      </c>
      <c r="AI51" s="83">
        <v>0.125250548338114</v>
      </c>
    </row>
    <row r="52" spans="1:35">
      <c r="B52" s="1" t="s">
        <v>404</v>
      </c>
      <c r="X52" s="54">
        <v>9.2476134461385404E-2</v>
      </c>
      <c r="Y52" s="57">
        <f t="shared" ref="Y52:AI52" si="59">Y51*$R$37</f>
        <v>7.2791651136787136E-2</v>
      </c>
      <c r="Z52" s="57">
        <f t="shared" si="59"/>
        <v>8.2241379310344753E-2</v>
      </c>
      <c r="AA52" s="57">
        <f t="shared" si="59"/>
        <v>6.3380726698262321E-2</v>
      </c>
      <c r="AB52" s="57">
        <f t="shared" si="59"/>
        <v>-1.0330917319864897E-2</v>
      </c>
      <c r="AC52" s="57">
        <f t="shared" si="59"/>
        <v>7.113566238678222E-2</v>
      </c>
      <c r="AD52" s="57">
        <f t="shared" si="59"/>
        <v>2.7672440299272273E-2</v>
      </c>
      <c r="AE52" s="57">
        <f t="shared" si="59"/>
        <v>2.6846972258128623E-2</v>
      </c>
      <c r="AF52" s="57">
        <f t="shared" si="59"/>
        <v>0.12024695702733516</v>
      </c>
      <c r="AG52" s="57">
        <f t="shared" si="59"/>
        <v>0.1127254935043026</v>
      </c>
      <c r="AH52" s="57">
        <f t="shared" si="59"/>
        <v>0.1127254935043026</v>
      </c>
      <c r="AI52" s="57">
        <f t="shared" si="59"/>
        <v>0.1127254935043026</v>
      </c>
    </row>
    <row r="54" spans="1:35">
      <c r="B54" t="s">
        <v>382</v>
      </c>
      <c r="F54" s="59">
        <f t="shared" ref="F54:Q54" si="60">F16</f>
        <v>1909</v>
      </c>
      <c r="G54" s="59">
        <f t="shared" si="60"/>
        <v>2390</v>
      </c>
      <c r="H54" s="59">
        <f t="shared" si="60"/>
        <v>2616</v>
      </c>
      <c r="I54" s="59">
        <f t="shared" si="60"/>
        <v>2919</v>
      </c>
      <c r="J54" s="59">
        <f t="shared" si="60"/>
        <v>1818</v>
      </c>
      <c r="K54" s="59">
        <f t="shared" si="60"/>
        <v>480</v>
      </c>
      <c r="L54" s="59">
        <f t="shared" si="60"/>
        <v>624</v>
      </c>
      <c r="M54" s="59">
        <f t="shared" si="60"/>
        <v>1307</v>
      </c>
      <c r="N54" s="59">
        <f t="shared" si="60"/>
        <v>2224</v>
      </c>
      <c r="O54" s="59">
        <f t="shared" si="60"/>
        <v>6922</v>
      </c>
      <c r="P54" s="59">
        <f t="shared" si="60"/>
        <v>10588</v>
      </c>
      <c r="Q54" s="59">
        <f t="shared" si="60"/>
        <v>13847</v>
      </c>
      <c r="R54" s="59">
        <f t="shared" ref="R54:W54" si="61">R16</f>
        <v>17204</v>
      </c>
      <c r="S54" s="59">
        <f t="shared" si="61"/>
        <v>19025</v>
      </c>
      <c r="T54" s="59">
        <f t="shared" si="61"/>
        <v>22280</v>
      </c>
      <c r="U54" s="59">
        <f t="shared" si="61"/>
        <v>24484</v>
      </c>
      <c r="V54" s="59">
        <f t="shared" si="61"/>
        <v>22090</v>
      </c>
      <c r="W54" s="59">
        <f t="shared" si="61"/>
        <v>28970</v>
      </c>
      <c r="X54" s="19">
        <f ca="1">X48*X55</f>
        <v>31561.329123784104</v>
      </c>
      <c r="Y54" s="19">
        <f t="shared" ref="Y54:AD54" ca="1" si="62">Y48*Y55</f>
        <v>36213.506401845902</v>
      </c>
      <c r="Z54" s="19">
        <f ca="1">Z48*Z55</f>
        <v>39470.268832285205</v>
      </c>
      <c r="AA54" s="19">
        <f t="shared" ca="1" si="62"/>
        <v>42198.336062977869</v>
      </c>
      <c r="AB54" s="19">
        <f t="shared" ca="1" si="62"/>
        <v>41644.26349364339</v>
      </c>
      <c r="AC54" s="19">
        <f t="shared" ca="1" si="62"/>
        <v>44404.757363253848</v>
      </c>
      <c r="AD54" s="19">
        <f t="shared" ca="1" si="62"/>
        <v>45885.10392254444</v>
      </c>
      <c r="AE54" s="19">
        <f ca="1">AE48*AE55</f>
        <v>47365.450481835025</v>
      </c>
      <c r="AF54" s="19">
        <f ca="1">AF48*AF55</f>
        <v>52443.845948909388</v>
      </c>
      <c r="AG54" s="19">
        <f ca="1">AG48*AG55</f>
        <v>56326.92030068396</v>
      </c>
      <c r="AH54" s="19">
        <f ca="1">AH48*AH55</f>
        <v>157205.93381074045</v>
      </c>
      <c r="AI54" s="19">
        <f t="shared" ref="AI54" ca="1" si="63">AI48*AI55</f>
        <v>193360.84301942014</v>
      </c>
    </row>
    <row r="55" spans="1:35">
      <c r="B55" s="5" t="s">
        <v>381</v>
      </c>
      <c r="F55" s="30">
        <f t="shared" ref="F55:Q55" si="64">F17</f>
        <v>0.33721957251369017</v>
      </c>
      <c r="G55" s="30">
        <f t="shared" si="64"/>
        <v>0.36729675733825112</v>
      </c>
      <c r="H55" s="30">
        <f t="shared" si="64"/>
        <v>0.36829508658313387</v>
      </c>
      <c r="I55" s="30">
        <f t="shared" si="64"/>
        <v>0.38191809498887869</v>
      </c>
      <c r="J55" s="30">
        <f t="shared" si="64"/>
        <v>0.21935328185328185</v>
      </c>
      <c r="K55" s="30">
        <f t="shared" si="64"/>
        <v>7.1599045346062054E-2</v>
      </c>
      <c r="L55" s="30">
        <f t="shared" si="64"/>
        <v>0.10520991401112798</v>
      </c>
      <c r="M55" s="30">
        <f t="shared" si="64"/>
        <v>0.21599735580895721</v>
      </c>
      <c r="N55" s="30">
        <f t="shared" si="64"/>
        <v>0.3092324805339266</v>
      </c>
      <c r="O55" s="30">
        <f t="shared" si="64"/>
        <v>0.51247501295624487</v>
      </c>
      <c r="P55" s="30">
        <f t="shared" si="64"/>
        <v>0.58432671081677701</v>
      </c>
      <c r="Q55" s="30">
        <f t="shared" si="64"/>
        <v>0.62647604397593082</v>
      </c>
      <c r="R55" s="30">
        <f t="shared" ref="R55:W55" si="65">R17</f>
        <v>0.66057441253263705</v>
      </c>
      <c r="S55" s="30">
        <f t="shared" si="65"/>
        <v>0.63332223701731027</v>
      </c>
      <c r="T55" s="30">
        <f t="shared" si="65"/>
        <v>0.63508351861353396</v>
      </c>
      <c r="U55" s="30">
        <f t="shared" si="65"/>
        <v>0.62251150491978335</v>
      </c>
      <c r="V55" s="30">
        <f t="shared" si="65"/>
        <v>0.50133902228677774</v>
      </c>
      <c r="W55" s="30">
        <f t="shared" si="65"/>
        <v>0.61977194446227246</v>
      </c>
      <c r="X55" s="18">
        <f t="shared" ref="X55:AI55" ca="1" si="66">OFFSET(X55,$D$38,0)</f>
        <v>0.61805445811073845</v>
      </c>
      <c r="Y55" s="30">
        <f t="shared" ca="1" si="66"/>
        <v>0.65609195402298848</v>
      </c>
      <c r="Z55" s="30">
        <f t="shared" ca="1" si="66"/>
        <v>0.65522204669124096</v>
      </c>
      <c r="AA55" s="30">
        <f t="shared" ca="1" si="66"/>
        <v>0.65442261650978972</v>
      </c>
      <c r="AB55" s="30">
        <f t="shared" ca="1" si="66"/>
        <v>0.65332935204538667</v>
      </c>
      <c r="AC55" s="30">
        <f t="shared" ca="1" si="66"/>
        <v>0.64560828123398573</v>
      </c>
      <c r="AD55" s="30">
        <f t="shared" ca="1" si="66"/>
        <v>0.64723078452818927</v>
      </c>
      <c r="AE55" s="30">
        <f t="shared" ca="1" si="66"/>
        <v>0.64875929323163073</v>
      </c>
      <c r="AF55" s="30">
        <f t="shared" ca="1" si="66"/>
        <v>0.63365614982284457</v>
      </c>
      <c r="AG55" s="30">
        <f t="shared" ca="1" si="66"/>
        <v>0.60481965286024442</v>
      </c>
      <c r="AH55" s="30">
        <f t="shared" ca="1" si="66"/>
        <v>0.60481965286024442</v>
      </c>
      <c r="AI55" s="30">
        <f t="shared" ca="1" si="66"/>
        <v>0.60481965286024442</v>
      </c>
    </row>
    <row r="56" spans="1:35">
      <c r="B56" s="1" t="s">
        <v>402</v>
      </c>
      <c r="X56" s="55">
        <v>0.618054458110738</v>
      </c>
      <c r="Y56" s="57">
        <f t="shared" ref="Y56:AG56" si="67">Y57*$I$39</f>
        <v>0.26243678160919542</v>
      </c>
      <c r="Z56" s="57">
        <f t="shared" si="67"/>
        <v>0.26208881867649642</v>
      </c>
      <c r="AA56" s="57">
        <f t="shared" si="67"/>
        <v>0.26176904660391592</v>
      </c>
      <c r="AB56" s="57">
        <f t="shared" si="67"/>
        <v>0.26133174081815469</v>
      </c>
      <c r="AC56" s="57">
        <f t="shared" si="67"/>
        <v>0.25824331249359428</v>
      </c>
      <c r="AD56" s="57">
        <f t="shared" si="67"/>
        <v>0.2588923138112757</v>
      </c>
      <c r="AE56" s="57">
        <f t="shared" si="67"/>
        <v>0.25950371729265231</v>
      </c>
      <c r="AF56" s="57">
        <f t="shared" si="67"/>
        <v>0.25346245992913785</v>
      </c>
      <c r="AG56" s="57">
        <f t="shared" si="67"/>
        <v>0.24192786114409778</v>
      </c>
      <c r="AH56" s="57">
        <f t="shared" ref="AH56:AI56" si="68">AH57*$I$39</f>
        <v>0.24192786114409778</v>
      </c>
      <c r="AI56" s="57">
        <f t="shared" si="68"/>
        <v>0.24192786114409778</v>
      </c>
    </row>
    <row r="57" spans="1:35">
      <c r="B57" s="1" t="s">
        <v>403</v>
      </c>
      <c r="X57" s="55">
        <v>0.61805445811073845</v>
      </c>
      <c r="Y57" s="55">
        <v>0.65609195402298848</v>
      </c>
      <c r="Z57" s="55">
        <v>0.65522204669124096</v>
      </c>
      <c r="AA57" s="55">
        <v>0.65442261650978972</v>
      </c>
      <c r="AB57" s="55">
        <v>0.65332935204538667</v>
      </c>
      <c r="AC57" s="55">
        <v>0.64560828123398573</v>
      </c>
      <c r="AD57" s="55">
        <v>0.64723078452818927</v>
      </c>
      <c r="AE57" s="55">
        <v>0.64875929323163073</v>
      </c>
      <c r="AF57" s="55">
        <v>0.63365614982284457</v>
      </c>
      <c r="AG57" s="55">
        <v>0.60481965286024442</v>
      </c>
      <c r="AH57" s="55">
        <v>0.60481965286024442</v>
      </c>
      <c r="AI57" s="55">
        <v>0.60481965286024442</v>
      </c>
    </row>
    <row r="58" spans="1:35">
      <c r="B58" s="1" t="s">
        <v>404</v>
      </c>
      <c r="X58" s="55">
        <v>0.618054458110738</v>
      </c>
      <c r="Y58" s="57">
        <f t="shared" ref="Y58:AI58" si="69">Y57*$R$39</f>
        <v>0.37397241379310342</v>
      </c>
      <c r="Z58" s="57">
        <f t="shared" si="69"/>
        <v>0.3734765666140073</v>
      </c>
      <c r="AA58" s="57">
        <f t="shared" si="69"/>
        <v>0.37302089141058009</v>
      </c>
      <c r="AB58" s="57">
        <f t="shared" si="69"/>
        <v>0.3723977306658704</v>
      </c>
      <c r="AC58" s="57">
        <f t="shared" si="69"/>
        <v>0.36799672030337183</v>
      </c>
      <c r="AD58" s="57">
        <f t="shared" si="69"/>
        <v>0.36892154718106784</v>
      </c>
      <c r="AE58" s="57">
        <f t="shared" si="69"/>
        <v>0.36979279714202951</v>
      </c>
      <c r="AF58" s="57">
        <f t="shared" si="69"/>
        <v>0.3611840053990214</v>
      </c>
      <c r="AG58" s="57">
        <f t="shared" si="69"/>
        <v>0.34474720213033927</v>
      </c>
      <c r="AH58" s="57">
        <f t="shared" si="69"/>
        <v>0.34474720213033927</v>
      </c>
      <c r="AI58" s="57">
        <f t="shared" si="69"/>
        <v>0.34474720213033927</v>
      </c>
    </row>
    <row r="60" spans="1:35">
      <c r="B60" t="s">
        <v>383</v>
      </c>
      <c r="X60" s="19">
        <f ca="1">X54*X61</f>
        <v>5365.4259510432985</v>
      </c>
      <c r="Y60" s="19">
        <f t="shared" ref="Y60:AE60" ca="1" si="70">Y54*Y61</f>
        <v>6156.2960883138039</v>
      </c>
      <c r="Z60" s="19">
        <f t="shared" ca="1" si="70"/>
        <v>6709.9457014884856</v>
      </c>
      <c r="AA60" s="19">
        <f ca="1">AA54*AA61</f>
        <v>7173.7171307062381</v>
      </c>
      <c r="AB60" s="19">
        <f ca="1">AB54*AB61</f>
        <v>7079.5247939193769</v>
      </c>
      <c r="AC60" s="19">
        <f t="shared" ca="1" si="70"/>
        <v>7548.8087517531549</v>
      </c>
      <c r="AD60" s="19">
        <f t="shared" ca="1" si="70"/>
        <v>7800.4676668325556</v>
      </c>
      <c r="AE60" s="19">
        <f t="shared" ca="1" si="70"/>
        <v>8052.1265819119544</v>
      </c>
      <c r="AF60" s="19">
        <f ca="1">AF54*AF61</f>
        <v>8915.4538113145973</v>
      </c>
      <c r="AG60" s="19">
        <f t="shared" ref="AG60:AI60" ca="1" si="71">AG54*AG61</f>
        <v>9575.5764511162743</v>
      </c>
      <c r="AH60" s="19">
        <f t="shared" ca="1" si="71"/>
        <v>26725.008747825879</v>
      </c>
      <c r="AI60" s="19">
        <f t="shared" ca="1" si="71"/>
        <v>32871.343313301426</v>
      </c>
    </row>
    <row r="61" spans="1:35">
      <c r="B61" s="5" t="s">
        <v>384</v>
      </c>
      <c r="X61" s="78">
        <f t="shared" ref="X61:AG61" si="72">$M$40</f>
        <v>0.17</v>
      </c>
      <c r="Y61" s="78">
        <f t="shared" si="72"/>
        <v>0.17</v>
      </c>
      <c r="Z61" s="78">
        <f t="shared" si="72"/>
        <v>0.17</v>
      </c>
      <c r="AA61" s="78">
        <f t="shared" si="72"/>
        <v>0.17</v>
      </c>
      <c r="AB61" s="78">
        <f t="shared" si="72"/>
        <v>0.17</v>
      </c>
      <c r="AC61" s="78">
        <f t="shared" si="72"/>
        <v>0.17</v>
      </c>
      <c r="AD61" s="78">
        <f t="shared" si="72"/>
        <v>0.17</v>
      </c>
      <c r="AE61" s="78">
        <f t="shared" si="72"/>
        <v>0.17</v>
      </c>
      <c r="AF61" s="78">
        <f t="shared" si="72"/>
        <v>0.17</v>
      </c>
      <c r="AG61" s="78">
        <f t="shared" si="72"/>
        <v>0.17</v>
      </c>
      <c r="AH61" s="78">
        <f t="shared" ref="AH61:AI61" si="73">$M$40</f>
        <v>0.17</v>
      </c>
      <c r="AI61" s="78">
        <f t="shared" si="73"/>
        <v>0.17</v>
      </c>
    </row>
    <row r="63" spans="1:35">
      <c r="B63" s="47" t="s">
        <v>405</v>
      </c>
      <c r="C63" s="47"/>
      <c r="D63" s="47"/>
      <c r="E63" s="47"/>
      <c r="F63" s="47"/>
      <c r="G63" s="47"/>
      <c r="H63" s="47"/>
      <c r="I63" s="47"/>
      <c r="J63" s="47"/>
      <c r="K63" s="47"/>
      <c r="L63" s="47"/>
      <c r="M63" s="47"/>
      <c r="N63" s="47"/>
      <c r="O63" s="47"/>
      <c r="P63" s="47"/>
      <c r="Q63" s="47"/>
      <c r="R63" s="47"/>
      <c r="S63" s="47"/>
      <c r="T63" s="47"/>
      <c r="U63" s="47"/>
      <c r="V63" s="47"/>
      <c r="W63" s="47"/>
      <c r="X63" s="58">
        <f ca="1">X54-X60</f>
        <v>26195.903172740807</v>
      </c>
      <c r="Y63" s="58">
        <f t="shared" ref="Y63:AF63" ca="1" si="74">Y54-Y60</f>
        <v>30057.210313532098</v>
      </c>
      <c r="Z63" s="58">
        <f t="shared" ca="1" si="74"/>
        <v>32760.323130796718</v>
      </c>
      <c r="AA63" s="58">
        <f t="shared" ca="1" si="74"/>
        <v>35024.618932271631</v>
      </c>
      <c r="AB63" s="58">
        <f t="shared" ca="1" si="74"/>
        <v>34564.73869972401</v>
      </c>
      <c r="AC63" s="58">
        <f t="shared" ca="1" si="74"/>
        <v>36855.948611500695</v>
      </c>
      <c r="AD63" s="58">
        <f t="shared" ca="1" si="74"/>
        <v>38084.636255711885</v>
      </c>
      <c r="AE63" s="58">
        <f t="shared" ca="1" si="74"/>
        <v>39313.323899923067</v>
      </c>
      <c r="AF63" s="58">
        <f t="shared" ca="1" si="74"/>
        <v>43528.39213759479</v>
      </c>
      <c r="AG63" s="58">
        <f ca="1">AG54-AG60</f>
        <v>46751.343849567682</v>
      </c>
      <c r="AH63" s="58">
        <f t="shared" ref="AH63:AI63" ca="1" si="75">AH54-AH60</f>
        <v>130480.92506291457</v>
      </c>
      <c r="AI63" s="58">
        <f t="shared" ca="1" si="75"/>
        <v>160489.49970611872</v>
      </c>
    </row>
    <row r="65" spans="2:35">
      <c r="B65" t="s">
        <v>386</v>
      </c>
      <c r="F65" s="59">
        <f t="shared" ref="F65:Q65" si="76">F23</f>
        <v>281</v>
      </c>
      <c r="G65" s="59">
        <f t="shared" si="76"/>
        <v>286</v>
      </c>
      <c r="H65" s="59">
        <f t="shared" si="76"/>
        <v>298</v>
      </c>
      <c r="I65" s="59">
        <f t="shared" si="76"/>
        <v>309</v>
      </c>
      <c r="J65" s="59">
        <f t="shared" si="76"/>
        <v>334</v>
      </c>
      <c r="K65" s="59">
        <f t="shared" si="76"/>
        <v>378</v>
      </c>
      <c r="L65" s="59">
        <f t="shared" si="76"/>
        <v>406</v>
      </c>
      <c r="M65" s="59">
        <f t="shared" si="76"/>
        <v>426</v>
      </c>
      <c r="N65" s="59">
        <f t="shared" si="76"/>
        <v>384</v>
      </c>
      <c r="O65" s="59">
        <f t="shared" si="76"/>
        <v>365</v>
      </c>
      <c r="P65" s="59">
        <f t="shared" si="76"/>
        <v>372</v>
      </c>
      <c r="Q65" s="59">
        <f t="shared" si="76"/>
        <v>387</v>
      </c>
      <c r="R65" s="59">
        <f t="shared" ref="R65:V65" si="77">R23</f>
        <v>-1098</v>
      </c>
      <c r="S65" s="59">
        <f t="shared" si="77"/>
        <v>433</v>
      </c>
      <c r="T65" s="59">
        <f t="shared" si="77"/>
        <v>478</v>
      </c>
      <c r="U65" s="59">
        <f t="shared" si="77"/>
        <v>543</v>
      </c>
      <c r="V65" s="59">
        <f t="shared" si="77"/>
        <v>-1253</v>
      </c>
      <c r="W65" s="59">
        <f t="shared" ref="W65:AG65" si="78">W23</f>
        <v>669</v>
      </c>
      <c r="X65" s="59">
        <f t="shared" si="78"/>
        <v>-1098</v>
      </c>
      <c r="Y65" s="59">
        <f t="shared" si="78"/>
        <v>433</v>
      </c>
      <c r="Z65" s="59">
        <f t="shared" si="78"/>
        <v>478</v>
      </c>
      <c r="AA65" s="59">
        <f t="shared" si="78"/>
        <v>543</v>
      </c>
      <c r="AB65" s="59">
        <f t="shared" si="78"/>
        <v>-1253</v>
      </c>
      <c r="AC65" s="59">
        <f t="shared" si="78"/>
        <v>669</v>
      </c>
      <c r="AD65" s="59">
        <f t="shared" si="78"/>
        <v>-180.09337588539827</v>
      </c>
      <c r="AE65" s="59">
        <f t="shared" si="78"/>
        <v>-194.55760149507148</v>
      </c>
      <c r="AF65" s="59">
        <f t="shared" si="78"/>
        <v>-255.51463791120131</v>
      </c>
      <c r="AG65" s="59">
        <f t="shared" si="78"/>
        <v>-323.94709773704744</v>
      </c>
      <c r="AH65" s="59">
        <f t="shared" ref="AH65:AI65" si="79">AH23</f>
        <v>-1175</v>
      </c>
      <c r="AI65" s="59">
        <f t="shared" si="79"/>
        <v>-1446</v>
      </c>
    </row>
    <row r="66" spans="2:35">
      <c r="B66" s="5" t="s">
        <v>381</v>
      </c>
      <c r="F66" s="60">
        <f t="shared" ref="F66:Q66" si="80">F26</f>
        <v>4.9637873167284935E-2</v>
      </c>
      <c r="G66" s="60">
        <f t="shared" si="80"/>
        <v>4.3952666359305365E-2</v>
      </c>
      <c r="H66" s="60">
        <f t="shared" si="80"/>
        <v>4.1954103899760661E-2</v>
      </c>
      <c r="I66" s="60">
        <f t="shared" si="80"/>
        <v>4.0429150856993328E-2</v>
      </c>
      <c r="J66" s="60">
        <f t="shared" si="80"/>
        <v>4.0299227799227802E-2</v>
      </c>
      <c r="K66" s="60">
        <f t="shared" si="80"/>
        <v>5.6384248210023864E-2</v>
      </c>
      <c r="L66" s="60">
        <f t="shared" si="80"/>
        <v>6.8453886359804414E-2</v>
      </c>
      <c r="M66" s="60">
        <f t="shared" si="80"/>
        <v>7.0401586514625678E-2</v>
      </c>
      <c r="N66" s="60">
        <f t="shared" si="80"/>
        <v>5.3392658509454953E-2</v>
      </c>
      <c r="O66" s="60">
        <f t="shared" si="80"/>
        <v>2.7023025098097283E-2</v>
      </c>
      <c r="P66" s="60">
        <f t="shared" si="80"/>
        <v>2.052980132450331E-2</v>
      </c>
      <c r="Q66" s="60">
        <f t="shared" si="80"/>
        <v>1.7508935438628241E-2</v>
      </c>
      <c r="R66" s="60">
        <f t="shared" ref="R66:W66" si="81">R26</f>
        <v>-4.2159422515742589E-2</v>
      </c>
      <c r="S66" s="60">
        <f t="shared" si="81"/>
        <v>1.4414114513981358E-2</v>
      </c>
      <c r="T66" s="60">
        <f t="shared" si="81"/>
        <v>1.3625220911008495E-2</v>
      </c>
      <c r="U66" s="60">
        <f t="shared" si="81"/>
        <v>1.3805903740052377E-2</v>
      </c>
      <c r="V66" s="60">
        <f t="shared" si="81"/>
        <v>-2.8437202124279425E-2</v>
      </c>
      <c r="W66" s="60">
        <f t="shared" si="81"/>
        <v>1.4312303446505359E-2</v>
      </c>
      <c r="X66" s="55">
        <f t="shared" ref="X66:AG66" si="82">X26</f>
        <v>-2.3147464952039634E-2</v>
      </c>
      <c r="Y66" s="55">
        <f t="shared" si="82"/>
        <v>9.0078844993654959E-3</v>
      </c>
      <c r="Z66" s="55">
        <f t="shared" si="82"/>
        <v>8.4989865225276479E-3</v>
      </c>
      <c r="AA66" s="55">
        <f t="shared" si="82"/>
        <v>8.2519034086591791E-3</v>
      </c>
      <c r="AB66" s="55">
        <f t="shared" si="82"/>
        <v>-1.6066162328503653E-2</v>
      </c>
      <c r="AC66" s="55">
        <f t="shared" si="82"/>
        <v>7.2841697244210232E-3</v>
      </c>
      <c r="AD66" s="55">
        <f t="shared" si="82"/>
        <v>-1.5952572425694974E-3</v>
      </c>
      <c r="AE66" s="55">
        <f t="shared" si="82"/>
        <v>-1.397011506638841E-3</v>
      </c>
      <c r="AF66" s="55">
        <f t="shared" si="82"/>
        <v>-1.4872190184986717E-3</v>
      </c>
      <c r="AG66" s="55">
        <f t="shared" si="82"/>
        <v>-1.532991182616862E-3</v>
      </c>
      <c r="AH66" s="55">
        <f t="shared" ref="AH66:AI66" si="83">AH26</f>
        <v>-4.5205869453143633E-3</v>
      </c>
      <c r="AI66" s="55">
        <f t="shared" si="83"/>
        <v>-4.5229903034094462E-3</v>
      </c>
    </row>
    <row r="68" spans="2:35">
      <c r="B68" t="s">
        <v>389</v>
      </c>
      <c r="F68" s="59">
        <f t="shared" ref="F68:Q68" si="84">F28</f>
        <v>298</v>
      </c>
      <c r="G68" s="59">
        <f t="shared" si="84"/>
        <v>183</v>
      </c>
      <c r="H68" s="59">
        <f t="shared" si="84"/>
        <v>222</v>
      </c>
      <c r="I68" s="59">
        <f t="shared" si="84"/>
        <v>273</v>
      </c>
      <c r="J68" s="59">
        <f t="shared" si="84"/>
        <v>361</v>
      </c>
      <c r="K68" s="59">
        <f t="shared" si="84"/>
        <v>433</v>
      </c>
      <c r="L68" s="59">
        <f t="shared" si="84"/>
        <v>530</v>
      </c>
      <c r="M68" s="59">
        <f t="shared" si="84"/>
        <v>509</v>
      </c>
      <c r="N68" s="59">
        <f t="shared" si="84"/>
        <v>248</v>
      </c>
      <c r="O68" s="59">
        <f t="shared" si="84"/>
        <v>289</v>
      </c>
      <c r="P68" s="59">
        <f t="shared" si="84"/>
        <v>278</v>
      </c>
      <c r="Q68" s="59">
        <f t="shared" si="84"/>
        <v>254</v>
      </c>
      <c r="R68" s="59">
        <f t="shared" ref="R68:W68" si="85">R28</f>
        <v>-700</v>
      </c>
      <c r="S68" s="59">
        <f t="shared" si="85"/>
        <v>977</v>
      </c>
      <c r="T68" s="59">
        <f t="shared" si="85"/>
        <v>813</v>
      </c>
      <c r="U68" s="59">
        <f t="shared" si="85"/>
        <v>1077</v>
      </c>
      <c r="V68" s="59">
        <f t="shared" si="85"/>
        <v>-2009</v>
      </c>
      <c r="W68" s="59">
        <f t="shared" si="85"/>
        <v>1895</v>
      </c>
      <c r="X68" s="59">
        <f t="shared" ref="X68:AF68" si="86">X28</f>
        <v>-1187</v>
      </c>
      <c r="Y68" s="59">
        <f t="shared" si="86"/>
        <v>1131</v>
      </c>
      <c r="Z68" s="59">
        <f t="shared" si="86"/>
        <v>755</v>
      </c>
      <c r="AA68" s="59">
        <f t="shared" si="86"/>
        <v>1337</v>
      </c>
      <c r="AB68" s="59">
        <f t="shared" si="86"/>
        <v>-544</v>
      </c>
      <c r="AC68" s="59">
        <f t="shared" si="86"/>
        <v>2531</v>
      </c>
      <c r="AD68" s="59">
        <f t="shared" si="86"/>
        <v>-2029.1707918708171</v>
      </c>
      <c r="AE68" s="59">
        <f t="shared" si="86"/>
        <v>-212.1273025193932</v>
      </c>
      <c r="AF68" s="59">
        <f t="shared" si="86"/>
        <v>914.07333577486952</v>
      </c>
      <c r="AG68" s="59">
        <f t="shared" ref="AG68:AI68" si="87">AG28</f>
        <v>1069.2461802194739</v>
      </c>
      <c r="AH68" s="59">
        <f t="shared" si="87"/>
        <v>4159</v>
      </c>
      <c r="AI68" s="59">
        <f t="shared" si="87"/>
        <v>5115</v>
      </c>
    </row>
    <row r="69" spans="2:35">
      <c r="B69" s="5" t="s">
        <v>381</v>
      </c>
      <c r="F69" s="60">
        <f t="shared" ref="F69:Q69" si="88">F29</f>
        <v>5.2640876170287933E-2</v>
      </c>
      <c r="G69" s="60">
        <f t="shared" si="88"/>
        <v>2.8123559243891195E-2</v>
      </c>
      <c r="H69" s="60">
        <f t="shared" si="88"/>
        <v>3.1254399549486132E-2</v>
      </c>
      <c r="I69" s="60">
        <f t="shared" si="88"/>
        <v>3.5718958524139734E-2</v>
      </c>
      <c r="J69" s="60">
        <f>J29</f>
        <v>4.355694980694981E-2</v>
      </c>
      <c r="K69" s="60">
        <f t="shared" si="88"/>
        <v>6.4588305489260145E-2</v>
      </c>
      <c r="L69" s="60">
        <f t="shared" si="88"/>
        <v>8.9360984656887535E-2</v>
      </c>
      <c r="M69" s="60">
        <f t="shared" si="88"/>
        <v>8.4118327549165428E-2</v>
      </c>
      <c r="N69" s="60">
        <f t="shared" si="88"/>
        <v>3.4482758620689655E-2</v>
      </c>
      <c r="O69" s="60">
        <f t="shared" si="88"/>
        <v>2.1396313022877027E-2</v>
      </c>
      <c r="P69" s="60">
        <f t="shared" si="88"/>
        <v>1.5342163355408389E-2</v>
      </c>
      <c r="Q69" s="60">
        <f t="shared" si="88"/>
        <v>1.149165271682577E-2</v>
      </c>
      <c r="R69" s="60">
        <f t="shared" ref="R69:W69" si="89">R29</f>
        <v>-2.6877591767777608E-2</v>
      </c>
      <c r="S69" s="60">
        <f t="shared" si="89"/>
        <v>3.2523302263648468E-2</v>
      </c>
      <c r="T69" s="60">
        <f t="shared" si="89"/>
        <v>2.3174277407217378E-2</v>
      </c>
      <c r="U69" s="60">
        <f t="shared" si="89"/>
        <v>2.7382980346291729E-2</v>
      </c>
      <c r="V69" s="60">
        <f t="shared" si="89"/>
        <v>-4.5594843629431253E-2</v>
      </c>
      <c r="W69" s="60">
        <f t="shared" si="89"/>
        <v>4.0540829642941187E-2</v>
      </c>
      <c r="X69" s="55">
        <f t="shared" ref="X69:AF69" si="90">X29</f>
        <v>-2.5023716664909875E-2</v>
      </c>
      <c r="Y69" s="55">
        <f t="shared" si="90"/>
        <v>2.3528677526056294E-2</v>
      </c>
      <c r="Z69" s="55">
        <f t="shared" si="90"/>
        <v>1.3424131432025888E-2</v>
      </c>
      <c r="AA69" s="55">
        <f t="shared" si="90"/>
        <v>2.0318222573438901E-2</v>
      </c>
      <c r="AB69" s="55">
        <f t="shared" si="90"/>
        <v>-6.9752532375945637E-3</v>
      </c>
      <c r="AC69" s="55">
        <f t="shared" si="90"/>
        <v>2.7557897716755767E-2</v>
      </c>
      <c r="AD69" s="55">
        <f t="shared" si="90"/>
        <v>-1.7974283541679442E-2</v>
      </c>
      <c r="AE69" s="55">
        <f t="shared" si="90"/>
        <v>-1.5231699004027745E-3</v>
      </c>
      <c r="AF69" s="55">
        <f t="shared" si="90"/>
        <v>5.3203497865329675E-3</v>
      </c>
      <c r="AG69" s="55">
        <f t="shared" ref="AG69:AI69" si="91">AG29</f>
        <v>5.0599155781100146E-3</v>
      </c>
      <c r="AH69" s="55">
        <f t="shared" si="91"/>
        <v>1.6000954132393563E-2</v>
      </c>
      <c r="AI69" s="55">
        <f t="shared" si="91"/>
        <v>1.5999374413512669E-2</v>
      </c>
    </row>
    <row r="71" spans="2:35">
      <c r="B71" t="s">
        <v>390</v>
      </c>
      <c r="F71" s="59">
        <f t="shared" ref="F71:Q71" si="92">F31</f>
        <v>887</v>
      </c>
      <c r="G71" s="59">
        <f t="shared" si="92"/>
        <v>249</v>
      </c>
      <c r="H71" s="59">
        <f t="shared" si="92"/>
        <v>192</v>
      </c>
      <c r="I71" s="59">
        <f t="shared" si="92"/>
        <v>390</v>
      </c>
      <c r="J71" s="59">
        <f t="shared" si="92"/>
        <v>389</v>
      </c>
      <c r="K71" s="59">
        <f t="shared" si="92"/>
        <v>382</v>
      </c>
      <c r="L71" s="59">
        <f t="shared" si="92"/>
        <v>417</v>
      </c>
      <c r="M71" s="59">
        <f t="shared" si="92"/>
        <v>-10</v>
      </c>
      <c r="N71" s="59">
        <f t="shared" si="92"/>
        <v>-911</v>
      </c>
      <c r="O71" s="59">
        <f t="shared" si="92"/>
        <v>136</v>
      </c>
      <c r="P71" s="59">
        <f t="shared" si="92"/>
        <v>2836</v>
      </c>
      <c r="Q71" s="59">
        <f t="shared" si="92"/>
        <v>2455</v>
      </c>
      <c r="R71" s="59">
        <f t="shared" ref="R71:W71" si="93">R31</f>
        <v>-662</v>
      </c>
      <c r="S71" s="59">
        <f t="shared" si="93"/>
        <v>2546</v>
      </c>
      <c r="T71" s="59">
        <f t="shared" si="93"/>
        <v>1810</v>
      </c>
      <c r="U71" s="59">
        <f t="shared" si="93"/>
        <v>6195</v>
      </c>
      <c r="V71" s="59">
        <f t="shared" si="93"/>
        <v>-9167</v>
      </c>
      <c r="W71" s="59">
        <f t="shared" si="93"/>
        <v>11469</v>
      </c>
      <c r="X71" s="59">
        <f t="shared" ref="X71:AF71" si="94">X31</f>
        <v>3103.9945920409045</v>
      </c>
      <c r="Y71" s="59">
        <f t="shared" si="94"/>
        <v>1800.5351617299712</v>
      </c>
      <c r="Z71" s="59">
        <f t="shared" si="94"/>
        <v>5610.1649830756287</v>
      </c>
      <c r="AA71" s="59">
        <f t="shared" si="94"/>
        <v>6897.4760765848478</v>
      </c>
      <c r="AB71" s="59">
        <f t="shared" si="94"/>
        <v>7642.9833772481361</v>
      </c>
      <c r="AC71" s="59">
        <f t="shared" si="94"/>
        <v>9833.4585632552044</v>
      </c>
      <c r="AD71" s="59">
        <f t="shared" si="94"/>
        <v>15104.070003685483</v>
      </c>
      <c r="AE71" s="59">
        <f t="shared" si="94"/>
        <v>18143.239451904141</v>
      </c>
      <c r="AF71" s="59">
        <f t="shared" si="94"/>
        <v>22608.622066453463</v>
      </c>
      <c r="AG71" s="59">
        <f t="shared" ref="AG71:AI71" si="95">AG31</f>
        <v>27169.624868366824</v>
      </c>
      <c r="AH71" s="59">
        <f t="shared" si="95"/>
        <v>21313</v>
      </c>
      <c r="AI71" s="59">
        <f t="shared" si="95"/>
        <v>26215</v>
      </c>
    </row>
    <row r="72" spans="2:35">
      <c r="B72" s="5" t="s">
        <v>381</v>
      </c>
      <c r="F72" s="60">
        <f t="shared" ref="F72:Q72" si="96">F32</f>
        <v>0.15668609786256846</v>
      </c>
      <c r="G72" s="60">
        <f t="shared" si="96"/>
        <v>3.8266482249884742E-2</v>
      </c>
      <c r="H72" s="60">
        <f t="shared" si="96"/>
        <v>2.7030832042798818E-2</v>
      </c>
      <c r="I72" s="60">
        <f t="shared" si="96"/>
        <v>5.102708360591391E-2</v>
      </c>
      <c r="J72" s="60">
        <f t="shared" si="96"/>
        <v>4.6935328185328189E-2</v>
      </c>
      <c r="K72" s="60">
        <f t="shared" si="96"/>
        <v>5.6980906921241053E-2</v>
      </c>
      <c r="L72" s="60">
        <f t="shared" si="96"/>
        <v>7.0308548305513405E-2</v>
      </c>
      <c r="M72" s="60">
        <f t="shared" si="96"/>
        <v>-1.6526194017517765E-3</v>
      </c>
      <c r="N72" s="60">
        <f t="shared" si="96"/>
        <v>-0.12666852057842046</v>
      </c>
      <c r="O72" s="60">
        <f t="shared" si="96"/>
        <v>1.0068853187236248E-2</v>
      </c>
      <c r="P72" s="60">
        <f t="shared" si="96"/>
        <v>0.15651214128035321</v>
      </c>
      <c r="Q72" s="60">
        <f t="shared" si="96"/>
        <v>0.11107089535357191</v>
      </c>
      <c r="R72" s="60">
        <f t="shared" ref="R72:W72" si="97">R32</f>
        <v>-2.5418522500383966E-2</v>
      </c>
      <c r="S72" s="60">
        <f t="shared" si="97"/>
        <v>8.4753661784287615E-2</v>
      </c>
      <c r="T72" s="60">
        <f t="shared" si="97"/>
        <v>5.15934097257853E-2</v>
      </c>
      <c r="U72" s="60">
        <f t="shared" si="97"/>
        <v>0.15750934377463069</v>
      </c>
      <c r="V72" s="60">
        <f t="shared" si="97"/>
        <v>-0.20804775089646407</v>
      </c>
      <c r="W72" s="60">
        <f t="shared" si="97"/>
        <v>0.24536294204479814</v>
      </c>
      <c r="X72" s="55">
        <f t="shared" ref="X72:AF72" si="98">X32</f>
        <v>6.5436799663558656E-2</v>
      </c>
      <c r="Y72" s="55">
        <f t="shared" si="98"/>
        <v>3.7457304327736612E-2</v>
      </c>
      <c r="Z72" s="55">
        <f t="shared" si="98"/>
        <v>9.9750453096896063E-2</v>
      </c>
      <c r="AA72" s="55">
        <f t="shared" si="98"/>
        <v>0.10482008535454079</v>
      </c>
      <c r="AB72" s="55">
        <f t="shared" si="98"/>
        <v>9.7999530417337305E-2</v>
      </c>
      <c r="AC72" s="55">
        <f t="shared" si="98"/>
        <v>0.10706813326279851</v>
      </c>
      <c r="AD72" s="55">
        <f t="shared" si="98"/>
        <v>0.13379102339104712</v>
      </c>
      <c r="AE72" s="55">
        <f t="shared" si="98"/>
        <v>0.1302766588775815</v>
      </c>
      <c r="AF72" s="55">
        <f t="shared" si="98"/>
        <v>0.13159313687133506</v>
      </c>
      <c r="AG72" s="55">
        <f t="shared" ref="AG72:AI72" si="99">AG32</f>
        <v>0.12857283071578163</v>
      </c>
      <c r="AH72" s="55">
        <f t="shared" si="99"/>
        <v>8.1997676225944713E-2</v>
      </c>
      <c r="AI72" s="55">
        <f t="shared" si="99"/>
        <v>8.1998748827025333E-2</v>
      </c>
    </row>
    <row r="74" spans="2:35">
      <c r="B74" s="84" t="s">
        <v>406</v>
      </c>
      <c r="C74" s="22"/>
      <c r="D74" s="22"/>
      <c r="E74" s="22"/>
      <c r="F74" s="22"/>
      <c r="G74" s="22"/>
      <c r="H74" s="22"/>
      <c r="I74" s="22"/>
      <c r="J74" s="22"/>
      <c r="K74" s="22"/>
      <c r="L74" s="22"/>
      <c r="M74" s="22"/>
      <c r="N74" s="22"/>
      <c r="O74" s="22"/>
      <c r="P74" s="22"/>
      <c r="Q74" s="22"/>
      <c r="R74" s="22"/>
      <c r="S74" s="22"/>
      <c r="T74" s="22"/>
      <c r="U74" s="22"/>
      <c r="V74" s="22"/>
      <c r="W74" s="22"/>
      <c r="X74" s="85">
        <f ca="1">X63+X65-X68-X71</f>
        <v>23180.908580699903</v>
      </c>
      <c r="Y74" s="85">
        <f t="shared" ref="Y74:AH74" ca="1" si="100">Y63+Y65-Y68-Y71</f>
        <v>27558.675151802126</v>
      </c>
      <c r="Z74" s="85">
        <f t="shared" ca="1" si="100"/>
        <v>26873.158147721093</v>
      </c>
      <c r="AA74" s="85">
        <f t="shared" ca="1" si="100"/>
        <v>27333.142855686783</v>
      </c>
      <c r="AB74" s="85">
        <f t="shared" ca="1" si="100"/>
        <v>26212.755322475874</v>
      </c>
      <c r="AC74" s="85">
        <f t="shared" ca="1" si="100"/>
        <v>25160.49004824549</v>
      </c>
      <c r="AD74" s="85">
        <f t="shared" ca="1" si="100"/>
        <v>24829.64366801182</v>
      </c>
      <c r="AE74" s="85">
        <f t="shared" ca="1" si="100"/>
        <v>21187.65414904325</v>
      </c>
      <c r="AF74" s="85">
        <f t="shared" ca="1" si="100"/>
        <v>19750.182097455254</v>
      </c>
      <c r="AG74" s="85">
        <f t="shared" ca="1" si="100"/>
        <v>18188.525703244333</v>
      </c>
      <c r="AH74" s="85">
        <f t="shared" ca="1" si="100"/>
        <v>103833.92506291457</v>
      </c>
      <c r="AI74" s="86">
        <f ca="1">AI63+AI65-AI68-AI71</f>
        <v>127713.49970611872</v>
      </c>
    </row>
    <row r="75" spans="2:35">
      <c r="B75" s="87" t="s">
        <v>407</v>
      </c>
      <c r="C75" s="88"/>
      <c r="D75" s="88"/>
      <c r="E75" s="88"/>
      <c r="F75" s="88"/>
      <c r="G75" s="88"/>
      <c r="H75" s="88"/>
      <c r="I75" s="88"/>
      <c r="J75" s="88"/>
      <c r="K75" s="88"/>
      <c r="L75" s="88"/>
      <c r="M75" s="88"/>
      <c r="N75" s="88"/>
      <c r="O75" s="88"/>
      <c r="P75" s="88"/>
      <c r="X75" s="89">
        <f ca="1">X74/(1+$D$42)^X78</f>
        <v>21216.457379787542</v>
      </c>
      <c r="Y75" s="89">
        <f t="shared" ref="Y75:AF75" ca="1" si="101">Y74/(1+$D$42)^Y78</f>
        <v>25277.148258722256</v>
      </c>
      <c r="Z75" s="89">
        <f t="shared" ca="1" si="101"/>
        <v>24699.798634679286</v>
      </c>
      <c r="AA75" s="89">
        <f t="shared" ca="1" si="101"/>
        <v>25173.72126420102</v>
      </c>
      <c r="AB75" s="89">
        <f t="shared" ca="1" si="101"/>
        <v>24189.805129143708</v>
      </c>
      <c r="AC75" s="89">
        <f t="shared" ca="1" si="101"/>
        <v>23263.757277931436</v>
      </c>
      <c r="AD75" s="89">
        <f t="shared" ca="1" si="101"/>
        <v>23001.281613990588</v>
      </c>
      <c r="AE75" s="89">
        <f ca="1">AE74/(1+$D$42)^AE78</f>
        <v>19663.70805805597</v>
      </c>
      <c r="AF75" s="89">
        <f t="shared" ca="1" si="101"/>
        <v>18362.648738883312</v>
      </c>
      <c r="AG75" s="89">
        <f t="shared" ref="AG75:AI75" ca="1" si="102">AG74/(1+$D$42)^AG78</f>
        <v>16940.434761063632</v>
      </c>
      <c r="AH75" s="89">
        <f t="shared" ca="1" si="102"/>
        <v>96874.787366188204</v>
      </c>
      <c r="AI75" s="90">
        <f t="shared" ca="1" si="102"/>
        <v>119353.3968259627</v>
      </c>
    </row>
    <row r="76" spans="2:35">
      <c r="Q76" s="22"/>
      <c r="R76" s="22"/>
      <c r="S76" s="22"/>
      <c r="T76" s="22"/>
      <c r="U76" s="22"/>
      <c r="V76" s="22"/>
      <c r="W76" s="22"/>
    </row>
    <row r="77" spans="2:35">
      <c r="B77" t="s">
        <v>408</v>
      </c>
      <c r="X77" s="6">
        <v>1</v>
      </c>
      <c r="Y77" s="6">
        <f>X77 + 0.25</f>
        <v>1.25</v>
      </c>
      <c r="Z77" s="6">
        <f t="shared" ref="Z77:AI77" si="103">Y77 + 0.25</f>
        <v>1.5</v>
      </c>
      <c r="AA77" s="6">
        <f t="shared" si="103"/>
        <v>1.75</v>
      </c>
      <c r="AB77" s="6">
        <f t="shared" si="103"/>
        <v>2</v>
      </c>
      <c r="AC77" s="6">
        <f t="shared" si="103"/>
        <v>2.25</v>
      </c>
      <c r="AD77" s="6">
        <f t="shared" si="103"/>
        <v>2.5</v>
      </c>
      <c r="AE77" s="6">
        <f t="shared" si="103"/>
        <v>2.75</v>
      </c>
      <c r="AF77" s="6">
        <f t="shared" si="103"/>
        <v>3</v>
      </c>
      <c r="AG77" s="6">
        <f t="shared" si="103"/>
        <v>3.25</v>
      </c>
      <c r="AH77" s="6">
        <f t="shared" si="103"/>
        <v>3.5</v>
      </c>
      <c r="AI77" s="6">
        <f t="shared" si="103"/>
        <v>3.75</v>
      </c>
    </row>
    <row r="78" spans="2:35">
      <c r="B78" t="s">
        <v>409</v>
      </c>
      <c r="X78" s="6">
        <f>1 / (1 + $D$42) ^ X77</f>
        <v>0.90698113194603391</v>
      </c>
      <c r="Y78" s="6">
        <f t="shared" ref="Y78:AI78" si="104">1 / (1 + $D$42) ^ Y77</f>
        <v>0.88511115788087946</v>
      </c>
      <c r="Z78" s="6">
        <f t="shared" si="104"/>
        <v>0.86376853300609258</v>
      </c>
      <c r="AA78" s="6">
        <f t="shared" si="104"/>
        <v>0.84294054138667729</v>
      </c>
      <c r="AB78" s="6">
        <f t="shared" si="104"/>
        <v>0.82261477370610903</v>
      </c>
      <c r="AC78" s="6">
        <f t="shared" si="104"/>
        <v>0.80277911987286477</v>
      </c>
      <c r="AD78" s="6">
        <f t="shared" si="104"/>
        <v>0.78342176180523104</v>
      </c>
      <c r="AE78" s="6">
        <f t="shared" si="104"/>
        <v>0.76453116639009122</v>
      </c>
      <c r="AF78" s="6">
        <f t="shared" si="104"/>
        <v>0.7460960786114974</v>
      </c>
      <c r="AG78" s="6">
        <f t="shared" si="104"/>
        <v>0.7281055148449318</v>
      </c>
      <c r="AH78" s="6">
        <f t="shared" si="104"/>
        <v>0.71054875631326464</v>
      </c>
      <c r="AI78" s="6">
        <f t="shared" si="104"/>
        <v>0.69341534270050664</v>
      </c>
    </row>
    <row r="80" spans="2:35">
      <c r="B80" t="s">
        <v>410</v>
      </c>
      <c r="E80" s="94">
        <f ca="1">(AI74*(1+D43))/(D42-D43)</f>
        <v>1956570.1817230342</v>
      </c>
    </row>
    <row r="81" spans="2:5">
      <c r="B81" t="s">
        <v>411</v>
      </c>
      <c r="E81" s="94">
        <f ca="1">E80/(1+D42)^AI77</f>
        <v>1356715.7830770703</v>
      </c>
    </row>
    <row r="82" spans="2:5">
      <c r="B82" t="s">
        <v>412</v>
      </c>
      <c r="E82" s="95">
        <f ca="1">E81+SUM(X75:AI75)</f>
        <v>1794732.7283856799</v>
      </c>
    </row>
    <row r="83" spans="2:5">
      <c r="B83" t="s">
        <v>413</v>
      </c>
      <c r="E83" s="95">
        <f>'Balance Sheet'!S11+'Balance Sheet'!T11</f>
        <v>26873</v>
      </c>
    </row>
    <row r="84" spans="2:5">
      <c r="B84" t="s">
        <v>414</v>
      </c>
      <c r="E84" s="95">
        <f>Debt!U8</f>
        <v>8466</v>
      </c>
    </row>
    <row r="85" spans="2:5">
      <c r="B85" t="s">
        <v>415</v>
      </c>
      <c r="E85" s="95">
        <f ca="1">E82+E83-E84</f>
        <v>1813139.7283856799</v>
      </c>
    </row>
    <row r="87" spans="2:5">
      <c r="B87" t="s">
        <v>416</v>
      </c>
      <c r="E87" s="40">
        <v>2453</v>
      </c>
    </row>
    <row r="88" spans="2:5">
      <c r="B88" t="s">
        <v>417</v>
      </c>
      <c r="E88" s="96">
        <f ca="1">E85/E87</f>
        <v>739.15194797622496</v>
      </c>
    </row>
  </sheetData>
  <dataConsolidate/>
  <phoneticPr fontId="7" type="noConversion"/>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974F7C26DD76B342A462C8EC9166CA1F" ma:contentTypeVersion="6" ma:contentTypeDescription="Create a new document." ma:contentTypeScope="" ma:versionID="b3d82abf1f916c1399eb3edd5b9abda4">
  <xsd:schema xmlns:xsd="http://www.w3.org/2001/XMLSchema" xmlns:xs="http://www.w3.org/2001/XMLSchema" xmlns:p="http://schemas.microsoft.com/office/2006/metadata/properties" xmlns:ns3="f9361d78-3809-42ba-8fe4-3ba093e5501a" targetNamespace="http://schemas.microsoft.com/office/2006/metadata/properties" ma:root="true" ma:fieldsID="bfe616775813c0059edbb4e1ffff71b6" ns3:_="">
    <xsd:import namespace="f9361d78-3809-42ba-8fe4-3ba093e5501a"/>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9361d78-3809-42ba-8fe4-3ba093e5501a"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activity xmlns="f9361d78-3809-42ba-8fe4-3ba093e5501a" xsi:nil="true"/>
  </documentManagement>
</p:properties>
</file>

<file path=customXml/itemProps1.xml><?xml version="1.0" encoding="utf-8"?>
<ds:datastoreItem xmlns:ds="http://schemas.openxmlformats.org/officeDocument/2006/customXml" ds:itemID="{E77E1186-7948-413D-9D77-10572994E2F0}"/>
</file>

<file path=customXml/itemProps2.xml><?xml version="1.0" encoding="utf-8"?>
<ds:datastoreItem xmlns:ds="http://schemas.openxmlformats.org/officeDocument/2006/customXml" ds:itemID="{2392E819-BDC5-4617-BFAE-F1C4B5E23CE4}"/>
</file>

<file path=customXml/itemProps3.xml><?xml version="1.0" encoding="utf-8"?>
<ds:datastoreItem xmlns:ds="http://schemas.openxmlformats.org/officeDocument/2006/customXml" ds:itemID="{D336A711-79C6-40EE-B5ED-09553D8AFCE8}"/>
</file>

<file path=customXml/itemProps4.xml><?xml version="1.0" encoding="utf-8"?>
<ds:datastoreItem xmlns:ds="http://schemas.openxmlformats.org/officeDocument/2006/customXml" ds:itemID="{D10E865C-E406-4D92-AD04-C3430EAF53C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Michael Mattsson</dc:creator>
  <cp:keywords/>
  <dc:description/>
  <cp:lastModifiedBy/>
  <cp:revision/>
  <dcterms:created xsi:type="dcterms:W3CDTF">2015-06-05T18:17:20Z</dcterms:created>
  <dcterms:modified xsi:type="dcterms:W3CDTF">2025-12-01T08:32:50Z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0x010100974F7C26DD76B342A462C8EC9166CA1F</vt:lpwstr>
  </property>
</Properties>
</file>