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d.docs.live.net/AC60F2C5DB286334/Documents/"/>
    </mc:Choice>
  </mc:AlternateContent>
  <xr:revisionPtr revIDLastSave="0" documentId="8_{AFEE46B5-61E2-4509-90B4-BA13CB9C641C}" xr6:coauthVersionLast="47" xr6:coauthVersionMax="47" xr10:uidLastSave="{00000000-0000-0000-0000-000000000000}"/>
  <bookViews>
    <workbookView xWindow="-98" yWindow="-98" windowWidth="21795" windowHeight="14235" firstSheet="9" activeTab="9" xr2:uid="{00000000-000D-0000-FFFF-FFFF00000000}"/>
  </bookViews>
  <sheets>
    <sheet name="Cover Page" sheetId="1" r:id="rId1"/>
    <sheet name="Revenue Streams" sheetId="2" r:id="rId2"/>
    <sheet name="Income Statement" sheetId="3" r:id="rId3"/>
    <sheet name="Balance Sheet" sheetId="4" r:id="rId4"/>
    <sheet name="Cash Flow Statement" sheetId="5" r:id="rId5"/>
    <sheet name="Working Capital" sheetId="6" r:id="rId6"/>
    <sheet name="Debt" sheetId="7" r:id="rId7"/>
    <sheet name="Fixed Assets" sheetId="8" r:id="rId8"/>
    <sheet name="WACC" sheetId="9" r:id="rId9"/>
    <sheet name="DCF Valuation" sheetId="10" r:id="rId10"/>
  </sheet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8" i="10" l="1"/>
  <c r="E83" i="10"/>
  <c r="AI77" i="10"/>
  <c r="AH77" i="10"/>
  <c r="AG77" i="10"/>
  <c r="AF77" i="10"/>
  <c r="AE77" i="10"/>
  <c r="AD77" i="10"/>
  <c r="AC77" i="10"/>
  <c r="AB77" i="10"/>
  <c r="AA77" i="10"/>
  <c r="Z77" i="10"/>
  <c r="Y77" i="10"/>
  <c r="AI61" i="10"/>
  <c r="AH61" i="10"/>
  <c r="AG61" i="10"/>
  <c r="AF61" i="10"/>
  <c r="AE61" i="10"/>
  <c r="AD61" i="10"/>
  <c r="AC61" i="10"/>
  <c r="AB61" i="10"/>
  <c r="AA61" i="10"/>
  <c r="Z61" i="10"/>
  <c r="Y61" i="10"/>
  <c r="X61" i="10"/>
  <c r="AI58" i="10"/>
  <c r="AH58" i="10"/>
  <c r="AG58" i="10"/>
  <c r="AF58" i="10"/>
  <c r="AE58" i="10"/>
  <c r="AD58" i="10"/>
  <c r="AC58" i="10"/>
  <c r="AB58" i="10"/>
  <c r="AA58" i="10"/>
  <c r="Z58" i="10"/>
  <c r="Y58" i="10"/>
  <c r="X58" i="10"/>
  <c r="AI56" i="10"/>
  <c r="AH56" i="10"/>
  <c r="AG56" i="10"/>
  <c r="AF56" i="10"/>
  <c r="AE56" i="10"/>
  <c r="AD56" i="10"/>
  <c r="AC56" i="10"/>
  <c r="AB56" i="10"/>
  <c r="AA56" i="10"/>
  <c r="Z56" i="10"/>
  <c r="Y56" i="10"/>
  <c r="X56" i="10"/>
  <c r="AI55" i="10"/>
  <c r="AH55" i="10"/>
  <c r="AG55" i="10"/>
  <c r="AF55" i="10"/>
  <c r="AE55" i="10"/>
  <c r="AD55" i="10"/>
  <c r="AC55" i="10"/>
  <c r="AB55" i="10"/>
  <c r="AA55" i="10"/>
  <c r="Z55" i="10"/>
  <c r="Y55" i="10"/>
  <c r="X55" i="10"/>
  <c r="AC52" i="10"/>
  <c r="AB52" i="10"/>
  <c r="AA52" i="10"/>
  <c r="Z52" i="10"/>
  <c r="Y52" i="10"/>
  <c r="X52" i="10"/>
  <c r="AC50" i="10"/>
  <c r="AB50" i="10"/>
  <c r="AA50" i="10"/>
  <c r="Z50" i="10"/>
  <c r="Y50" i="10"/>
  <c r="X50" i="10"/>
  <c r="AG49" i="10"/>
  <c r="AF49" i="10"/>
  <c r="AE49" i="10"/>
  <c r="AD49" i="10"/>
  <c r="AC49" i="10"/>
  <c r="AB49" i="10"/>
  <c r="AA49" i="10"/>
  <c r="Z49" i="10"/>
  <c r="Y49" i="10"/>
  <c r="X49" i="10"/>
  <c r="G47" i="10"/>
  <c r="H47" i="10" s="1"/>
  <c r="I47" i="10" s="1"/>
  <c r="J47" i="10" s="1"/>
  <c r="K47" i="10" s="1"/>
  <c r="L47" i="10" s="1"/>
  <c r="M47" i="10" s="1"/>
  <c r="N47" i="10" s="1"/>
  <c r="O47" i="10" s="1"/>
  <c r="P47" i="10" s="1"/>
  <c r="Q47" i="10" s="1"/>
  <c r="R47" i="10" s="1"/>
  <c r="S47" i="10" s="1"/>
  <c r="T47" i="10" s="1"/>
  <c r="U47" i="10" s="1"/>
  <c r="V47" i="10" s="1"/>
  <c r="W47" i="10" s="1"/>
  <c r="X47" i="10" s="1"/>
  <c r="Y47" i="10" s="1"/>
  <c r="Z47" i="10" s="1"/>
  <c r="AA47" i="10" s="1"/>
  <c r="AB47" i="10" s="1"/>
  <c r="AC47" i="10" s="1"/>
  <c r="AD47" i="10" s="1"/>
  <c r="AE47" i="10" s="1"/>
  <c r="AF47" i="10" s="1"/>
  <c r="AG47" i="10" s="1"/>
  <c r="D43" i="10"/>
  <c r="C14" i="1" s="1"/>
  <c r="D41" i="10"/>
  <c r="G35" i="10"/>
  <c r="H35" i="10" s="1"/>
  <c r="I35" i="10" s="1"/>
  <c r="J35" i="10" s="1"/>
  <c r="K35" i="10" s="1"/>
  <c r="L35" i="10" s="1"/>
  <c r="M35" i="10" s="1"/>
  <c r="N35" i="10" s="1"/>
  <c r="O35" i="10" s="1"/>
  <c r="P35" i="10" s="1"/>
  <c r="Q35" i="10" s="1"/>
  <c r="R35" i="10" s="1"/>
  <c r="S35" i="10" s="1"/>
  <c r="T35" i="10" s="1"/>
  <c r="U35" i="10" s="1"/>
  <c r="V35" i="10" s="1"/>
  <c r="W35" i="10" s="1"/>
  <c r="W28" i="10"/>
  <c r="W68" i="10" s="1"/>
  <c r="V28" i="10"/>
  <c r="V68" i="10" s="1"/>
  <c r="U28" i="10"/>
  <c r="U68" i="10" s="1"/>
  <c r="T28" i="10"/>
  <c r="T68" i="10" s="1"/>
  <c r="S28" i="10"/>
  <c r="S68" i="10" s="1"/>
  <c r="R28" i="10"/>
  <c r="R68" i="10" s="1"/>
  <c r="Q28" i="10"/>
  <c r="Q68" i="10" s="1"/>
  <c r="P28" i="10"/>
  <c r="P68" i="10" s="1"/>
  <c r="O28" i="10"/>
  <c r="O68" i="10" s="1"/>
  <c r="N28" i="10"/>
  <c r="N68" i="10" s="1"/>
  <c r="M28" i="10"/>
  <c r="M68" i="10" s="1"/>
  <c r="L28" i="10"/>
  <c r="L68" i="10" s="1"/>
  <c r="K28" i="10"/>
  <c r="K68" i="10" s="1"/>
  <c r="J28" i="10"/>
  <c r="J68" i="10" s="1"/>
  <c r="I28" i="10"/>
  <c r="I68" i="10" s="1"/>
  <c r="H28" i="10"/>
  <c r="H68" i="10" s="1"/>
  <c r="G28" i="10"/>
  <c r="G68" i="10" s="1"/>
  <c r="F28" i="10"/>
  <c r="F68" i="10" s="1"/>
  <c r="W25" i="10"/>
  <c r="D95" i="10" s="1"/>
  <c r="V25" i="10"/>
  <c r="U25" i="10"/>
  <c r="T25" i="10"/>
  <c r="S25" i="10"/>
  <c r="R25" i="10"/>
  <c r="Q25" i="10"/>
  <c r="P25" i="10"/>
  <c r="O25" i="10"/>
  <c r="N25" i="10"/>
  <c r="M25" i="10"/>
  <c r="L25" i="10"/>
  <c r="K25" i="10"/>
  <c r="J25" i="10"/>
  <c r="I25" i="10"/>
  <c r="H25" i="10"/>
  <c r="G25" i="10"/>
  <c r="F25" i="10"/>
  <c r="W23" i="10"/>
  <c r="W65" i="10" s="1"/>
  <c r="V23" i="10"/>
  <c r="V65" i="10" s="1"/>
  <c r="U23" i="10"/>
  <c r="U65" i="10" s="1"/>
  <c r="T23" i="10"/>
  <c r="T65" i="10" s="1"/>
  <c r="S23" i="10"/>
  <c r="S65" i="10" s="1"/>
  <c r="R23" i="10"/>
  <c r="R65" i="10" s="1"/>
  <c r="Q23" i="10"/>
  <c r="Q65" i="10" s="1"/>
  <c r="P23" i="10"/>
  <c r="P65" i="10" s="1"/>
  <c r="O23" i="10"/>
  <c r="O65" i="10" s="1"/>
  <c r="N23" i="10"/>
  <c r="N65" i="10" s="1"/>
  <c r="M23" i="10"/>
  <c r="M65" i="10" s="1"/>
  <c r="L23" i="10"/>
  <c r="L65" i="10" s="1"/>
  <c r="K23" i="10"/>
  <c r="K65" i="10" s="1"/>
  <c r="J23" i="10"/>
  <c r="J65" i="10" s="1"/>
  <c r="I23" i="10"/>
  <c r="I65" i="10" s="1"/>
  <c r="H23" i="10"/>
  <c r="H65" i="10" s="1"/>
  <c r="G23" i="10"/>
  <c r="G65" i="10" s="1"/>
  <c r="F23" i="10"/>
  <c r="F65" i="10" s="1"/>
  <c r="G22" i="10"/>
  <c r="H22" i="10" s="1"/>
  <c r="I22" i="10" s="1"/>
  <c r="J22" i="10" s="1"/>
  <c r="K22" i="10" s="1"/>
  <c r="L22" i="10" s="1"/>
  <c r="M22" i="10" s="1"/>
  <c r="N22" i="10" s="1"/>
  <c r="O22" i="10" s="1"/>
  <c r="P22" i="10" s="1"/>
  <c r="Q22" i="10" s="1"/>
  <c r="R22" i="10" s="1"/>
  <c r="S22" i="10" s="1"/>
  <c r="T22" i="10" s="1"/>
  <c r="U22" i="10" s="1"/>
  <c r="V22" i="10" s="1"/>
  <c r="W22" i="10" s="1"/>
  <c r="X22" i="10" s="1"/>
  <c r="Y22" i="10" s="1"/>
  <c r="Z22" i="10" s="1"/>
  <c r="AA22" i="10" s="1"/>
  <c r="AB22" i="10" s="1"/>
  <c r="AC22" i="10" s="1"/>
  <c r="AD22" i="10" s="1"/>
  <c r="AE22" i="10" s="1"/>
  <c r="AF22" i="10" s="1"/>
  <c r="AG22" i="10" s="1"/>
  <c r="W19" i="10"/>
  <c r="W20" i="10" s="1"/>
  <c r="V19" i="10"/>
  <c r="V20" i="10" s="1"/>
  <c r="U19" i="10"/>
  <c r="U20" i="10" s="1"/>
  <c r="T19" i="10"/>
  <c r="T20" i="10" s="1"/>
  <c r="S19" i="10"/>
  <c r="S20" i="10" s="1"/>
  <c r="R19" i="10"/>
  <c r="R20" i="10" s="1"/>
  <c r="Q19" i="10"/>
  <c r="Q20" i="10" s="1"/>
  <c r="P19" i="10"/>
  <c r="P20" i="10" s="1"/>
  <c r="O19" i="10"/>
  <c r="O20" i="10" s="1"/>
  <c r="N19" i="10"/>
  <c r="N20" i="10" s="1"/>
  <c r="M19" i="10"/>
  <c r="M20" i="10" s="1"/>
  <c r="L19" i="10"/>
  <c r="L20" i="10" s="1"/>
  <c r="K19" i="10"/>
  <c r="K20" i="10" s="1"/>
  <c r="J19" i="10"/>
  <c r="J20" i="10" s="1"/>
  <c r="I19" i="10"/>
  <c r="I20" i="10" s="1"/>
  <c r="H19" i="10"/>
  <c r="H20" i="10" s="1"/>
  <c r="G19" i="10"/>
  <c r="G20" i="10" s="1"/>
  <c r="F19" i="10"/>
  <c r="F20" i="10" s="1"/>
  <c r="W16" i="10"/>
  <c r="V16" i="10"/>
  <c r="U16" i="10"/>
  <c r="T16" i="10"/>
  <c r="S16" i="10"/>
  <c r="R16" i="10"/>
  <c r="Q16" i="10"/>
  <c r="P16" i="10"/>
  <c r="O16" i="10"/>
  <c r="N16" i="10"/>
  <c r="M16" i="10"/>
  <c r="L16" i="10"/>
  <c r="K16" i="10"/>
  <c r="J16" i="10"/>
  <c r="I16" i="10"/>
  <c r="H16" i="10"/>
  <c r="G16" i="10"/>
  <c r="F16" i="10"/>
  <c r="W13" i="10"/>
  <c r="V13" i="10"/>
  <c r="U13" i="10"/>
  <c r="T13" i="10"/>
  <c r="S13" i="10"/>
  <c r="R13" i="10"/>
  <c r="Q13" i="10"/>
  <c r="P13" i="10"/>
  <c r="O13" i="10"/>
  <c r="N13" i="10"/>
  <c r="M13" i="10"/>
  <c r="L13" i="10"/>
  <c r="K13" i="10"/>
  <c r="J13" i="10"/>
  <c r="I13" i="10"/>
  <c r="H13" i="10"/>
  <c r="G13" i="10"/>
  <c r="F13" i="10"/>
  <c r="W10" i="10"/>
  <c r="V10" i="10"/>
  <c r="U10" i="10"/>
  <c r="T10" i="10"/>
  <c r="S10" i="10"/>
  <c r="R10" i="10"/>
  <c r="Q10" i="10"/>
  <c r="P10" i="10"/>
  <c r="O10" i="10"/>
  <c r="N10" i="10"/>
  <c r="M10" i="10"/>
  <c r="L10" i="10"/>
  <c r="K10" i="10"/>
  <c r="J10" i="10"/>
  <c r="I10" i="10"/>
  <c r="H10" i="10"/>
  <c r="G10" i="10"/>
  <c r="F10" i="10"/>
  <c r="G9" i="10"/>
  <c r="H9" i="10" s="1"/>
  <c r="I9" i="10" s="1"/>
  <c r="J9" i="10" s="1"/>
  <c r="K9" i="10" s="1"/>
  <c r="L9" i="10" s="1"/>
  <c r="M9" i="10" s="1"/>
  <c r="N9" i="10" s="1"/>
  <c r="O9" i="10" s="1"/>
  <c r="P9" i="10" s="1"/>
  <c r="Q9" i="10" s="1"/>
  <c r="R9" i="10" s="1"/>
  <c r="S9" i="10" s="1"/>
  <c r="T9" i="10" s="1"/>
  <c r="U9" i="10" s="1"/>
  <c r="V9" i="10" s="1"/>
  <c r="W9" i="10" s="1"/>
  <c r="X9" i="10" s="1"/>
  <c r="Y9" i="10" s="1"/>
  <c r="Z9" i="10" s="1"/>
  <c r="AA9" i="10" s="1"/>
  <c r="AB9" i="10" s="1"/>
  <c r="AC9" i="10" s="1"/>
  <c r="AD9" i="10" s="1"/>
  <c r="AE9" i="10" s="1"/>
  <c r="AF9" i="10" s="1"/>
  <c r="AG9" i="10" s="1"/>
  <c r="N41" i="9"/>
  <c r="O39" i="9"/>
  <c r="O38" i="9"/>
  <c r="O37" i="9"/>
  <c r="O36" i="9"/>
  <c r="O35" i="9"/>
  <c r="O34" i="9"/>
  <c r="O33" i="9"/>
  <c r="O41" i="9" s="1"/>
  <c r="P41" i="9" s="1"/>
  <c r="F18" i="9" s="1"/>
  <c r="E29" i="9"/>
  <c r="D29" i="9"/>
  <c r="E28" i="9"/>
  <c r="D28" i="9"/>
  <c r="E27" i="9"/>
  <c r="D27" i="9"/>
  <c r="E26" i="9"/>
  <c r="D26" i="9"/>
  <c r="E25" i="9"/>
  <c r="D25" i="9"/>
  <c r="F16" i="9"/>
  <c r="F11" i="9"/>
  <c r="C18" i="1" s="1"/>
  <c r="F9" i="9"/>
  <c r="U23" i="8"/>
  <c r="T23" i="8"/>
  <c r="S23" i="8"/>
  <c r="R23" i="8"/>
  <c r="Q23" i="8"/>
  <c r="P23" i="8"/>
  <c r="O23" i="8"/>
  <c r="N23" i="8"/>
  <c r="M23" i="8"/>
  <c r="L23" i="8"/>
  <c r="K23" i="8"/>
  <c r="J23" i="8"/>
  <c r="I23" i="8"/>
  <c r="H23" i="8"/>
  <c r="G23" i="8"/>
  <c r="F23" i="8"/>
  <c r="E23" i="8"/>
  <c r="D23" i="8"/>
  <c r="C23" i="8"/>
  <c r="U22" i="8"/>
  <c r="T22" i="8"/>
  <c r="S22" i="8"/>
  <c r="R22" i="8"/>
  <c r="Q22" i="8"/>
  <c r="P22" i="8"/>
  <c r="O22" i="8"/>
  <c r="N22" i="8"/>
  <c r="M22" i="8"/>
  <c r="L22" i="8"/>
  <c r="K22" i="8"/>
  <c r="J22" i="8"/>
  <c r="I22" i="8"/>
  <c r="H22" i="8"/>
  <c r="G22" i="8"/>
  <c r="F22" i="8"/>
  <c r="E22" i="8"/>
  <c r="D22" i="8"/>
  <c r="U21" i="8"/>
  <c r="T21" i="8"/>
  <c r="S21" i="8"/>
  <c r="R21" i="8"/>
  <c r="Q21" i="8"/>
  <c r="P21" i="8"/>
  <c r="O21" i="8"/>
  <c r="N21" i="8"/>
  <c r="M21" i="8"/>
  <c r="L21" i="8"/>
  <c r="K21" i="8"/>
  <c r="J21" i="8"/>
  <c r="I21" i="8"/>
  <c r="H21" i="8"/>
  <c r="G21" i="8"/>
  <c r="F21" i="8"/>
  <c r="E21" i="8"/>
  <c r="D21" i="8"/>
  <c r="V19" i="8"/>
  <c r="U19" i="8"/>
  <c r="U20" i="8" s="1"/>
  <c r="T19" i="8"/>
  <c r="T20" i="8" s="1"/>
  <c r="S19" i="8"/>
  <c r="S20" i="8" s="1"/>
  <c r="R19" i="8"/>
  <c r="R20" i="8" s="1"/>
  <c r="Q19" i="8"/>
  <c r="Q20" i="8" s="1"/>
  <c r="P19" i="8"/>
  <c r="P20" i="8" s="1"/>
  <c r="O19" i="8"/>
  <c r="O20" i="8" s="1"/>
  <c r="N19" i="8"/>
  <c r="N20" i="8" s="1"/>
  <c r="M19" i="8"/>
  <c r="M20" i="8" s="1"/>
  <c r="L19" i="8"/>
  <c r="L20" i="8" s="1"/>
  <c r="K19" i="8"/>
  <c r="K20" i="8" s="1"/>
  <c r="J19" i="8"/>
  <c r="J20" i="8" s="1"/>
  <c r="I19" i="8"/>
  <c r="I20" i="8" s="1"/>
  <c r="H19" i="8"/>
  <c r="H20" i="8" s="1"/>
  <c r="G19" i="8"/>
  <c r="G20" i="8" s="1"/>
  <c r="F19" i="8"/>
  <c r="F20" i="8" s="1"/>
  <c r="E19" i="8"/>
  <c r="E20" i="8" s="1"/>
  <c r="D19" i="8"/>
  <c r="D20" i="8" s="1"/>
  <c r="U12" i="8"/>
  <c r="T12" i="8"/>
  <c r="S12" i="8"/>
  <c r="R12" i="8"/>
  <c r="Q12" i="8"/>
  <c r="P12" i="8"/>
  <c r="O12" i="8"/>
  <c r="N12" i="8"/>
  <c r="M12" i="8"/>
  <c r="L12" i="8"/>
  <c r="K12" i="8"/>
  <c r="J12" i="8"/>
  <c r="I12" i="8"/>
  <c r="H12" i="8"/>
  <c r="G12" i="8"/>
  <c r="F12" i="8"/>
  <c r="E12" i="8"/>
  <c r="D12" i="8"/>
  <c r="C12" i="8"/>
  <c r="V8" i="8"/>
  <c r="U8" i="8"/>
  <c r="T8" i="8"/>
  <c r="S8" i="8"/>
  <c r="R8" i="8"/>
  <c r="Q8" i="8"/>
  <c r="P8" i="8"/>
  <c r="O8" i="8"/>
  <c r="N8" i="8"/>
  <c r="M8" i="8"/>
  <c r="L8" i="8"/>
  <c r="K8" i="8"/>
  <c r="J8" i="8"/>
  <c r="I8" i="8"/>
  <c r="H8" i="8"/>
  <c r="G8" i="8"/>
  <c r="F8" i="8"/>
  <c r="E8" i="8"/>
  <c r="D8" i="8"/>
  <c r="E5" i="8"/>
  <c r="F5" i="8" s="1"/>
  <c r="G5" i="8" s="1"/>
  <c r="H5" i="8" s="1"/>
  <c r="I5" i="8" s="1"/>
  <c r="J5" i="8" s="1"/>
  <c r="K5" i="8" s="1"/>
  <c r="L5" i="8" s="1"/>
  <c r="M5" i="8" s="1"/>
  <c r="N5" i="8" s="1"/>
  <c r="O5" i="8" s="1"/>
  <c r="P5" i="8" s="1"/>
  <c r="Q5" i="8" s="1"/>
  <c r="R5" i="8" s="1"/>
  <c r="S5" i="8" s="1"/>
  <c r="T5" i="8" s="1"/>
  <c r="U5" i="8" s="1"/>
  <c r="V5" i="8" s="1"/>
  <c r="W5" i="8" s="1"/>
  <c r="X5" i="8" s="1"/>
  <c r="Y5" i="8" s="1"/>
  <c r="Z5" i="8" s="1"/>
  <c r="AA5" i="8" s="1"/>
  <c r="AB5" i="8" s="1"/>
  <c r="AC5" i="8" s="1"/>
  <c r="AD5" i="8" s="1"/>
  <c r="AE5" i="8" s="1"/>
  <c r="U11" i="7"/>
  <c r="T11" i="7"/>
  <c r="S11" i="7"/>
  <c r="R11" i="7"/>
  <c r="Q11" i="7"/>
  <c r="P11" i="7"/>
  <c r="O11" i="7"/>
  <c r="N11" i="7"/>
  <c r="M11" i="7"/>
  <c r="L11" i="7"/>
  <c r="K11" i="7"/>
  <c r="J11" i="7"/>
  <c r="I11" i="7"/>
  <c r="H11" i="7"/>
  <c r="G11" i="7"/>
  <c r="F11" i="7"/>
  <c r="E11" i="7"/>
  <c r="D11" i="7"/>
  <c r="U10" i="7"/>
  <c r="T10" i="7"/>
  <c r="S10" i="7"/>
  <c r="R10" i="7"/>
  <c r="Q10" i="7"/>
  <c r="P10" i="7"/>
  <c r="O10" i="7"/>
  <c r="N10" i="7"/>
  <c r="M10" i="7"/>
  <c r="L10" i="7"/>
  <c r="K10" i="7"/>
  <c r="J10" i="7"/>
  <c r="I10" i="7"/>
  <c r="H10" i="7"/>
  <c r="G10" i="7"/>
  <c r="F10" i="7"/>
  <c r="E10" i="7"/>
  <c r="D10" i="7"/>
  <c r="U8" i="7"/>
  <c r="E84" i="10" s="1"/>
  <c r="T8" i="7"/>
  <c r="S8" i="7"/>
  <c r="R8" i="7"/>
  <c r="Q8" i="7"/>
  <c r="P8" i="7"/>
  <c r="O8" i="7"/>
  <c r="N8" i="7"/>
  <c r="M8" i="7"/>
  <c r="L8" i="7"/>
  <c r="K8" i="7"/>
  <c r="J8" i="7"/>
  <c r="I8" i="7"/>
  <c r="H8" i="7"/>
  <c r="G8" i="7"/>
  <c r="F8" i="7"/>
  <c r="E8" i="7"/>
  <c r="D8" i="7"/>
  <c r="C8" i="7"/>
  <c r="V6" i="7"/>
  <c r="U6" i="7"/>
  <c r="U7" i="7" s="1"/>
  <c r="T6" i="7"/>
  <c r="T7" i="7" s="1"/>
  <c r="S6" i="7"/>
  <c r="S7" i="7" s="1"/>
  <c r="R6" i="7"/>
  <c r="R7" i="7" s="1"/>
  <c r="Q6" i="7"/>
  <c r="Q7" i="7" s="1"/>
  <c r="P6" i="7"/>
  <c r="P7" i="7" s="1"/>
  <c r="O6" i="7"/>
  <c r="O7" i="7" s="1"/>
  <c r="N6" i="7"/>
  <c r="N7" i="7" s="1"/>
  <c r="M6" i="7"/>
  <c r="M7" i="7" s="1"/>
  <c r="L6" i="7"/>
  <c r="L7" i="7" s="1"/>
  <c r="K6" i="7"/>
  <c r="K7" i="7" s="1"/>
  <c r="J6" i="7"/>
  <c r="J7" i="7" s="1"/>
  <c r="I6" i="7"/>
  <c r="I7" i="7" s="1"/>
  <c r="H6" i="7"/>
  <c r="H7" i="7" s="1"/>
  <c r="G6" i="7"/>
  <c r="G7" i="7" s="1"/>
  <c r="F6" i="7"/>
  <c r="F7" i="7" s="1"/>
  <c r="E6" i="7"/>
  <c r="E7" i="7" s="1"/>
  <c r="D6" i="7"/>
  <c r="D7" i="7" s="1"/>
  <c r="E5" i="7"/>
  <c r="F5" i="7" s="1"/>
  <c r="G5" i="7" s="1"/>
  <c r="H5" i="7" s="1"/>
  <c r="I5" i="7" s="1"/>
  <c r="J5" i="7" s="1"/>
  <c r="K5" i="7" s="1"/>
  <c r="L5" i="7" s="1"/>
  <c r="M5" i="7" s="1"/>
  <c r="N5" i="7" s="1"/>
  <c r="O5" i="7" s="1"/>
  <c r="P5" i="7" s="1"/>
  <c r="Q5" i="7" s="1"/>
  <c r="R5" i="7" s="1"/>
  <c r="S5" i="7" s="1"/>
  <c r="T5" i="7" s="1"/>
  <c r="U5" i="7" s="1"/>
  <c r="V5" i="7" s="1"/>
  <c r="W5" i="7" s="1"/>
  <c r="X5" i="7" s="1"/>
  <c r="Y5" i="7" s="1"/>
  <c r="Z5" i="7" s="1"/>
  <c r="AA5" i="7" s="1"/>
  <c r="AB5" i="7" s="1"/>
  <c r="AC5" i="7" s="1"/>
  <c r="AD5" i="7" s="1"/>
  <c r="AE5" i="7" s="1"/>
  <c r="V14" i="6"/>
  <c r="V24" i="6" s="1"/>
  <c r="U14" i="6"/>
  <c r="U24" i="6" s="1"/>
  <c r="T14" i="6"/>
  <c r="T24" i="6" s="1"/>
  <c r="S14" i="6"/>
  <c r="S24" i="6" s="1"/>
  <c r="R14" i="6"/>
  <c r="R24" i="6" s="1"/>
  <c r="Q14" i="6"/>
  <c r="Q24" i="6" s="1"/>
  <c r="P14" i="6"/>
  <c r="P24" i="6" s="1"/>
  <c r="O14" i="6"/>
  <c r="O24" i="6" s="1"/>
  <c r="N14" i="6"/>
  <c r="N24" i="6" s="1"/>
  <c r="M14" i="6"/>
  <c r="M24" i="6" s="1"/>
  <c r="L14" i="6"/>
  <c r="L24" i="6" s="1"/>
  <c r="K14" i="6"/>
  <c r="K24" i="6" s="1"/>
  <c r="J14" i="6"/>
  <c r="J24" i="6" s="1"/>
  <c r="I14" i="6"/>
  <c r="I24" i="6" s="1"/>
  <c r="H14" i="6"/>
  <c r="H24" i="6" s="1"/>
  <c r="G14" i="6"/>
  <c r="G24" i="6" s="1"/>
  <c r="F14" i="6"/>
  <c r="F24" i="6" s="1"/>
  <c r="E14" i="6"/>
  <c r="E24" i="6" s="1"/>
  <c r="D14" i="6"/>
  <c r="V13" i="6"/>
  <c r="V15" i="6" s="1"/>
  <c r="U13" i="6"/>
  <c r="U15" i="6" s="1"/>
  <c r="T13" i="6"/>
  <c r="T15" i="6" s="1"/>
  <c r="S13" i="6"/>
  <c r="S15" i="6" s="1"/>
  <c r="R13" i="6"/>
  <c r="R15" i="6" s="1"/>
  <c r="Q13" i="6"/>
  <c r="Q15" i="6" s="1"/>
  <c r="P13" i="6"/>
  <c r="P15" i="6" s="1"/>
  <c r="O13" i="6"/>
  <c r="O15" i="6" s="1"/>
  <c r="N13" i="6"/>
  <c r="N15" i="6" s="1"/>
  <c r="M13" i="6"/>
  <c r="M15" i="6" s="1"/>
  <c r="L13" i="6"/>
  <c r="L15" i="6" s="1"/>
  <c r="K13" i="6"/>
  <c r="K15" i="6" s="1"/>
  <c r="J13" i="6"/>
  <c r="J15" i="6" s="1"/>
  <c r="I13" i="6"/>
  <c r="I15" i="6" s="1"/>
  <c r="H13" i="6"/>
  <c r="H15" i="6" s="1"/>
  <c r="G13" i="6"/>
  <c r="G15" i="6" s="1"/>
  <c r="F13" i="6"/>
  <c r="F15" i="6" s="1"/>
  <c r="E13" i="6"/>
  <c r="E15" i="6" s="1"/>
  <c r="D13" i="6"/>
  <c r="D15" i="6" s="1"/>
  <c r="V9" i="6"/>
  <c r="U9" i="6"/>
  <c r="T9" i="6"/>
  <c r="S9" i="6"/>
  <c r="R9" i="6"/>
  <c r="Q9" i="6"/>
  <c r="P9" i="6"/>
  <c r="P22" i="6" s="1"/>
  <c r="O9" i="6"/>
  <c r="O22" i="6" s="1"/>
  <c r="N9" i="6"/>
  <c r="N22" i="6" s="1"/>
  <c r="M9" i="6"/>
  <c r="M22" i="6" s="1"/>
  <c r="L9" i="6"/>
  <c r="L22" i="6" s="1"/>
  <c r="K9" i="6"/>
  <c r="K22" i="6" s="1"/>
  <c r="J9" i="6"/>
  <c r="J22" i="6" s="1"/>
  <c r="I9" i="6"/>
  <c r="I22" i="6" s="1"/>
  <c r="H9" i="6"/>
  <c r="H22" i="6" s="1"/>
  <c r="G9" i="6"/>
  <c r="G22" i="6" s="1"/>
  <c r="F9" i="6"/>
  <c r="F22" i="6" s="1"/>
  <c r="E9" i="6"/>
  <c r="E22" i="6" s="1"/>
  <c r="D9" i="6"/>
  <c r="V8" i="6"/>
  <c r="U8" i="6"/>
  <c r="T8" i="6"/>
  <c r="S8" i="6"/>
  <c r="R8" i="6"/>
  <c r="Q8" i="6"/>
  <c r="P8" i="6"/>
  <c r="O8" i="6"/>
  <c r="N8" i="6"/>
  <c r="M8" i="6"/>
  <c r="L8" i="6"/>
  <c r="K8" i="6"/>
  <c r="J8" i="6"/>
  <c r="I8" i="6"/>
  <c r="H8" i="6"/>
  <c r="G8" i="6"/>
  <c r="F8" i="6"/>
  <c r="E8" i="6"/>
  <c r="D8" i="6"/>
  <c r="V7" i="6"/>
  <c r="U7" i="6"/>
  <c r="T7" i="6"/>
  <c r="S7" i="6"/>
  <c r="R7" i="6"/>
  <c r="Q7" i="6"/>
  <c r="P7" i="6"/>
  <c r="O7" i="6"/>
  <c r="N7" i="6"/>
  <c r="M7" i="6"/>
  <c r="L7" i="6"/>
  <c r="K7" i="6"/>
  <c r="J7" i="6"/>
  <c r="I7" i="6"/>
  <c r="H7" i="6"/>
  <c r="G7" i="6"/>
  <c r="F7" i="6"/>
  <c r="E7" i="6"/>
  <c r="D7" i="6"/>
  <c r="F5" i="6"/>
  <c r="G5" i="6" s="1"/>
  <c r="H5" i="6" s="1"/>
  <c r="I5" i="6" s="1"/>
  <c r="J5" i="6" s="1"/>
  <c r="K5" i="6" s="1"/>
  <c r="L5" i="6" s="1"/>
  <c r="M5" i="6" s="1"/>
  <c r="N5" i="6" s="1"/>
  <c r="O5" i="6" s="1"/>
  <c r="P5" i="6" s="1"/>
  <c r="Q5" i="6" s="1"/>
  <c r="R5" i="6" s="1"/>
  <c r="S5" i="6" s="1"/>
  <c r="T5" i="6" s="1"/>
  <c r="U5" i="6" s="1"/>
  <c r="V5" i="6" s="1"/>
  <c r="W5" i="6" s="1"/>
  <c r="X5" i="6" s="1"/>
  <c r="Y5" i="6" s="1"/>
  <c r="Z5" i="6" s="1"/>
  <c r="AA5" i="6" s="1"/>
  <c r="AB5" i="6" s="1"/>
  <c r="AC5" i="6" s="1"/>
  <c r="AD5" i="6" s="1"/>
  <c r="AE5" i="6" s="1"/>
  <c r="AF5" i="6" s="1"/>
  <c r="J55" i="5"/>
  <c r="K55" i="5" s="1"/>
  <c r="L55" i="5" s="1"/>
  <c r="M55" i="5" s="1"/>
  <c r="F55" i="5"/>
  <c r="G55" i="5" s="1"/>
  <c r="H55" i="5" s="1"/>
  <c r="I55" i="5" s="1"/>
  <c r="B55" i="5"/>
  <c r="C55" i="5" s="1"/>
  <c r="D55" i="5" s="1"/>
  <c r="E55" i="5" s="1"/>
  <c r="U45" i="2"/>
  <c r="U27" i="2" s="1"/>
  <c r="T45" i="2"/>
  <c r="S45" i="2"/>
  <c r="S27" i="2" s="1"/>
  <c r="R45" i="2"/>
  <c r="R27" i="2" s="1"/>
  <c r="Q45" i="2"/>
  <c r="Q27" i="2" s="1"/>
  <c r="P45" i="2"/>
  <c r="P27" i="2" s="1"/>
  <c r="O45" i="2"/>
  <c r="O27" i="2" s="1"/>
  <c r="N45" i="2"/>
  <c r="N27" i="2" s="1"/>
  <c r="M45" i="2"/>
  <c r="M27" i="2" s="1"/>
  <c r="L45" i="2"/>
  <c r="L27" i="2" s="1"/>
  <c r="K45" i="2"/>
  <c r="K27" i="2" s="1"/>
  <c r="J45" i="2"/>
  <c r="J27" i="2" s="1"/>
  <c r="I45" i="2"/>
  <c r="I27" i="2" s="1"/>
  <c r="H45" i="2"/>
  <c r="H27" i="2" s="1"/>
  <c r="G45" i="2"/>
  <c r="G27" i="2" s="1"/>
  <c r="F45" i="2"/>
  <c r="F27" i="2" s="1"/>
  <c r="E45" i="2"/>
  <c r="E27" i="2" s="1"/>
  <c r="D45" i="2"/>
  <c r="D27" i="2" s="1"/>
  <c r="C45" i="2"/>
  <c r="C27" i="2" s="1"/>
  <c r="B45" i="2"/>
  <c r="B27" i="2" s="1"/>
  <c r="U43" i="2"/>
  <c r="S43" i="2"/>
  <c r="R43" i="2"/>
  <c r="Q43" i="2"/>
  <c r="P43" i="2"/>
  <c r="O43" i="2"/>
  <c r="N43" i="2"/>
  <c r="M43" i="2"/>
  <c r="L43" i="2"/>
  <c r="K43" i="2"/>
  <c r="J43" i="2"/>
  <c r="I43" i="2"/>
  <c r="H43" i="2"/>
  <c r="G43" i="2"/>
  <c r="F43" i="2"/>
  <c r="E43" i="2"/>
  <c r="D43" i="2"/>
  <c r="C43" i="2"/>
  <c r="B43" i="2"/>
  <c r="U42" i="2"/>
  <c r="T42" i="2"/>
  <c r="S42" i="2"/>
  <c r="R42" i="2"/>
  <c r="Q42" i="2"/>
  <c r="P42" i="2"/>
  <c r="O42" i="2"/>
  <c r="N42" i="2"/>
  <c r="M42" i="2"/>
  <c r="L42" i="2"/>
  <c r="K42" i="2"/>
  <c r="J42" i="2"/>
  <c r="I42" i="2"/>
  <c r="H42" i="2"/>
  <c r="G42" i="2"/>
  <c r="F42" i="2"/>
  <c r="E42" i="2"/>
  <c r="D42" i="2"/>
  <c r="C42" i="2"/>
  <c r="U39" i="2"/>
  <c r="S39" i="2"/>
  <c r="R39" i="2"/>
  <c r="Q39" i="2"/>
  <c r="P39" i="2"/>
  <c r="O39" i="2"/>
  <c r="N39" i="2"/>
  <c r="M39" i="2"/>
  <c r="L39" i="2"/>
  <c r="K39" i="2"/>
  <c r="J39" i="2"/>
  <c r="I39" i="2"/>
  <c r="H39" i="2"/>
  <c r="G39" i="2"/>
  <c r="F39" i="2"/>
  <c r="E39" i="2"/>
  <c r="D39" i="2"/>
  <c r="C39" i="2"/>
  <c r="B39" i="2"/>
  <c r="U38" i="2"/>
  <c r="T38" i="2"/>
  <c r="S38" i="2"/>
  <c r="R38" i="2"/>
  <c r="Q38" i="2"/>
  <c r="P38" i="2"/>
  <c r="O38" i="2"/>
  <c r="N38" i="2"/>
  <c r="M38" i="2"/>
  <c r="L38" i="2"/>
  <c r="K38" i="2"/>
  <c r="J38" i="2"/>
  <c r="I38" i="2"/>
  <c r="H38" i="2"/>
  <c r="G38" i="2"/>
  <c r="F38" i="2"/>
  <c r="E38" i="2"/>
  <c r="D38" i="2"/>
  <c r="C38" i="2"/>
  <c r="U35" i="2"/>
  <c r="S35" i="2"/>
  <c r="R35" i="2"/>
  <c r="Q35" i="2"/>
  <c r="P35" i="2"/>
  <c r="O35" i="2"/>
  <c r="N35" i="2"/>
  <c r="M35" i="2"/>
  <c r="L35" i="2"/>
  <c r="K35" i="2"/>
  <c r="J35" i="2"/>
  <c r="I35" i="2"/>
  <c r="H35" i="2"/>
  <c r="G35" i="2"/>
  <c r="F35" i="2"/>
  <c r="E35" i="2"/>
  <c r="D35" i="2"/>
  <c r="C35" i="2"/>
  <c r="B35" i="2"/>
  <c r="U34" i="2"/>
  <c r="T34" i="2"/>
  <c r="S34" i="2"/>
  <c r="R34" i="2"/>
  <c r="Q34" i="2"/>
  <c r="P34" i="2"/>
  <c r="O34" i="2"/>
  <c r="N34" i="2"/>
  <c r="M34" i="2"/>
  <c r="L34" i="2"/>
  <c r="K34" i="2"/>
  <c r="J34" i="2"/>
  <c r="I34" i="2"/>
  <c r="H34" i="2"/>
  <c r="G34" i="2"/>
  <c r="F34" i="2"/>
  <c r="E34" i="2"/>
  <c r="D34" i="2"/>
  <c r="C34" i="2"/>
  <c r="U31" i="2"/>
  <c r="S31" i="2"/>
  <c r="R31" i="2"/>
  <c r="Q31" i="2"/>
  <c r="P31" i="2"/>
  <c r="O31" i="2"/>
  <c r="N31" i="2"/>
  <c r="M31" i="2"/>
  <c r="L31" i="2"/>
  <c r="K31" i="2"/>
  <c r="J31" i="2"/>
  <c r="I31" i="2"/>
  <c r="H31" i="2"/>
  <c r="G31" i="2"/>
  <c r="F31" i="2"/>
  <c r="E31" i="2"/>
  <c r="D31" i="2"/>
  <c r="C31" i="2"/>
  <c r="B31" i="2"/>
  <c r="U30" i="2"/>
  <c r="T30" i="2"/>
  <c r="S30" i="2"/>
  <c r="R30" i="2"/>
  <c r="Q30" i="2"/>
  <c r="P30" i="2"/>
  <c r="O30" i="2"/>
  <c r="N30" i="2"/>
  <c r="M30" i="2"/>
  <c r="L30" i="2"/>
  <c r="K30" i="2"/>
  <c r="J30" i="2"/>
  <c r="I30" i="2"/>
  <c r="H30" i="2"/>
  <c r="G30" i="2"/>
  <c r="F30" i="2"/>
  <c r="E30" i="2"/>
  <c r="D30" i="2"/>
  <c r="C30" i="2"/>
  <c r="U26" i="2"/>
  <c r="T26" i="2"/>
  <c r="S26" i="2"/>
  <c r="R26" i="2"/>
  <c r="Q26" i="2"/>
  <c r="P26" i="2"/>
  <c r="O26" i="2"/>
  <c r="N26" i="2"/>
  <c r="M26" i="2"/>
  <c r="L26" i="2"/>
  <c r="K26" i="2"/>
  <c r="J26" i="2"/>
  <c r="I26" i="2"/>
  <c r="H26" i="2"/>
  <c r="G26" i="2"/>
  <c r="F26" i="2"/>
  <c r="E26" i="2"/>
  <c r="D26" i="2"/>
  <c r="C26" i="2"/>
  <c r="U17" i="2"/>
  <c r="T17" i="2"/>
  <c r="S17" i="2"/>
  <c r="R17" i="2"/>
  <c r="Q17" i="2"/>
  <c r="P17" i="2"/>
  <c r="O17" i="2"/>
  <c r="N17" i="2"/>
  <c r="M17" i="2"/>
  <c r="L17" i="2"/>
  <c r="K17" i="2"/>
  <c r="J17" i="2"/>
  <c r="I17" i="2"/>
  <c r="H17" i="2"/>
  <c r="G17" i="2"/>
  <c r="F17" i="2"/>
  <c r="E17" i="2"/>
  <c r="D17" i="2"/>
  <c r="C17" i="2"/>
  <c r="B17" i="2"/>
  <c r="U14" i="2"/>
  <c r="T14" i="2"/>
  <c r="S14" i="2"/>
  <c r="R14" i="2"/>
  <c r="Q14" i="2"/>
  <c r="P14" i="2"/>
  <c r="O14" i="2"/>
  <c r="N14" i="2"/>
  <c r="M14" i="2"/>
  <c r="L14" i="2"/>
  <c r="K14" i="2"/>
  <c r="J14" i="2"/>
  <c r="I14" i="2"/>
  <c r="H14" i="2"/>
  <c r="G14" i="2"/>
  <c r="F14" i="2"/>
  <c r="E14" i="2"/>
  <c r="D14" i="2"/>
  <c r="C14" i="2"/>
  <c r="B14" i="2"/>
  <c r="U11" i="2"/>
  <c r="T11" i="2"/>
  <c r="S11" i="2"/>
  <c r="R11" i="2"/>
  <c r="Q11" i="2"/>
  <c r="P11" i="2"/>
  <c r="O11" i="2"/>
  <c r="N11" i="2"/>
  <c r="M11" i="2"/>
  <c r="L11" i="2"/>
  <c r="K11" i="2"/>
  <c r="J11" i="2"/>
  <c r="I11" i="2"/>
  <c r="H11" i="2"/>
  <c r="G11" i="2"/>
  <c r="F11" i="2"/>
  <c r="E11" i="2"/>
  <c r="D11" i="2"/>
  <c r="C11" i="2"/>
  <c r="B11" i="2"/>
  <c r="U8" i="2"/>
  <c r="T8" i="2"/>
  <c r="S8" i="2"/>
  <c r="R8" i="2"/>
  <c r="Q8" i="2"/>
  <c r="P8" i="2"/>
  <c r="O8" i="2"/>
  <c r="N8" i="2"/>
  <c r="M8" i="2"/>
  <c r="L8" i="2"/>
  <c r="K8" i="2"/>
  <c r="J8" i="2"/>
  <c r="I8" i="2"/>
  <c r="H8" i="2"/>
  <c r="G8" i="2"/>
  <c r="F8" i="2"/>
  <c r="E8" i="2"/>
  <c r="D8" i="2"/>
  <c r="C8" i="2"/>
  <c r="B8" i="2"/>
  <c r="U5" i="2"/>
  <c r="T5" i="2"/>
  <c r="S5" i="2"/>
  <c r="R5" i="2"/>
  <c r="Q5" i="2"/>
  <c r="P5" i="2"/>
  <c r="O5" i="2"/>
  <c r="N5" i="2"/>
  <c r="M5" i="2"/>
  <c r="L5" i="2"/>
  <c r="K5" i="2"/>
  <c r="J5" i="2"/>
  <c r="I5" i="2"/>
  <c r="H5" i="2"/>
  <c r="G5" i="2"/>
  <c r="F5" i="2"/>
  <c r="E5" i="2"/>
  <c r="D5" i="2"/>
  <c r="C5" i="2"/>
  <c r="B5" i="2"/>
  <c r="C23" i="1"/>
  <c r="C21" i="1"/>
  <c r="C20" i="1"/>
  <c r="C19" i="1"/>
  <c r="C10" i="1"/>
  <c r="V10" i="6" l="1"/>
  <c r="V17" i="6" s="1"/>
  <c r="U10" i="6"/>
  <c r="U17" i="6" s="1"/>
  <c r="T10" i="6"/>
  <c r="T17" i="6" s="1"/>
  <c r="S10" i="6"/>
  <c r="S17" i="6" s="1"/>
  <c r="R10" i="6"/>
  <c r="R17" i="6" s="1"/>
  <c r="Q10" i="6"/>
  <c r="Q17" i="6" s="1"/>
  <c r="P10" i="6"/>
  <c r="P17" i="6" s="1"/>
  <c r="O10" i="6"/>
  <c r="O17" i="6" s="1"/>
  <c r="N10" i="6"/>
  <c r="N17" i="6" s="1"/>
  <c r="M10" i="6"/>
  <c r="M17" i="6" s="1"/>
  <c r="L10" i="6"/>
  <c r="L17" i="6" s="1"/>
  <c r="K10" i="6"/>
  <c r="K17" i="6" s="1"/>
  <c r="J10" i="6"/>
  <c r="J17" i="6" s="1"/>
  <c r="I10" i="6"/>
  <c r="I17" i="6" s="1"/>
  <c r="H10" i="6"/>
  <c r="H17" i="6" s="1"/>
  <c r="G10" i="6"/>
  <c r="G17" i="6" s="1"/>
  <c r="F10" i="6"/>
  <c r="F17" i="6" s="1"/>
  <c r="E10" i="6"/>
  <c r="E17" i="6" s="1"/>
  <c r="D10" i="6"/>
  <c r="D17" i="6" s="1"/>
  <c r="W29" i="10"/>
  <c r="W69" i="10" s="1"/>
  <c r="V29" i="10"/>
  <c r="U29" i="10"/>
  <c r="U69" i="10" s="1"/>
  <c r="T29" i="10"/>
  <c r="T69" i="10" s="1"/>
  <c r="S29" i="10"/>
  <c r="S69" i="10" s="1"/>
  <c r="R29" i="10"/>
  <c r="R69" i="10" s="1"/>
  <c r="Q29" i="10"/>
  <c r="Q69" i="10" s="1"/>
  <c r="P29" i="10"/>
  <c r="P69" i="10" s="1"/>
  <c r="O29" i="10"/>
  <c r="O69" i="10" s="1"/>
  <c r="N29" i="10"/>
  <c r="N69" i="10" s="1"/>
  <c r="M29" i="10"/>
  <c r="M69" i="10" s="1"/>
  <c r="L29" i="10"/>
  <c r="L69" i="10" s="1"/>
  <c r="K29" i="10"/>
  <c r="K69" i="10" s="1"/>
  <c r="J29" i="10"/>
  <c r="J69" i="10" s="1"/>
  <c r="I29" i="10"/>
  <c r="I69" i="10" s="1"/>
  <c r="H29" i="10"/>
  <c r="H69" i="10" s="1"/>
  <c r="G29" i="10"/>
  <c r="G69" i="10" s="1"/>
  <c r="F29" i="10"/>
  <c r="F69" i="10" s="1"/>
  <c r="W14" i="10"/>
  <c r="V14" i="10"/>
  <c r="U14" i="10"/>
  <c r="Z14" i="10" s="1"/>
  <c r="T14" i="10"/>
  <c r="Y14" i="10" s="1"/>
  <c r="S14" i="10"/>
  <c r="R14" i="10"/>
  <c r="Q14" i="10"/>
  <c r="P14" i="10"/>
  <c r="O14" i="10"/>
  <c r="N14" i="10"/>
  <c r="M14" i="10"/>
  <c r="L14" i="10"/>
  <c r="K14" i="10"/>
  <c r="J14" i="10"/>
  <c r="I14" i="10"/>
  <c r="H14" i="10"/>
  <c r="G14" i="10"/>
  <c r="F14" i="10"/>
  <c r="F17" i="9"/>
  <c r="U25" i="8"/>
  <c r="T25" i="8"/>
  <c r="S25" i="8"/>
  <c r="R25" i="8"/>
  <c r="Q25" i="8"/>
  <c r="P25" i="8"/>
  <c r="O25" i="8"/>
  <c r="N25" i="8"/>
  <c r="M25" i="8"/>
  <c r="L25" i="8"/>
  <c r="K25" i="8"/>
  <c r="J25" i="8"/>
  <c r="I25" i="8"/>
  <c r="H25" i="8"/>
  <c r="G25" i="8"/>
  <c r="F25" i="8"/>
  <c r="E25" i="8"/>
  <c r="D25" i="8"/>
  <c r="U12" i="7"/>
  <c r="T12" i="7"/>
  <c r="S12" i="7"/>
  <c r="R12" i="7"/>
  <c r="Q12" i="7"/>
  <c r="P12" i="7"/>
  <c r="O12" i="7"/>
  <c r="N12" i="7"/>
  <c r="M12" i="7"/>
  <c r="L12" i="7"/>
  <c r="K12" i="7"/>
  <c r="J12" i="7"/>
  <c r="I12" i="7"/>
  <c r="H12" i="7"/>
  <c r="G12" i="7"/>
  <c r="F12" i="7"/>
  <c r="E12" i="7"/>
  <c r="D12" i="7"/>
  <c r="U46" i="2"/>
  <c r="S46" i="2"/>
  <c r="R46" i="2"/>
  <c r="Q46" i="2"/>
  <c r="P46" i="2"/>
  <c r="O46" i="2"/>
  <c r="N46" i="2"/>
  <c r="M46" i="2"/>
  <c r="L46" i="2"/>
  <c r="K46" i="2"/>
  <c r="J46" i="2"/>
  <c r="I46" i="2"/>
  <c r="H46" i="2"/>
  <c r="G46" i="2"/>
  <c r="F46" i="2"/>
  <c r="E46" i="2"/>
  <c r="D46" i="2"/>
  <c r="C46" i="2"/>
  <c r="H105" i="10"/>
  <c r="G105" i="10"/>
  <c r="F105" i="10"/>
  <c r="E105" i="10"/>
  <c r="D105" i="10"/>
  <c r="AI25" i="10"/>
  <c r="AH25" i="10"/>
  <c r="AG25" i="10"/>
  <c r="AF25" i="10"/>
  <c r="AE25" i="10"/>
  <c r="AD25" i="10"/>
  <c r="AC25" i="10"/>
  <c r="AB25" i="10"/>
  <c r="AA25" i="10"/>
  <c r="Z25" i="10"/>
  <c r="Y25" i="10"/>
  <c r="X25" i="10"/>
  <c r="AH50" i="10"/>
  <c r="AG50" i="10"/>
  <c r="AF50" i="10"/>
  <c r="AE50" i="10"/>
  <c r="AD50" i="10"/>
  <c r="AI52" i="10"/>
  <c r="AH52" i="10"/>
  <c r="AG52" i="10"/>
  <c r="AF52" i="10"/>
  <c r="AE52" i="10"/>
  <c r="AD52" i="10"/>
  <c r="AI50" i="10"/>
  <c r="W24" i="10"/>
  <c r="U11" i="8" s="1"/>
  <c r="W26" i="10"/>
  <c r="W66" i="10" s="1"/>
  <c r="V26" i="10"/>
  <c r="V66" i="10" s="1"/>
  <c r="V24" i="10"/>
  <c r="T11" i="8" s="1"/>
  <c r="U24" i="10"/>
  <c r="S11" i="8" s="1"/>
  <c r="U26" i="10"/>
  <c r="U66" i="10" s="1"/>
  <c r="T24" i="10"/>
  <c r="R11" i="8" s="1"/>
  <c r="T26" i="10"/>
  <c r="S24" i="10"/>
  <c r="Q11" i="8" s="1"/>
  <c r="S26" i="10"/>
  <c r="S66" i="10" s="1"/>
  <c r="R24" i="10"/>
  <c r="P11" i="8" s="1"/>
  <c r="R26" i="10"/>
  <c r="R66" i="10" s="1"/>
  <c r="Q24" i="10"/>
  <c r="O11" i="8" s="1"/>
  <c r="Q26" i="10"/>
  <c r="Q66" i="10" s="1"/>
  <c r="P24" i="10"/>
  <c r="N11" i="8" s="1"/>
  <c r="P26" i="10"/>
  <c r="P66" i="10" s="1"/>
  <c r="O26" i="10"/>
  <c r="O66" i="10" s="1"/>
  <c r="O24" i="10"/>
  <c r="M11" i="8" s="1"/>
  <c r="N24" i="10"/>
  <c r="L11" i="8" s="1"/>
  <c r="N26" i="10"/>
  <c r="N66" i="10" s="1"/>
  <c r="M24" i="10"/>
  <c r="K11" i="8" s="1"/>
  <c r="M26" i="10"/>
  <c r="M66" i="10" s="1"/>
  <c r="L24" i="10"/>
  <c r="J11" i="8" s="1"/>
  <c r="L26" i="10"/>
  <c r="L66" i="10" s="1"/>
  <c r="K24" i="10"/>
  <c r="I11" i="8" s="1"/>
  <c r="K26" i="10"/>
  <c r="K66" i="10" s="1"/>
  <c r="J24" i="10"/>
  <c r="H11" i="8" s="1"/>
  <c r="J26" i="10"/>
  <c r="J66" i="10" s="1"/>
  <c r="I24" i="10"/>
  <c r="G11" i="8" s="1"/>
  <c r="I26" i="10"/>
  <c r="I66" i="10" s="1"/>
  <c r="H24" i="10"/>
  <c r="F11" i="8" s="1"/>
  <c r="H26" i="10"/>
  <c r="H66" i="10" s="1"/>
  <c r="G24" i="10"/>
  <c r="E11" i="8" s="1"/>
  <c r="G26" i="10"/>
  <c r="G66" i="10" s="1"/>
  <c r="F24" i="10"/>
  <c r="D11" i="8" s="1"/>
  <c r="F26" i="10"/>
  <c r="F66" i="10" s="1"/>
  <c r="W54" i="10"/>
  <c r="W17" i="10"/>
  <c r="W55" i="10" s="1"/>
  <c r="V54" i="10"/>
  <c r="V17" i="10"/>
  <c r="V55" i="10" s="1"/>
  <c r="U54" i="10"/>
  <c r="U17" i="10"/>
  <c r="U55" i="10" s="1"/>
  <c r="T54" i="10"/>
  <c r="T17" i="10"/>
  <c r="T55" i="10" s="1"/>
  <c r="S54" i="10"/>
  <c r="S17" i="10"/>
  <c r="S55" i="10" s="1"/>
  <c r="R17" i="10"/>
  <c r="R55" i="10" s="1"/>
  <c r="R54" i="10"/>
  <c r="Q54" i="10"/>
  <c r="Q17" i="10"/>
  <c r="Q55" i="10" s="1"/>
  <c r="P54" i="10"/>
  <c r="P17" i="10"/>
  <c r="P55" i="10" s="1"/>
  <c r="O54" i="10"/>
  <c r="O17" i="10"/>
  <c r="O55" i="10" s="1"/>
  <c r="N54" i="10"/>
  <c r="N17" i="10"/>
  <c r="N55" i="10" s="1"/>
  <c r="M54" i="10"/>
  <c r="M17" i="10"/>
  <c r="M55" i="10" s="1"/>
  <c r="L54" i="10"/>
  <c r="L17" i="10"/>
  <c r="L55" i="10" s="1"/>
  <c r="K54" i="10"/>
  <c r="K17" i="10"/>
  <c r="K55" i="10" s="1"/>
  <c r="J54" i="10"/>
  <c r="J17" i="10"/>
  <c r="J55" i="10" s="1"/>
  <c r="I17" i="10"/>
  <c r="I55" i="10" s="1"/>
  <c r="I54" i="10"/>
  <c r="H54" i="10"/>
  <c r="H17" i="10"/>
  <c r="H55" i="10" s="1"/>
  <c r="G17" i="10"/>
  <c r="G55" i="10" s="1"/>
  <c r="G54" i="10"/>
  <c r="F17" i="10"/>
  <c r="F55" i="10" s="1"/>
  <c r="F54" i="10"/>
  <c r="W48" i="10"/>
  <c r="X48" i="10" s="1"/>
  <c r="W11" i="10"/>
  <c r="W49" i="10" s="1"/>
  <c r="V48" i="10"/>
  <c r="V11" i="10"/>
  <c r="V49" i="10" s="1"/>
  <c r="U48" i="10"/>
  <c r="U11" i="10"/>
  <c r="U49" i="10" s="1"/>
  <c r="T48" i="10"/>
  <c r="T11" i="10"/>
  <c r="T49" i="10" s="1"/>
  <c r="S11" i="10"/>
  <c r="S49" i="10" s="1"/>
  <c r="S48" i="10"/>
  <c r="R11" i="10"/>
  <c r="R49" i="10" s="1"/>
  <c r="R48" i="10"/>
  <c r="Q48" i="10"/>
  <c r="Q11" i="10"/>
  <c r="Q49" i="10" s="1"/>
  <c r="P23" i="6"/>
  <c r="P21" i="6"/>
  <c r="P20" i="6"/>
  <c r="P48" i="10"/>
  <c r="P11" i="10"/>
  <c r="P49" i="10" s="1"/>
  <c r="O20" i="6"/>
  <c r="O23" i="6"/>
  <c r="O21" i="6"/>
  <c r="O11" i="10"/>
  <c r="O49" i="10" s="1"/>
  <c r="N23" i="6"/>
  <c r="O48" i="10"/>
  <c r="N20" i="6"/>
  <c r="N21" i="6"/>
  <c r="N48" i="10"/>
  <c r="M20" i="6"/>
  <c r="M23" i="6"/>
  <c r="N11" i="10"/>
  <c r="N49" i="10" s="1"/>
  <c r="M21" i="6"/>
  <c r="M11" i="10"/>
  <c r="M49" i="10" s="1"/>
  <c r="L23" i="6"/>
  <c r="L20" i="6"/>
  <c r="M48" i="10"/>
  <c r="L21" i="6"/>
  <c r="L11" i="10"/>
  <c r="L49" i="10" s="1"/>
  <c r="K20" i="6"/>
  <c r="L48" i="10"/>
  <c r="K21" i="6"/>
  <c r="K23" i="6"/>
  <c r="J20" i="6"/>
  <c r="K11" i="10"/>
  <c r="K49" i="10" s="1"/>
  <c r="K48" i="10"/>
  <c r="J21" i="6"/>
  <c r="J23" i="6"/>
  <c r="J11" i="10"/>
  <c r="J49" i="10" s="1"/>
  <c r="I23" i="6"/>
  <c r="J48" i="10"/>
  <c r="I21" i="6"/>
  <c r="I20" i="6"/>
  <c r="H23" i="6"/>
  <c r="H21" i="6"/>
  <c r="I11" i="10"/>
  <c r="I49" i="10" s="1"/>
  <c r="I48" i="10"/>
  <c r="H20" i="6"/>
  <c r="G23" i="6"/>
  <c r="G21" i="6"/>
  <c r="H11" i="10"/>
  <c r="H49" i="10" s="1"/>
  <c r="H48" i="10"/>
  <c r="G20" i="6"/>
  <c r="F23" i="6"/>
  <c r="G48" i="10"/>
  <c r="G11" i="10"/>
  <c r="G49" i="10" s="1"/>
  <c r="F20" i="6"/>
  <c r="F21" i="6"/>
  <c r="E23" i="6"/>
  <c r="E20" i="6"/>
  <c r="E21" i="6"/>
  <c r="F48" i="10"/>
  <c r="F25" i="9"/>
  <c r="F26" i="9"/>
  <c r="F28" i="9"/>
  <c r="F29" i="9"/>
  <c r="C22" i="1"/>
  <c r="F27" i="9"/>
  <c r="F10" i="9"/>
  <c r="V8" i="7"/>
  <c r="W6" i="7" s="1"/>
  <c r="W24" i="6"/>
  <c r="X24" i="6"/>
  <c r="Y24" i="6"/>
  <c r="Z24" i="6"/>
  <c r="AA24" i="6"/>
  <c r="AB24" i="6"/>
  <c r="AC24" i="6"/>
  <c r="AD24" i="6"/>
  <c r="AE24" i="6"/>
  <c r="AF24" i="6"/>
  <c r="T35" i="2"/>
  <c r="T39" i="2"/>
  <c r="T43" i="2"/>
  <c r="T27" i="2"/>
  <c r="T31" i="2"/>
  <c r="T46" i="2"/>
  <c r="U20" i="2"/>
  <c r="U6" i="2" s="1"/>
  <c r="T20" i="2"/>
  <c r="T6" i="2" s="1"/>
  <c r="S20" i="2"/>
  <c r="S6" i="2" s="1"/>
  <c r="R20" i="2"/>
  <c r="R6" i="2" s="1"/>
  <c r="Q20" i="2"/>
  <c r="Q6" i="2" s="1"/>
  <c r="P20" i="2"/>
  <c r="P6" i="2" s="1"/>
  <c r="O20" i="2"/>
  <c r="O6" i="2" s="1"/>
  <c r="N20" i="2"/>
  <c r="N6" i="2" s="1"/>
  <c r="M20" i="2"/>
  <c r="M6" i="2" s="1"/>
  <c r="L20" i="2"/>
  <c r="L6" i="2" s="1"/>
  <c r="K20" i="2"/>
  <c r="K6" i="2" s="1"/>
  <c r="J20" i="2"/>
  <c r="J6" i="2" s="1"/>
  <c r="I20" i="2"/>
  <c r="I6" i="2" s="1"/>
  <c r="H20" i="2"/>
  <c r="H6" i="2" s="1"/>
  <c r="G20" i="2"/>
  <c r="G6" i="2" s="1"/>
  <c r="F20" i="2"/>
  <c r="F6" i="2" s="1"/>
  <c r="E20" i="2"/>
  <c r="E6" i="2" s="1"/>
  <c r="D20" i="2"/>
  <c r="D6" i="2" s="1"/>
  <c r="C20" i="2"/>
  <c r="C6" i="2" s="1"/>
  <c r="B20" i="2"/>
  <c r="B6" i="2" s="1"/>
  <c r="V20" i="8"/>
  <c r="L26" i="6" l="1"/>
  <c r="M26" i="6"/>
  <c r="N26" i="6"/>
  <c r="F26" i="6"/>
  <c r="V69" i="10"/>
  <c r="D93" i="10"/>
  <c r="AB14" i="10"/>
  <c r="AA14" i="10"/>
  <c r="Y25" i="8"/>
  <c r="AB25" i="8"/>
  <c r="V25" i="8"/>
  <c r="AE25" i="8"/>
  <c r="Z25" i="8"/>
  <c r="X25" i="8"/>
  <c r="AD25" i="8"/>
  <c r="AC25" i="8"/>
  <c r="AA25" i="8"/>
  <c r="W25" i="8"/>
  <c r="AE12" i="7"/>
  <c r="AC12" i="7"/>
  <c r="AA12" i="7"/>
  <c r="Y12" i="7"/>
  <c r="V12" i="7"/>
  <c r="V10" i="7" s="1"/>
  <c r="AD12" i="7"/>
  <c r="AB12" i="7"/>
  <c r="Z12" i="7"/>
  <c r="X12" i="7"/>
  <c r="W12" i="7"/>
  <c r="W10" i="7" s="1"/>
  <c r="V18" i="6"/>
  <c r="W31" i="10" s="1"/>
  <c r="T18" i="6"/>
  <c r="U31" i="10" s="1"/>
  <c r="N18" i="6"/>
  <c r="O31" i="10" s="1"/>
  <c r="O26" i="6"/>
  <c r="R18" i="6"/>
  <c r="S31" i="10" s="1"/>
  <c r="L18" i="6"/>
  <c r="M31" i="10" s="1"/>
  <c r="U10" i="8"/>
  <c r="U14" i="8" s="1"/>
  <c r="T10" i="8"/>
  <c r="T14" i="8" s="1"/>
  <c r="S10" i="8"/>
  <c r="S14" i="8" s="1"/>
  <c r="R10" i="8"/>
  <c r="R14" i="8" s="1"/>
  <c r="T66" i="10"/>
  <c r="D92" i="10"/>
  <c r="Q10" i="8"/>
  <c r="Q14" i="8" s="1"/>
  <c r="P10" i="8"/>
  <c r="P14" i="8" s="1"/>
  <c r="O10" i="8"/>
  <c r="O14" i="8" s="1"/>
  <c r="N10" i="8"/>
  <c r="N14" i="8" s="1"/>
  <c r="M10" i="8"/>
  <c r="M14" i="8" s="1"/>
  <c r="L10" i="8"/>
  <c r="L14" i="8" s="1"/>
  <c r="K10" i="8"/>
  <c r="K14" i="8" s="1"/>
  <c r="J10" i="8"/>
  <c r="J14" i="8" s="1"/>
  <c r="I10" i="8"/>
  <c r="I14" i="8" s="1"/>
  <c r="H10" i="8"/>
  <c r="H14" i="8" s="1"/>
  <c r="G10" i="8"/>
  <c r="G14" i="8" s="1"/>
  <c r="F10" i="8"/>
  <c r="F14" i="8" s="1"/>
  <c r="E10" i="8"/>
  <c r="E14" i="8" s="1"/>
  <c r="D10" i="8"/>
  <c r="D14" i="8" s="1"/>
  <c r="Y48" i="10"/>
  <c r="X54" i="10"/>
  <c r="X10" i="10"/>
  <c r="E26" i="6"/>
  <c r="F21" i="9"/>
  <c r="W8" i="7"/>
  <c r="X6" i="7" s="1"/>
  <c r="U9" i="2"/>
  <c r="U12" i="2"/>
  <c r="U15" i="2"/>
  <c r="U18" i="2"/>
  <c r="T9" i="2"/>
  <c r="T12" i="2"/>
  <c r="T15" i="2"/>
  <c r="T18" i="2"/>
  <c r="S9" i="2"/>
  <c r="S12" i="2"/>
  <c r="S15" i="2"/>
  <c r="S18" i="2"/>
  <c r="R9" i="2"/>
  <c r="R12" i="2"/>
  <c r="R15" i="2"/>
  <c r="R18" i="2"/>
  <c r="Q9" i="2"/>
  <c r="Q12" i="2"/>
  <c r="Q15" i="2"/>
  <c r="Q18" i="2"/>
  <c r="P9" i="2"/>
  <c r="P12" i="2"/>
  <c r="P15" i="2"/>
  <c r="P18" i="2"/>
  <c r="O9" i="2"/>
  <c r="O12" i="2"/>
  <c r="O15" i="2"/>
  <c r="O18" i="2"/>
  <c r="N9" i="2"/>
  <c r="N12" i="2"/>
  <c r="N15" i="2"/>
  <c r="N18" i="2"/>
  <c r="M9" i="2"/>
  <c r="M12" i="2"/>
  <c r="M15" i="2"/>
  <c r="M18" i="2"/>
  <c r="L9" i="2"/>
  <c r="L12" i="2"/>
  <c r="L15" i="2"/>
  <c r="L18" i="2"/>
  <c r="K9" i="2"/>
  <c r="K12" i="2"/>
  <c r="K15" i="2"/>
  <c r="K18" i="2"/>
  <c r="J9" i="2"/>
  <c r="J12" i="2"/>
  <c r="J15" i="2"/>
  <c r="J18" i="2"/>
  <c r="I9" i="2"/>
  <c r="I12" i="2"/>
  <c r="I15" i="2"/>
  <c r="I18" i="2"/>
  <c r="H9" i="2"/>
  <c r="H12" i="2"/>
  <c r="H15" i="2"/>
  <c r="H18" i="2"/>
  <c r="G9" i="2"/>
  <c r="G12" i="2"/>
  <c r="G15" i="2"/>
  <c r="G18" i="2"/>
  <c r="F9" i="2"/>
  <c r="F12" i="2"/>
  <c r="F15" i="2"/>
  <c r="F18" i="2"/>
  <c r="E9" i="2"/>
  <c r="E12" i="2"/>
  <c r="E15" i="2"/>
  <c r="E18" i="2"/>
  <c r="D9" i="2"/>
  <c r="D12" i="2"/>
  <c r="D15" i="2"/>
  <c r="D18" i="2"/>
  <c r="C9" i="2"/>
  <c r="C12" i="2"/>
  <c r="C15" i="2"/>
  <c r="C18" i="2"/>
  <c r="B9" i="2"/>
  <c r="B12" i="2"/>
  <c r="B15" i="2"/>
  <c r="B18" i="2"/>
  <c r="V21" i="8"/>
  <c r="O18" i="6"/>
  <c r="P31" i="10" s="1"/>
  <c r="P26" i="6"/>
  <c r="K26" i="6"/>
  <c r="J26" i="6"/>
  <c r="I26" i="6"/>
  <c r="H26" i="6"/>
  <c r="U18" i="6"/>
  <c r="V31" i="10" s="1"/>
  <c r="S18" i="6"/>
  <c r="T31" i="10" s="1"/>
  <c r="Q18" i="6"/>
  <c r="R31" i="10" s="1"/>
  <c r="P18" i="6"/>
  <c r="Q31" i="10" s="1"/>
  <c r="M18" i="6"/>
  <c r="N31" i="10" s="1"/>
  <c r="G26" i="6"/>
  <c r="K18" i="6"/>
  <c r="L31" i="10" s="1"/>
  <c r="J18" i="6"/>
  <c r="K31" i="10" s="1"/>
  <c r="I18" i="6"/>
  <c r="J31" i="10" s="1"/>
  <c r="H18" i="6"/>
  <c r="I31" i="10" s="1"/>
  <c r="G18" i="6"/>
  <c r="H31" i="10" s="1"/>
  <c r="F18" i="6"/>
  <c r="G31" i="10" s="1"/>
  <c r="E18" i="6"/>
  <c r="F31" i="10" s="1"/>
  <c r="W20" i="8"/>
  <c r="X20" i="8" s="1"/>
  <c r="AD14" i="10" l="1"/>
  <c r="AC14" i="10"/>
  <c r="X28" i="10"/>
  <c r="W71" i="10"/>
  <c r="W33" i="10"/>
  <c r="W32" i="10"/>
  <c r="W72" i="10" s="1"/>
  <c r="U33" i="10"/>
  <c r="U71" i="10"/>
  <c r="U32" i="10"/>
  <c r="U72" i="10" s="1"/>
  <c r="O71" i="10"/>
  <c r="O33" i="10"/>
  <c r="O32" i="10"/>
  <c r="O72" i="10" s="1"/>
  <c r="S71" i="10"/>
  <c r="S33" i="10"/>
  <c r="S32" i="10"/>
  <c r="S72" i="10" s="1"/>
  <c r="M71" i="10"/>
  <c r="M33" i="10"/>
  <c r="M32" i="10"/>
  <c r="M72" i="10" s="1"/>
  <c r="U16" i="8"/>
  <c r="U9" i="8"/>
  <c r="T16" i="8"/>
  <c r="T9" i="8"/>
  <c r="V14" i="8"/>
  <c r="W14" i="8"/>
  <c r="X14" i="8"/>
  <c r="Y14" i="8"/>
  <c r="Z14" i="8"/>
  <c r="AA14" i="8"/>
  <c r="AB14" i="8"/>
  <c r="AC14" i="8"/>
  <c r="AD14" i="8"/>
  <c r="AE14" i="8"/>
  <c r="S16" i="8"/>
  <c r="S9" i="8"/>
  <c r="R16" i="8"/>
  <c r="R9" i="8"/>
  <c r="X23" i="10"/>
  <c r="Q16" i="8"/>
  <c r="Q9" i="8"/>
  <c r="P16" i="8"/>
  <c r="P9" i="8"/>
  <c r="O16" i="8"/>
  <c r="O9" i="8"/>
  <c r="N16" i="8"/>
  <c r="N9" i="8"/>
  <c r="M16" i="8"/>
  <c r="M9" i="8"/>
  <c r="L16" i="8"/>
  <c r="L9" i="8"/>
  <c r="K16" i="8"/>
  <c r="K9" i="8"/>
  <c r="J16" i="8"/>
  <c r="J9" i="8"/>
  <c r="I16" i="8"/>
  <c r="I9" i="8"/>
  <c r="H16" i="8"/>
  <c r="H9" i="8"/>
  <c r="G16" i="8"/>
  <c r="G9" i="8"/>
  <c r="F16" i="8"/>
  <c r="F9" i="8"/>
  <c r="E16" i="8"/>
  <c r="E9" i="8"/>
  <c r="D16" i="8"/>
  <c r="D9" i="8"/>
  <c r="Z48" i="10"/>
  <c r="Y54" i="10"/>
  <c r="Y10" i="10"/>
  <c r="Y23" i="10" s="1"/>
  <c r="X60" i="10"/>
  <c r="X63" i="10" s="1"/>
  <c r="Q22" i="6"/>
  <c r="X11" i="10"/>
  <c r="X13" i="10"/>
  <c r="Q20" i="6"/>
  <c r="Q21" i="6"/>
  <c r="Q23" i="6"/>
  <c r="M42" i="10"/>
  <c r="C13" i="1"/>
  <c r="X8" i="7"/>
  <c r="Y6" i="7" s="1"/>
  <c r="X10" i="7"/>
  <c r="V22" i="8"/>
  <c r="V23" i="8" s="1"/>
  <c r="W19" i="8" s="1"/>
  <c r="W21" i="8" s="1"/>
  <c r="P32" i="10"/>
  <c r="P72" i="10" s="1"/>
  <c r="P33" i="10"/>
  <c r="P71" i="10"/>
  <c r="V32" i="10"/>
  <c r="V72" i="10" s="1"/>
  <c r="V33" i="10"/>
  <c r="V71" i="10"/>
  <c r="T32" i="10"/>
  <c r="T72" i="10" s="1"/>
  <c r="T33" i="10"/>
  <c r="T71" i="10"/>
  <c r="R32" i="10"/>
  <c r="R72" i="10" s="1"/>
  <c r="R33" i="10"/>
  <c r="R71" i="10"/>
  <c r="Q32" i="10"/>
  <c r="Q72" i="10" s="1"/>
  <c r="Q33" i="10"/>
  <c r="Q71" i="10"/>
  <c r="N32" i="10"/>
  <c r="N72" i="10" s="1"/>
  <c r="N33" i="10"/>
  <c r="N71" i="10"/>
  <c r="L32" i="10"/>
  <c r="L72" i="10" s="1"/>
  <c r="L33" i="10"/>
  <c r="L71" i="10"/>
  <c r="K32" i="10"/>
  <c r="K72" i="10" s="1"/>
  <c r="K33" i="10"/>
  <c r="K71" i="10"/>
  <c r="J32" i="10"/>
  <c r="J72" i="10" s="1"/>
  <c r="J33" i="10"/>
  <c r="J71" i="10"/>
  <c r="I32" i="10"/>
  <c r="I72" i="10" s="1"/>
  <c r="I33" i="10"/>
  <c r="I71" i="10"/>
  <c r="H32" i="10"/>
  <c r="H72" i="10" s="1"/>
  <c r="H33" i="10"/>
  <c r="H71" i="10"/>
  <c r="G32" i="10"/>
  <c r="G72" i="10" s="1"/>
  <c r="G33" i="10"/>
  <c r="G71" i="10"/>
  <c r="F32" i="10"/>
  <c r="F72" i="10" s="1"/>
  <c r="F71" i="10"/>
  <c r="Y20" i="8"/>
  <c r="AE14" i="10" l="1"/>
  <c r="AF14" i="10"/>
  <c r="X29" i="10"/>
  <c r="X69" i="10" s="1"/>
  <c r="X68" i="10"/>
  <c r="X99" i="10"/>
  <c r="V9" i="8"/>
  <c r="V10" i="8" s="1"/>
  <c r="X24" i="10"/>
  <c r="X26" i="10"/>
  <c r="X66" i="10" s="1"/>
  <c r="X65" i="10"/>
  <c r="Y24" i="10"/>
  <c r="Y26" i="10"/>
  <c r="Y66" i="10" s="1"/>
  <c r="Y65" i="10"/>
  <c r="AE16" i="8"/>
  <c r="AD16" i="8"/>
  <c r="AC16" i="8"/>
  <c r="AB16" i="8"/>
  <c r="AA16" i="8"/>
  <c r="Z16" i="8"/>
  <c r="Y16" i="8"/>
  <c r="X16" i="8"/>
  <c r="W16" i="8"/>
  <c r="V16" i="8"/>
  <c r="AA48" i="10"/>
  <c r="Z54" i="10"/>
  <c r="Z10" i="10"/>
  <c r="Y60" i="10"/>
  <c r="Y63" i="10" s="1"/>
  <c r="Y28" i="10"/>
  <c r="R22" i="6"/>
  <c r="Y11" i="10"/>
  <c r="R20" i="6"/>
  <c r="Y13" i="10"/>
  <c r="X16" i="10"/>
  <c r="W14" i="6" s="1"/>
  <c r="Q26" i="6"/>
  <c r="R42" i="10"/>
  <c r="D42" i="10"/>
  <c r="I42" i="10"/>
  <c r="Y8" i="7"/>
  <c r="Z6" i="7" s="1"/>
  <c r="Y10" i="7"/>
  <c r="W22" i="8"/>
  <c r="W23" i="8" s="1"/>
  <c r="X19" i="8" s="1"/>
  <c r="X21" i="8" s="1"/>
  <c r="Z20" i="8"/>
  <c r="AG14" i="10" l="1"/>
  <c r="AI14" i="10" s="1"/>
  <c r="AH14" i="10"/>
  <c r="X100" i="10"/>
  <c r="X101" i="10" s="1"/>
  <c r="V11" i="8"/>
  <c r="V12" i="8" s="1"/>
  <c r="W8" i="8" s="1"/>
  <c r="Y100" i="10"/>
  <c r="W11" i="8"/>
  <c r="AB48" i="10"/>
  <c r="AA54" i="10"/>
  <c r="AA10" i="10"/>
  <c r="Z60" i="10"/>
  <c r="Z63" i="10" s="1"/>
  <c r="Z23" i="10"/>
  <c r="Z28" i="10"/>
  <c r="S22" i="6"/>
  <c r="Z11" i="10"/>
  <c r="Z13" i="10"/>
  <c r="S20" i="6"/>
  <c r="W9" i="8"/>
  <c r="Y99" i="10"/>
  <c r="Y68" i="10"/>
  <c r="Y29" i="10"/>
  <c r="Y69" i="10" s="1"/>
  <c r="Y16" i="10"/>
  <c r="X14" i="6" s="1"/>
  <c r="X17" i="10"/>
  <c r="X19" i="10"/>
  <c r="X78" i="10"/>
  <c r="Y78" i="10"/>
  <c r="Z78" i="10"/>
  <c r="AA78" i="10"/>
  <c r="AB78" i="10"/>
  <c r="AC78" i="10"/>
  <c r="AD78" i="10"/>
  <c r="AE78" i="10"/>
  <c r="AF78" i="10"/>
  <c r="AG78" i="10"/>
  <c r="AH78" i="10"/>
  <c r="AI78" i="10"/>
  <c r="C106" i="10"/>
  <c r="C107" i="10"/>
  <c r="C108" i="10"/>
  <c r="C109" i="10"/>
  <c r="C110" i="10"/>
  <c r="Z8" i="7"/>
  <c r="AA6" i="7" s="1"/>
  <c r="Z10" i="7"/>
  <c r="X22" i="8"/>
  <c r="X23" i="8" s="1"/>
  <c r="Y19" i="8" s="1"/>
  <c r="Y21" i="8" s="1"/>
  <c r="R23" i="6"/>
  <c r="R21" i="6"/>
  <c r="AA20" i="8"/>
  <c r="W10" i="8" l="1"/>
  <c r="W12" i="8" s="1"/>
  <c r="X8" i="8" s="1"/>
  <c r="S23" i="6"/>
  <c r="S21" i="6"/>
  <c r="Y98" i="10"/>
  <c r="Y101" i="10" s="1"/>
  <c r="AC48" i="10"/>
  <c r="AB54" i="10"/>
  <c r="AB10" i="10"/>
  <c r="AB11" i="10" s="1"/>
  <c r="AA60" i="10"/>
  <c r="AA63" i="10"/>
  <c r="AA23" i="10"/>
  <c r="AA28" i="10"/>
  <c r="T22" i="6"/>
  <c r="AA11" i="10"/>
  <c r="T20" i="6"/>
  <c r="AA13" i="10"/>
  <c r="Z65" i="10"/>
  <c r="Z26" i="10"/>
  <c r="Z66" i="10" s="1"/>
  <c r="Z24" i="10"/>
  <c r="X9" i="8"/>
  <c r="Z99" i="10"/>
  <c r="Z68" i="10"/>
  <c r="Z29" i="10"/>
  <c r="Z69" i="10" s="1"/>
  <c r="Z16" i="10"/>
  <c r="Y14" i="6" s="1"/>
  <c r="Y17" i="10"/>
  <c r="Y19" i="10"/>
  <c r="AA8" i="7"/>
  <c r="AB6" i="7" s="1"/>
  <c r="AA10" i="7"/>
  <c r="Y22" i="8"/>
  <c r="Y23" i="8" s="1"/>
  <c r="Z19" i="8" s="1"/>
  <c r="Z21" i="8" s="1"/>
  <c r="R26" i="6"/>
  <c r="AB20" i="8"/>
  <c r="S26" i="6" l="1"/>
  <c r="T23" i="6"/>
  <c r="T21" i="6"/>
  <c r="T26" i="6" s="1"/>
  <c r="Z98" i="10"/>
  <c r="AD48" i="10"/>
  <c r="AC54" i="10"/>
  <c r="AC10" i="10"/>
  <c r="AB60" i="10"/>
  <c r="AB63" i="10" s="1"/>
  <c r="AB23" i="10"/>
  <c r="AB28" i="10"/>
  <c r="U22" i="6"/>
  <c r="AB13" i="10"/>
  <c r="U20" i="6"/>
  <c r="AA65" i="10"/>
  <c r="AA26" i="10"/>
  <c r="AA66" i="10" s="1"/>
  <c r="AA24" i="10"/>
  <c r="Z30" i="10"/>
  <c r="Y9" i="8"/>
  <c r="AA99" i="10"/>
  <c r="AA68" i="10"/>
  <c r="AA29" i="10"/>
  <c r="AA69" i="10" s="1"/>
  <c r="AA16" i="10"/>
  <c r="Z14" i="6" s="1"/>
  <c r="Z100" i="10"/>
  <c r="X11" i="8"/>
  <c r="Z17" i="10"/>
  <c r="Z19" i="10"/>
  <c r="AB8" i="7"/>
  <c r="AC6" i="7" s="1"/>
  <c r="AB10" i="7"/>
  <c r="Z22" i="8"/>
  <c r="Z23" i="8" s="1"/>
  <c r="AA19" i="8" s="1"/>
  <c r="AA21" i="8" s="1"/>
  <c r="X10" i="8"/>
  <c r="AC20" i="8"/>
  <c r="U21" i="6" l="1"/>
  <c r="U23" i="6"/>
  <c r="Z101" i="10"/>
  <c r="AA98" i="10" s="1"/>
  <c r="X12" i="8"/>
  <c r="Y8" i="8" s="1"/>
  <c r="Y10" i="8" s="1"/>
  <c r="AE48" i="10"/>
  <c r="AD54" i="10"/>
  <c r="AD10" i="10"/>
  <c r="AC60" i="10"/>
  <c r="AC63" i="10" s="1"/>
  <c r="AC23" i="10"/>
  <c r="AC28" i="10"/>
  <c r="V22" i="6"/>
  <c r="AC13" i="10"/>
  <c r="AC11" i="10"/>
  <c r="V20" i="6"/>
  <c r="AB65" i="10"/>
  <c r="AB26" i="10"/>
  <c r="AB66" i="10" s="1"/>
  <c r="AB24" i="10"/>
  <c r="Z9" i="8"/>
  <c r="AB99" i="10"/>
  <c r="AB68" i="10"/>
  <c r="AB29" i="10"/>
  <c r="AB69" i="10" s="1"/>
  <c r="AB16" i="10"/>
  <c r="AA14" i="6" s="1"/>
  <c r="AA100" i="10"/>
  <c r="Y11" i="8"/>
  <c r="AA17" i="10"/>
  <c r="AA19" i="10"/>
  <c r="AC8" i="7"/>
  <c r="AD6" i="7" s="1"/>
  <c r="AC10" i="7"/>
  <c r="AA22" i="8"/>
  <c r="AA23" i="8" s="1"/>
  <c r="AB19" i="8" s="1"/>
  <c r="AB21" i="8" s="1"/>
  <c r="AD20" i="8"/>
  <c r="AE20" i="8" s="1"/>
  <c r="U26" i="6" l="1"/>
  <c r="V21" i="6"/>
  <c r="X21" i="6" s="1"/>
  <c r="X8" i="6" s="1"/>
  <c r="V23" i="6"/>
  <c r="Y12" i="8"/>
  <c r="Z8" i="8" s="1"/>
  <c r="Z10" i="8" s="1"/>
  <c r="AA101" i="10"/>
  <c r="AB98" i="10" s="1"/>
  <c r="AC22" i="6"/>
  <c r="AC9" i="6" s="1"/>
  <c r="AE22" i="6"/>
  <c r="AB22" i="6"/>
  <c r="AB9" i="6" s="1"/>
  <c r="AF22" i="6"/>
  <c r="AD22" i="6"/>
  <c r="Z22" i="6"/>
  <c r="Z9" i="6" s="1"/>
  <c r="AA22" i="6"/>
  <c r="AA9" i="6" s="1"/>
  <c r="Y22" i="6"/>
  <c r="Y9" i="6" s="1"/>
  <c r="AF48" i="10"/>
  <c r="AE54" i="10"/>
  <c r="AE10" i="10"/>
  <c r="AD60" i="10"/>
  <c r="AD63" i="10" s="1"/>
  <c r="AD23" i="10"/>
  <c r="AD28" i="10"/>
  <c r="AD11" i="10"/>
  <c r="AD13" i="10"/>
  <c r="AC65" i="10"/>
  <c r="AC26" i="10"/>
  <c r="AC66" i="10" s="1"/>
  <c r="AC24" i="10"/>
  <c r="AA9" i="8"/>
  <c r="AC99" i="10"/>
  <c r="AC68" i="10"/>
  <c r="AC29" i="10"/>
  <c r="AC69" i="10" s="1"/>
  <c r="X22" i="6"/>
  <c r="X9" i="6" s="1"/>
  <c r="W22" i="6"/>
  <c r="W9" i="6" s="1"/>
  <c r="AC16" i="10"/>
  <c r="AB14" i="6" s="1"/>
  <c r="AE20" i="6"/>
  <c r="W20" i="6"/>
  <c r="W7" i="6" s="1"/>
  <c r="Z20" i="6"/>
  <c r="Z7" i="6" s="1"/>
  <c r="AA20" i="6"/>
  <c r="AA7" i="6" s="1"/>
  <c r="AC20" i="6"/>
  <c r="AC7" i="6" s="1"/>
  <c r="AF20" i="6"/>
  <c r="AB100" i="10"/>
  <c r="Z11" i="8"/>
  <c r="AB17" i="10"/>
  <c r="AB19" i="10"/>
  <c r="AD8" i="7"/>
  <c r="AE6" i="7" s="1"/>
  <c r="AD10" i="7"/>
  <c r="AB22" i="8"/>
  <c r="AB23" i="8" s="1"/>
  <c r="AC19" i="8" s="1"/>
  <c r="AC21" i="8" s="1"/>
  <c r="Y20" i="6"/>
  <c r="Y7" i="6" s="1"/>
  <c r="AB20" i="6"/>
  <c r="AB7" i="6" s="1"/>
  <c r="AD20" i="6"/>
  <c r="X20" i="6"/>
  <c r="X7" i="6" s="1"/>
  <c r="AA21" i="6" l="1"/>
  <c r="AA8" i="6" s="1"/>
  <c r="AA10" i="6" s="1"/>
  <c r="W21" i="6"/>
  <c r="W8" i="6" s="1"/>
  <c r="W10" i="6" s="1"/>
  <c r="AD21" i="6"/>
  <c r="AB21" i="6"/>
  <c r="AB8" i="6" s="1"/>
  <c r="AB10" i="6" s="1"/>
  <c r="Z21" i="6"/>
  <c r="Z8" i="6" s="1"/>
  <c r="Z10" i="6" s="1"/>
  <c r="AC21" i="6"/>
  <c r="AC8" i="6" s="1"/>
  <c r="AC10" i="6" s="1"/>
  <c r="Y21" i="6"/>
  <c r="Y8" i="6" s="1"/>
  <c r="Y10" i="6" s="1"/>
  <c r="AF21" i="6"/>
  <c r="AE21" i="6"/>
  <c r="AC23" i="6"/>
  <c r="AC13" i="6" s="1"/>
  <c r="W23" i="6"/>
  <c r="W13" i="6" s="1"/>
  <c r="W15" i="6" s="1"/>
  <c r="X23" i="6"/>
  <c r="X13" i="6" s="1"/>
  <c r="X15" i="6" s="1"/>
  <c r="AD23" i="6"/>
  <c r="Y23" i="6"/>
  <c r="Y13" i="6" s="1"/>
  <c r="Y15" i="6" s="1"/>
  <c r="V26" i="6"/>
  <c r="AE23" i="6"/>
  <c r="AF23" i="6"/>
  <c r="AA23" i="6"/>
  <c r="AA13" i="6" s="1"/>
  <c r="AA15" i="6" s="1"/>
  <c r="Z23" i="6"/>
  <c r="Z13" i="6" s="1"/>
  <c r="Z15" i="6" s="1"/>
  <c r="AB23" i="6"/>
  <c r="AB13" i="6" s="1"/>
  <c r="AB15" i="6" s="1"/>
  <c r="AD7" i="6"/>
  <c r="X10" i="6"/>
  <c r="Z12" i="8"/>
  <c r="AA8" i="8" s="1"/>
  <c r="AA10" i="8" s="1"/>
  <c r="AG48" i="10"/>
  <c r="AH48" i="10" s="1"/>
  <c r="AF54" i="10"/>
  <c r="AF10" i="10"/>
  <c r="AE60" i="10"/>
  <c r="AE63" i="10" s="1"/>
  <c r="AD9" i="6"/>
  <c r="AE23" i="10"/>
  <c r="AE28" i="10"/>
  <c r="AE11" i="10"/>
  <c r="AE13" i="10"/>
  <c r="AD65" i="10"/>
  <c r="AD26" i="10"/>
  <c r="AD66" i="10" s="1"/>
  <c r="AD24" i="10"/>
  <c r="AB9" i="8"/>
  <c r="AD99" i="10"/>
  <c r="AD68" i="10"/>
  <c r="AD29" i="10"/>
  <c r="AD69" i="10" s="1"/>
  <c r="AD16" i="10"/>
  <c r="AC14" i="6" s="1"/>
  <c r="AC100" i="10"/>
  <c r="AA11" i="8"/>
  <c r="AC17" i="10"/>
  <c r="AC19" i="10"/>
  <c r="AE8" i="7"/>
  <c r="AE10" i="7"/>
  <c r="AC22" i="8"/>
  <c r="AC23" i="8" s="1"/>
  <c r="AD19" i="8" s="1"/>
  <c r="AD21" i="8" s="1"/>
  <c r="AB101" i="10"/>
  <c r="AA17" i="6" l="1"/>
  <c r="AF26" i="6"/>
  <c r="AA26" i="6"/>
  <c r="X26" i="6"/>
  <c r="AC26" i="6"/>
  <c r="Y26" i="6"/>
  <c r="Z17" i="6"/>
  <c r="AA18" i="6" s="1"/>
  <c r="AB31" i="10" s="1"/>
  <c r="AD8" i="6"/>
  <c r="AD10" i="6" s="1"/>
  <c r="AB26" i="6"/>
  <c r="AE26" i="6"/>
  <c r="AD26" i="6"/>
  <c r="Z26" i="6"/>
  <c r="W26" i="6"/>
  <c r="W17" i="6"/>
  <c r="W18" i="6" s="1"/>
  <c r="X31" i="10" s="1"/>
  <c r="X17" i="6"/>
  <c r="Y17" i="6"/>
  <c r="AC15" i="6"/>
  <c r="AC17" i="6" s="1"/>
  <c r="AB17" i="6"/>
  <c r="AA12" i="8"/>
  <c r="AB8" i="8" s="1"/>
  <c r="AB10" i="8" s="1"/>
  <c r="AH10" i="10"/>
  <c r="AH54" i="10"/>
  <c r="AH51" i="10"/>
  <c r="AI48" i="10"/>
  <c r="AG54" i="10"/>
  <c r="AG10" i="10"/>
  <c r="AF60" i="10"/>
  <c r="AF63" i="10" s="1"/>
  <c r="AE7" i="6"/>
  <c r="AE9" i="6"/>
  <c r="AF23" i="10"/>
  <c r="AF28" i="10"/>
  <c r="AF11" i="10"/>
  <c r="AF13" i="10"/>
  <c r="AE65" i="10"/>
  <c r="AE26" i="10"/>
  <c r="AE66" i="10" s="1"/>
  <c r="AE24" i="10"/>
  <c r="AC9" i="8"/>
  <c r="AE99" i="10"/>
  <c r="AE68" i="10"/>
  <c r="AE29" i="10"/>
  <c r="AE69" i="10" s="1"/>
  <c r="AD13" i="6"/>
  <c r="AE16" i="10"/>
  <c r="AD14" i="6" s="1"/>
  <c r="AD100" i="10"/>
  <c r="AB11" i="8"/>
  <c r="AD17" i="10"/>
  <c r="AD19" i="10"/>
  <c r="AD22" i="8"/>
  <c r="AD23" i="8" s="1"/>
  <c r="AE19" i="8" s="1"/>
  <c r="AE21" i="8" s="1"/>
  <c r="AC98" i="10"/>
  <c r="AC101" i="10" s="1"/>
  <c r="AB18" i="6" l="1"/>
  <c r="AC31" i="10" s="1"/>
  <c r="AC71" i="10" s="1"/>
  <c r="AC74" i="10" s="1"/>
  <c r="AC75" i="10" s="1"/>
  <c r="AB71" i="10"/>
  <c r="AB74" i="10" s="1"/>
  <c r="AB75" i="10" s="1"/>
  <c r="AB33" i="10"/>
  <c r="AB32" i="10"/>
  <c r="AB72" i="10" s="1"/>
  <c r="X18" i="6"/>
  <c r="Y31" i="10" s="1"/>
  <c r="X71" i="10"/>
  <c r="X74" i="10" s="1"/>
  <c r="X75" i="10" s="1"/>
  <c r="X33" i="10"/>
  <c r="X32" i="10"/>
  <c r="X72" i="10" s="1"/>
  <c r="Z18" i="6"/>
  <c r="AA31" i="10" s="1"/>
  <c r="Y18" i="6"/>
  <c r="Z31" i="10" s="1"/>
  <c r="AC18" i="6"/>
  <c r="AD31" i="10" s="1"/>
  <c r="AE8" i="6"/>
  <c r="AE10" i="6" s="1"/>
  <c r="AE13" i="6"/>
  <c r="AB12" i="8"/>
  <c r="AC8" i="8" s="1"/>
  <c r="AC10" i="8" s="1"/>
  <c r="AH23" i="10"/>
  <c r="AH28" i="10"/>
  <c r="AH11" i="10"/>
  <c r="AH13" i="10"/>
  <c r="AH16" i="10" s="1"/>
  <c r="AH60" i="10"/>
  <c r="AH63" i="10" s="1"/>
  <c r="AH49" i="10"/>
  <c r="AI51" i="10"/>
  <c r="AI49" i="10" s="1"/>
  <c r="AI54" i="10"/>
  <c r="AI10" i="10"/>
  <c r="AG60" i="10"/>
  <c r="AG63" i="10" s="1"/>
  <c r="AF7" i="6"/>
  <c r="AF9" i="6"/>
  <c r="AG23" i="10"/>
  <c r="AG28" i="10"/>
  <c r="AG11" i="10"/>
  <c r="AG13" i="10"/>
  <c r="AF65" i="10"/>
  <c r="AF26" i="10"/>
  <c r="AF66" i="10" s="1"/>
  <c r="AF24" i="10"/>
  <c r="AD9" i="8"/>
  <c r="AF99" i="10"/>
  <c r="AF68" i="10"/>
  <c r="AF29" i="10"/>
  <c r="AF69" i="10" s="1"/>
  <c r="AF16" i="10"/>
  <c r="AE14" i="6" s="1"/>
  <c r="AE100" i="10"/>
  <c r="AC11" i="8"/>
  <c r="AE17" i="10"/>
  <c r="AE19" i="10"/>
  <c r="AE22" i="8"/>
  <c r="AE23" i="8" s="1"/>
  <c r="AD15" i="6"/>
  <c r="AD17" i="6" s="1"/>
  <c r="AD18" i="6" s="1"/>
  <c r="AE31" i="10" s="1"/>
  <c r="AD98" i="10"/>
  <c r="AD101" i="10" s="1"/>
  <c r="AE98" i="10" s="1"/>
  <c r="AC33" i="10" l="1"/>
  <c r="AC32" i="10"/>
  <c r="AC72" i="10" s="1"/>
  <c r="Y32" i="10"/>
  <c r="Y72" i="10" s="1"/>
  <c r="Y33" i="10"/>
  <c r="Y71" i="10"/>
  <c r="Y74" i="10" s="1"/>
  <c r="Y75" i="10" s="1"/>
  <c r="AA32" i="10"/>
  <c r="AA72" i="10" s="1"/>
  <c r="AA33" i="10"/>
  <c r="AA71" i="10"/>
  <c r="AA74" i="10" s="1"/>
  <c r="AA75" i="10" s="1"/>
  <c r="Z71" i="10"/>
  <c r="Z74" i="10" s="1"/>
  <c r="Z75" i="10" s="1"/>
  <c r="Z33" i="10"/>
  <c r="Z32" i="10"/>
  <c r="Z72" i="10" s="1"/>
  <c r="AD32" i="10"/>
  <c r="AD72" i="10" s="1"/>
  <c r="AD33" i="10"/>
  <c r="AD71" i="10"/>
  <c r="AD74" i="10" s="1"/>
  <c r="AD75" i="10" s="1"/>
  <c r="AE15" i="6"/>
  <c r="AE17" i="6" s="1"/>
  <c r="AE18" i="6" s="1"/>
  <c r="AF31" i="10" s="1"/>
  <c r="AE101" i="10"/>
  <c r="AF98" i="10" s="1"/>
  <c r="AC12" i="8"/>
  <c r="AD8" i="8" s="1"/>
  <c r="AD10" i="8" s="1"/>
  <c r="AH65" i="10"/>
  <c r="AH26" i="10"/>
  <c r="AH66" i="10" s="1"/>
  <c r="AH24" i="10"/>
  <c r="AH100" i="10" s="1"/>
  <c r="AH99" i="10"/>
  <c r="AH68" i="10"/>
  <c r="AH29" i="10"/>
  <c r="AH69" i="10" s="1"/>
  <c r="AH17" i="10"/>
  <c r="AH19" i="10"/>
  <c r="AI60" i="10"/>
  <c r="AI63" i="10" s="1"/>
  <c r="AI23" i="10"/>
  <c r="AI28" i="10"/>
  <c r="AI13" i="10"/>
  <c r="AI16" i="10" s="1"/>
  <c r="AI11" i="10"/>
  <c r="AG65" i="10"/>
  <c r="AG26" i="10"/>
  <c r="AG66" i="10" s="1"/>
  <c r="AG24" i="10"/>
  <c r="AE9" i="8"/>
  <c r="AG99" i="10"/>
  <c r="AG68" i="10"/>
  <c r="AG29" i="10"/>
  <c r="AG69" i="10" s="1"/>
  <c r="AG16" i="10"/>
  <c r="AF14" i="6" s="1"/>
  <c r="AF100" i="10"/>
  <c r="AD11" i="8"/>
  <c r="AF17" i="10"/>
  <c r="AF19" i="10"/>
  <c r="AE71" i="10"/>
  <c r="AE74" i="10" s="1"/>
  <c r="AE33" i="10"/>
  <c r="AE32" i="10"/>
  <c r="AE72" i="10" s="1"/>
  <c r="AF8" i="6"/>
  <c r="AF10" i="6" s="1"/>
  <c r="AF13" i="6"/>
  <c r="AF101" i="10" l="1"/>
  <c r="AG98" i="10" s="1"/>
  <c r="AD12" i="8"/>
  <c r="AE8" i="8" s="1"/>
  <c r="AE10" i="8" s="1"/>
  <c r="AF15" i="6"/>
  <c r="AF17" i="6" s="1"/>
  <c r="AF32" i="10"/>
  <c r="AF72" i="10" s="1"/>
  <c r="AF33" i="10"/>
  <c r="AF71" i="10"/>
  <c r="AF74" i="10" s="1"/>
  <c r="AF75" i="10" s="1"/>
  <c r="AI65" i="10"/>
  <c r="AI26" i="10"/>
  <c r="AI66" i="10" s="1"/>
  <c r="AI24" i="10"/>
  <c r="AI100" i="10" s="1"/>
  <c r="AI99" i="10"/>
  <c r="AI68" i="10"/>
  <c r="AI29" i="10"/>
  <c r="AI69" i="10" s="1"/>
  <c r="AI17" i="10"/>
  <c r="AI19" i="10"/>
  <c r="AG100" i="10"/>
  <c r="AE11" i="8"/>
  <c r="AG17" i="10"/>
  <c r="AG19" i="10"/>
  <c r="AE75" i="10"/>
  <c r="AG101" i="10" l="1"/>
  <c r="D114" i="10"/>
  <c r="D117" i="10" s="1"/>
  <c r="D118" i="10" s="1"/>
  <c r="D94" i="10"/>
  <c r="AF18" i="6"/>
  <c r="AG31" i="10" s="1"/>
  <c r="AE12" i="8"/>
  <c r="AH98" i="10" l="1"/>
  <c r="AH101" i="10" s="1"/>
  <c r="AI31" i="10"/>
  <c r="AH31" i="10"/>
  <c r="AG32" i="10"/>
  <c r="AG72" i="10" s="1"/>
  <c r="AG33" i="10"/>
  <c r="AG71" i="10"/>
  <c r="AG74" i="10" s="1"/>
  <c r="AI98" i="10" l="1"/>
  <c r="AI101" i="10" s="1"/>
  <c r="AI71" i="10"/>
  <c r="AI74" i="10" s="1"/>
  <c r="AI33" i="10"/>
  <c r="AI32" i="10"/>
  <c r="AI72" i="10" s="1"/>
  <c r="AH71" i="10"/>
  <c r="AH74" i="10" s="1"/>
  <c r="AH33" i="10"/>
  <c r="AH32" i="10"/>
  <c r="AH72" i="10" s="1"/>
  <c r="AG75" i="10"/>
  <c r="AI75" i="10" l="1"/>
  <c r="E80" i="10"/>
  <c r="AH75" i="10"/>
  <c r="G106" i="10"/>
  <c r="F106" i="10"/>
  <c r="D106" i="10"/>
  <c r="E110" i="10"/>
  <c r="F110" i="10"/>
  <c r="H108" i="10"/>
  <c r="H106" i="10"/>
  <c r="H110" i="10"/>
  <c r="D110" i="10"/>
  <c r="F109" i="10"/>
  <c r="G107" i="10"/>
  <c r="E106" i="10"/>
  <c r="G108" i="10"/>
  <c r="D119" i="10"/>
  <c r="D107" i="10"/>
  <c r="E109" i="10"/>
  <c r="H109" i="10"/>
  <c r="E108" i="10"/>
  <c r="G109" i="10"/>
  <c r="D109" i="10"/>
  <c r="D108" i="10"/>
  <c r="H107" i="10"/>
  <c r="G110" i="10"/>
  <c r="E107" i="10"/>
  <c r="F107" i="10"/>
  <c r="F108" i="10"/>
  <c r="E81" i="10" l="1"/>
  <c r="D115" i="10"/>
  <c r="E82" i="10" l="1"/>
  <c r="E85" i="10" s="1"/>
  <c r="E88" i="10" s="1"/>
  <c r="J4" i="10" s="1"/>
  <c r="J6" i="10" l="1"/>
  <c r="C12" i="1" s="1"/>
  <c r="D120" i="10"/>
  <c r="C11" i="1"/>
</calcChain>
</file>

<file path=xl/sharedStrings.xml><?xml version="1.0" encoding="utf-8"?>
<sst xmlns="http://schemas.openxmlformats.org/spreadsheetml/2006/main" count="634" uniqueCount="340">
  <si>
    <t>NVIDIA DCF Valuation Using Financial Statements</t>
  </si>
  <si>
    <t>Date</t>
  </si>
  <si>
    <t>November 12, 2025</t>
  </si>
  <si>
    <t>Prepared By</t>
  </si>
  <si>
    <t>Braeden Tuazon</t>
  </si>
  <si>
    <t>Purpose</t>
  </si>
  <si>
    <t>This model estimates NVIDIA's share value with a discounted cash flow model, or DCF. It uses reported financial statements, forecast assumptions, and market inputs such as WACC, beta, and the risk-free rate.</t>
  </si>
  <si>
    <t>Data Sources</t>
  </si>
  <si>
    <t>Sources include NVIDIA SEC filings and earnings releases, the U.S. Treasury, Yahoo Finance, AlphaSpread, ValueInvesting, GuruFocus, TradingView, and model calculations.</t>
  </si>
  <si>
    <t>Key Valuation Results</t>
  </si>
  <si>
    <t>Values</t>
  </si>
  <si>
    <t>Market Share Price</t>
  </si>
  <si>
    <t>DCF Implied Share Price</t>
  </si>
  <si>
    <t>Upside Potential</t>
  </si>
  <si>
    <t>WACC</t>
  </si>
  <si>
    <t>Terminal Growth Rate</t>
  </si>
  <si>
    <t>Valuation Date</t>
  </si>
  <si>
    <t>Key Assumptions Table</t>
  </si>
  <si>
    <t>Cost of Equity</t>
  </si>
  <si>
    <t>Beta</t>
  </si>
  <si>
    <t>Risk-Free Rate</t>
  </si>
  <si>
    <t>Market Risk Premium</t>
  </si>
  <si>
    <t>Cost of Debt</t>
  </si>
  <si>
    <t>Tax Rate</t>
  </si>
  <si>
    <t>Workbook Tabs Overview</t>
  </si>
  <si>
    <t>Description</t>
  </si>
  <si>
    <t>Revenue Streams</t>
  </si>
  <si>
    <t>Breakdown of NVIDIA's product/service revenue over time</t>
  </si>
  <si>
    <t>Income Statement</t>
  </si>
  <si>
    <t>Quarterly income performance including revenue, expenses, and net income</t>
  </si>
  <si>
    <t>Balance Sheet</t>
  </si>
  <si>
    <t>Snapshot of assets, liabilities, and equity over time</t>
  </si>
  <si>
    <t>Cash Flow Statement</t>
  </si>
  <si>
    <t>Cash inflows/outflows from operations, investing and financing activities</t>
  </si>
  <si>
    <t>Working Capital</t>
  </si>
  <si>
    <t>Detailed calculation of current assets and liabilities for forecasting purposes</t>
  </si>
  <si>
    <t>Debt</t>
  </si>
  <si>
    <t>NVIDIA's debt levels, interest expense, and cost of debt inputs</t>
  </si>
  <si>
    <t>Fixed Assets</t>
  </si>
  <si>
    <t>Capital expenditures, depreciation, and asset base tracking</t>
  </si>
  <si>
    <t>WACC inputs</t>
  </si>
  <si>
    <t>The model uses $8,500 million of bond face value and $8,466 million of balance sheet debt. The 2.00 beta and 4.86% market risk premium are model choices. Beta comparisons appear on the WACC tab.</t>
  </si>
  <si>
    <t>DCF Valuation</t>
  </si>
  <si>
    <t>Free Cash Flow forecast, terminal value, and intrinsic value estimation</t>
  </si>
  <si>
    <t>Historical financials</t>
  </si>
  <si>
    <t>NVIDIA filings through Q2 FY2026, which ended July 27, 2025. These results were public before the November 12, 2025 valuation date. SEC filing: https://www.sec.gov/Archives/edgar/data/1045810/000104581025000209/nvda-20250727.htm</t>
  </si>
  <si>
    <t>Market data</t>
  </si>
  <si>
    <t>As of November 12, 2025: NVIDIA closing share price $193.80 and U.S. 10-year Treasury yield 4.08%. Q2 FY2026 share counts: 24,347 million at period end and 24,532 million diluted weighted average.</t>
  </si>
  <si>
    <t>Forecasts and cutoff</t>
  </si>
  <si>
    <t>Revenue, margins, equipment spending, and terminal growth are forecasts. NVIDIA released Q3 FY2026 results on November 19, 2025, after the valuation date, so they are not included.</t>
  </si>
  <si>
    <t>($ in millions)</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</si>
  <si>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</si>
  <si>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</si>
  <si>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</si>
  <si>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</si>
  <si>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</si>
  <si>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</si>
  <si>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</si>
  <si>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</si>
  <si>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</si>
  <si>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</si>
  <si>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</si>
  <si>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</si>
  <si>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</si>
  <si>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</si>
  <si>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</si>
  <si>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</si>
  <si>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</si>
  <si>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</si>
  <si>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</si>
  <si>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</si>
  <si>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Data Center</t>
  </si>
  <si>
    <t>Gaming</t>
  </si>
  <si>
    <t>Professional Visualization</t>
  </si>
  <si>
    <t>Auto</t>
  </si>
  <si>
    <t>OEM &amp; Other</t>
  </si>
  <si>
    <t>Total</t>
  </si>
  <si>
    <t>Q1 2025</t>
  </si>
  <si>
    <t>Q2 2025</t>
  </si>
  <si>
    <t>Q3 2025</t>
  </si>
  <si>
    <t>% change</t>
  </si>
  <si>
    <t>% of total</t>
  </si>
  <si>
    <t>Original Equipment Manufacturers</t>
  </si>
  <si>
    <t>All figures in millions USD (except per-share amounts)</t>
  </si>
  <si>
    <t>Fiscal Year</t>
  </si>
  <si>
    <t>Q4 2025</t>
  </si>
  <si>
    <t>Q1 2026</t>
  </si>
  <si>
    <t>Q2 2026</t>
  </si>
  <si>
    <t>Quarterly Date</t>
  </si>
  <si>
    <t>Revenue</t>
  </si>
  <si>
    <t>Cost of revenue</t>
  </si>
  <si>
    <t>Gross profit</t>
  </si>
  <si>
    <t>Operating Expenses</t>
  </si>
  <si>
    <t xml:space="preserve">    Research and development</t>
  </si>
  <si>
    <t xml:space="preserve">    Sales, general and administrative</t>
  </si>
  <si>
    <t xml:space="preserve">    Acquisition termination cost</t>
  </si>
  <si>
    <t>—</t>
  </si>
  <si>
    <t xml:space="preserve">        Total operating expenses</t>
  </si>
  <si>
    <t>Operating income</t>
  </si>
  <si>
    <t xml:space="preserve">    Interest income</t>
  </si>
  <si>
    <t xml:space="preserve">    Interest expense</t>
  </si>
  <si>
    <t xml:space="preserve">    Other income (expense), net</t>
  </si>
  <si>
    <t xml:space="preserve">        Total other income (expense), net</t>
  </si>
  <si>
    <t>Income before income tax</t>
  </si>
  <si>
    <t>Income tax expense</t>
  </si>
  <si>
    <t>Net income</t>
  </si>
  <si>
    <t>Net income per share:</t>
  </si>
  <si>
    <t>Basic</t>
  </si>
  <si>
    <t>Diluted</t>
  </si>
  <si>
    <t>Weighted average shares used in per share:</t>
  </si>
  <si>
    <t>Assets</t>
  </si>
  <si>
    <t>Current assets:</t>
  </si>
  <si>
    <t xml:space="preserve">    Cash and cash equivalents</t>
  </si>
  <si>
    <t xml:space="preserve">    Marketable securities</t>
  </si>
  <si>
    <t xml:space="preserve">    Accounts receivable, net</t>
  </si>
  <si>
    <t xml:space="preserve">    Inventories</t>
  </si>
  <si>
    <t xml:space="preserve">    Prepaid expenses and other current assets</t>
  </si>
  <si>
    <t>Total current assets</t>
  </si>
  <si>
    <t xml:space="preserve">    Property and equipment, net</t>
  </si>
  <si>
    <t xml:space="preserve">    Operating lease assets</t>
  </si>
  <si>
    <t xml:space="preserve">    Goodwill</t>
  </si>
  <si>
    <t xml:space="preserve">    Intangible assets, net</t>
  </si>
  <si>
    <t xml:space="preserve">    Deferred income tax assets</t>
  </si>
  <si>
    <t xml:space="preserve">    Other assets</t>
  </si>
  <si>
    <t>Total assets</t>
  </si>
  <si>
    <t>Liabilities and Shareholders' Equity</t>
  </si>
  <si>
    <t xml:space="preserve">    Current liabilities:</t>
  </si>
  <si>
    <t xml:space="preserve">    Accounts payable</t>
  </si>
  <si>
    <t xml:space="preserve">    Accrued and other current liabilities</t>
  </si>
  <si>
    <t xml:space="preserve">    Short-term debt</t>
  </si>
  <si>
    <t>Total current liabilities</t>
  </si>
  <si>
    <t xml:space="preserve">    Long-term debt</t>
  </si>
  <si>
    <t xml:space="preserve">    Long-term operating lease liabilities</t>
  </si>
  <si>
    <t xml:space="preserve">    Other long-term liabilities</t>
  </si>
  <si>
    <t>Total liabilities</t>
  </si>
  <si>
    <t>Commitments and Contingencies</t>
  </si>
  <si>
    <t>Shareholders’ equity</t>
  </si>
  <si>
    <t>Preferred stock</t>
  </si>
  <si>
    <t>Common stock</t>
  </si>
  <si>
    <t>Additional paid-in capital</t>
  </si>
  <si>
    <t>Accumulated other comprehensive loss</t>
  </si>
  <si>
    <t>Retained earnings</t>
  </si>
  <si>
    <t>Total shareholders' equity</t>
  </si>
  <si>
    <t>Total liabilities and shareholders' equity</t>
  </si>
  <si>
    <t>Cash flows from operating activities:</t>
  </si>
  <si>
    <t>Adjustments to reconcile net income to net cash provided by operating activities:</t>
  </si>
  <si>
    <t xml:space="preserve">    Stock-based compensation expense</t>
  </si>
  <si>
    <t xml:space="preserve">    Depreciation and amortization</t>
  </si>
  <si>
    <t xml:space="preserve">    Deferred income taxes</t>
  </si>
  <si>
    <t xml:space="preserve">    (Gains) losses on investments in non-affiliates, net</t>
  </si>
  <si>
    <t xml:space="preserve">    Other</t>
  </si>
  <si>
    <t>Changes in operating assets and liabilities, net of acquisitions:</t>
  </si>
  <si>
    <t xml:space="preserve">    Accounts receivable</t>
  </si>
  <si>
    <t xml:space="preserve">    Prepaid expenses and other assets</t>
  </si>
  <si>
    <t>Net cash provided by operating activities</t>
  </si>
  <si>
    <t>Cash flows from investing activities:</t>
  </si>
  <si>
    <t xml:space="preserve">    Proceeds from maturities of marketable securities</t>
  </si>
  <si>
    <t xml:space="preserve">    Proceeds from sales of marketable securities</t>
  </si>
  <si>
    <t xml:space="preserve">    Purchases of marketable securities</t>
  </si>
  <si>
    <t xml:space="preserve">    Purchases related to property and equipment and intangible assets</t>
  </si>
  <si>
    <t xml:space="preserve">    Investments and other, net</t>
  </si>
  <si>
    <t xml:space="preserve">    Acquisitions, net of cash acquired</t>
  </si>
  <si>
    <t>Net cash used in investing activities</t>
  </si>
  <si>
    <t>Cash flows from financing activities:</t>
  </si>
  <si>
    <t xml:space="preserve">    Issuance of debt, net of issuance costs</t>
  </si>
  <si>
    <t xml:space="preserve">    Proceeds related to employee stock plans</t>
  </si>
  <si>
    <t xml:space="preserve">    Payments related to repurchases of common stock</t>
  </si>
  <si>
    <t xml:space="preserve">    Payments related to tax on restricted stock units</t>
  </si>
  <si>
    <t xml:space="preserve">    Dividends paid</t>
  </si>
  <si>
    <t xml:space="preserve">    Principal payments on property and equipment</t>
  </si>
  <si>
    <t xml:space="preserve">    Repayment of debt</t>
  </si>
  <si>
    <t>Net cash provided by (used in) financing activities</t>
  </si>
  <si>
    <t xml:space="preserve">    Change in cash and cash equivalents</t>
  </si>
  <si>
    <t xml:space="preserve">    Cash and cash equivalents at beginning of period</t>
  </si>
  <si>
    <t>Cash and cash equivalents at end of period</t>
  </si>
  <si>
    <t>Supplemental disclosures of cash flow information:</t>
  </si>
  <si>
    <t>Cash paid for income taxes, net</t>
  </si>
  <si>
    <t>Cash paid for interest</t>
  </si>
  <si>
    <t>Accumulated Amortization of Intangible Assets</t>
  </si>
  <si>
    <t>Total Annual</t>
  </si>
  <si>
    <t>Working Capital Schedule</t>
  </si>
  <si>
    <t>Historical</t>
  </si>
  <si>
    <t>Projected</t>
  </si>
  <si>
    <t>$ in millions</t>
  </si>
  <si>
    <t>Current assets</t>
  </si>
  <si>
    <t>Accounts Receivables</t>
  </si>
  <si>
    <t>Inventories</t>
  </si>
  <si>
    <t>Prepaid expenses and other current assets</t>
  </si>
  <si>
    <t>Current liabilities</t>
  </si>
  <si>
    <t>Accounts Payables</t>
  </si>
  <si>
    <t>Accrued and other current liabilities</t>
  </si>
  <si>
    <t>Net Working capital</t>
  </si>
  <si>
    <t>Changes in working capital</t>
  </si>
  <si>
    <t>Days Sales Outstanding (DSO)</t>
  </si>
  <si>
    <t>Days Inventory Outstanding (DIO)</t>
  </si>
  <si>
    <t>Other current assets (% of revenue)</t>
  </si>
  <si>
    <t>Days Payable Outstanding (DPO)</t>
  </si>
  <si>
    <t>(% of operating expenses)</t>
  </si>
  <si>
    <t>Cash Conversion Cycle (CCC)</t>
  </si>
  <si>
    <t>Debt Schedule</t>
  </si>
  <si>
    <t>Opening balance</t>
  </si>
  <si>
    <t>Add/Less: Debt incurred (repaid)</t>
  </si>
  <si>
    <t>Closing Balance</t>
  </si>
  <si>
    <t>Interest Expenses</t>
  </si>
  <si>
    <t>Net Interest Expenses</t>
  </si>
  <si>
    <t>Interest rate (pre tax)</t>
  </si>
  <si>
    <t>What this tab tracks</t>
  </si>
  <si>
    <t>About NVIDIA's debt
NVIDIA has borrowed money by selling bonds. Each bond has a date when it must be paid back. One bond is due in calendar 2026. This does not mean the model uses a 2026 valuation date. The valuation date is November 12, 2025.</t>
  </si>
  <si>
    <t>Long-Term Asset Schedule</t>
  </si>
  <si>
    <t>Property and Equipment Schedule</t>
  </si>
  <si>
    <t>Add: Net Purchases</t>
  </si>
  <si>
    <t>Total Fixed Assets</t>
  </si>
  <si>
    <t>Less: Depreciation</t>
  </si>
  <si>
    <t>Rate of depreciation</t>
  </si>
  <si>
    <t>Fixed asset turnover ratio</t>
  </si>
  <si>
    <t>Other intangible asset schedule</t>
  </si>
  <si>
    <t>Total Fixed assets</t>
  </si>
  <si>
    <t>Less: Amortization</t>
  </si>
  <si>
    <t>Closing balance</t>
  </si>
  <si>
    <t>Rate of amortization</t>
  </si>
  <si>
    <t>Equipment and depreciation
This tab estimates spending on equipment and buildings. It also estimates depreciation, which is the drop in value as those assets are used. The forecast uses NVIDIA's recent results. These amounts help calculate free cash flow.</t>
  </si>
  <si>
    <t>WACC (Weighted Average Cost of Capital)</t>
  </si>
  <si>
    <t>WACC = (% Equity × Cost of Equity) + (% Debt × Cost of Debt × (1 – Tax Rate))</t>
  </si>
  <si>
    <t>Cost of Equity = Risk-Free Rate + Company Beta × (Market Return – Risk-Free Rate)</t>
  </si>
  <si>
    <t>WACC (November 12, 2025)</t>
  </si>
  <si>
    <t>Market cap</t>
  </si>
  <si>
    <t xml:space="preserve">% </t>
  </si>
  <si>
    <t>Cost of equity</t>
  </si>
  <si>
    <t xml:space="preserve">Risk Free rate </t>
  </si>
  <si>
    <t>%</t>
  </si>
  <si>
    <t>Cost of debt</t>
  </si>
  <si>
    <t>Model Risk-Free
Rate</t>
  </si>
  <si>
    <t>Implied Cost of
Equity</t>
  </si>
  <si>
    <t>Model Cost of Debt
(After tax)</t>
  </si>
  <si>
    <t>Source
Beta</t>
  </si>
  <si>
    <t>Alphaspread</t>
  </si>
  <si>
    <t>ValueInvesting</t>
  </si>
  <si>
    <t>Yahoo Finance</t>
  </si>
  <si>
    <t>GuruFocus</t>
  </si>
  <si>
    <t>TradingView</t>
  </si>
  <si>
    <t>Effective
Interest Rate</t>
  </si>
  <si>
    <t>Notional
Value</t>
  </si>
  <si>
    <t>Annual Interest</t>
  </si>
  <si>
    <t>Note due 2026</t>
  </si>
  <si>
    <t>Note 2028</t>
  </si>
  <si>
    <t>Note 2030</t>
  </si>
  <si>
    <t>Note 2031</t>
  </si>
  <si>
    <t>Note 2040</t>
  </si>
  <si>
    <t>Note 2050</t>
  </si>
  <si>
    <t>Note 2060</t>
  </si>
  <si>
    <t>How this discount rate is built</t>
  </si>
  <si>
    <t>What WACC means
WACC is the rate used to turn future cash flows into today's value. It reflects the return expected by shareholders and lenders. A higher WACC lowers the DCF value because future cash is worth less today.</t>
  </si>
  <si>
    <t>Market value
Market value is the share price multiplied by shares outstanding. It is used to find how much of NVIDIA's funding comes from shareholders.</t>
  </si>
  <si>
    <t>Risk-free rate and beta
The model uses the 4.08% U.S. 10-year Treasury yield from November 12, 2025. Beta shows how much a stock tends to move compared with the market. Websites can use different methods, so their betas can differ. The table keeps the risk-free rate and debt cost the same so only beta changes. The table is for comparison and does not control the WACC above.</t>
  </si>
  <si>
    <t>Market risk premium
This is the extra return investors expect from stocks instead of safer government bonds. It is an estimate, not a known fact. The model uses 4.86%.</t>
  </si>
  <si>
    <t>Why the debt numbers differ
The WACC uses NVIDIA's $8.500 billion bond face value to calculate interest cost. The DCF uses the $8.466 billion balance-sheet value. The balance-sheet amount is slightly lower because of accounting adjustments.</t>
  </si>
  <si>
    <t>Tax rate
Interest can lower taxable income, so debt costs less after tax. The model uses a 17% tax rate based on NVIDIA's guidance available before November 12, 2025.</t>
  </si>
  <si>
    <t>Discounted Cash Flow</t>
  </si>
  <si>
    <t>Ticker</t>
  </si>
  <si>
    <t>NVDA</t>
  </si>
  <si>
    <t>Implied share price (Nov 12, 2025)</t>
  </si>
  <si>
    <t>Current share price  (Nov 12, 2025)</t>
  </si>
  <si>
    <t>Year Start</t>
  </si>
  <si>
    <t>Implied Gain/Loss</t>
  </si>
  <si>
    <t>Year End</t>
  </si>
  <si>
    <t>x</t>
  </si>
  <si>
    <t>Income Statement (End of January YE)</t>
  </si>
  <si>
    <t>% growth</t>
  </si>
  <si>
    <t>Gross Profit</t>
  </si>
  <si>
    <t>% of revenue</t>
  </si>
  <si>
    <t>EBIT</t>
  </si>
  <si>
    <t>Taxes</t>
  </si>
  <si>
    <t>% of EBIT</t>
  </si>
  <si>
    <t>Cash Flow Items</t>
  </si>
  <si>
    <t>D&amp;A</t>
  </si>
  <si>
    <t>Depreciation</t>
  </si>
  <si>
    <t>Amortization</t>
  </si>
  <si>
    <t>CapEx</t>
  </si>
  <si>
    <t>Change in NWC</t>
  </si>
  <si>
    <t>% of change in revenue</t>
  </si>
  <si>
    <t>Assumptions</t>
  </si>
  <si>
    <t>Scenarios</t>
  </si>
  <si>
    <t>Scenario 1 - Conservative</t>
  </si>
  <si>
    <t>Scenario 2 - Base</t>
  </si>
  <si>
    <t>Scenario 3 - Optimistic</t>
  </si>
  <si>
    <t>Revenue Growth, FY27 onward (absolute annual rate)</t>
  </si>
  <si>
    <t>EBIT Margin, FY28 onward (absolute annual rate)</t>
  </si>
  <si>
    <t>g</t>
  </si>
  <si>
    <t>Opex % of Revenue</t>
  </si>
  <si>
    <t xml:space="preserve"> </t>
  </si>
  <si>
    <t>Conservative</t>
  </si>
  <si>
    <t>Base</t>
  </si>
  <si>
    <t>Optimistic</t>
  </si>
  <si>
    <t>EBIAT</t>
  </si>
  <si>
    <t>Unlevered FCF</t>
  </si>
  <si>
    <t>Present value of Unlevered FCF</t>
  </si>
  <si>
    <t>Quarter / FY End Date</t>
  </si>
  <si>
    <t>Period (yrs from val. date, midyear conv.)</t>
  </si>
  <si>
    <t>Discount factor</t>
  </si>
  <si>
    <t>Terminal Value</t>
  </si>
  <si>
    <t>PV of Terminal Value</t>
  </si>
  <si>
    <t>Enterprise Value</t>
  </si>
  <si>
    <t>(+) Cash</t>
  </si>
  <si>
    <t>(-) Debt</t>
  </si>
  <si>
    <t>Equity Value</t>
  </si>
  <si>
    <t>Diluted Weighted-Avg Shares (mm) - NOT basic shares outstanding</t>
  </si>
  <si>
    <t>Implied Stock Price</t>
  </si>
  <si>
    <t>Forecast Support Assumptions and Linked Schedules</t>
  </si>
  <si>
    <t>D&amp;A % of revenue (trailing 4Q actual avg)</t>
  </si>
  <si>
    <t>CapEx % of revenue (trailing 4Q actual avg)</t>
  </si>
  <si>
    <t>NWC % of revenue (FY2028 ending balance)</t>
  </si>
  <si>
    <t>Amortization run-rate ($mm/qtr, held flat at last actual)</t>
  </si>
  <si>
    <t>PP&amp;E Roll-Forward Check (Opening + CapEx - Depreciation = Closing; must stay positive)</t>
  </si>
  <si>
    <t>Opening PP&amp;E, net</t>
  </si>
  <si>
    <t>(+) CapEx</t>
  </si>
  <si>
    <t>(-) Depreciation</t>
  </si>
  <si>
    <t>Closing PP&amp;E, net</t>
  </si>
  <si>
    <t>Sensitivity: Implied Share Price by WACC (rows) x Terminal Growth (columns)</t>
  </si>
  <si>
    <t>WACC \ g</t>
  </si>
  <si>
    <t>Each sensitivity result runs the full DCF again using the WACC and growth rate shown for that cell. It is not a copied value.</t>
  </si>
  <si>
    <t>Exit-Multiple Cross-Check (vs. Perpetuity-Growth Terminal Value)</t>
  </si>
  <si>
    <t>FY2030 EBITDA (EBIT + D&amp;A)</t>
  </si>
  <si>
    <t>Implied exit multiple from perpetuity-growth TV</t>
  </si>
  <si>
    <t>Assumed exit EV/EBITDA multiple (cross-check input)</t>
  </si>
  <si>
    <t>Terminal value under exit multiple</t>
  </si>
  <si>
    <t>PV of exit-multiple terminal value</t>
  </si>
  <si>
    <t>Implied share price under exit-multiple method</t>
  </si>
  <si>
    <t>vs. perpetuity-growth implied share price (base case)</t>
  </si>
  <si>
    <t>How to read this valuation</t>
  </si>
  <si>
    <t>What a DCF does
A DCF estimates what a company is worth today from the cash it may earn in the future. Future cash is worth less than cash received today, so the model reduces each future amount to today's value.</t>
  </si>
  <si>
    <t>Why the dates matter
Each forecast column is one fiscal quarter. The date row shows when that quarter ends. The model uses these dates to measure how far each cash flow is from November 12, 2025.</t>
  </si>
  <si>
    <t>Turning future cash into today's value
Each future cash flow is multiplied by a discount factor. Cash that is farther away, or uses a higher WACC, has a lower value today.</t>
  </si>
  <si>
    <t>Equipment and working capital
Equipment spending and depreciation use NVIDIA's recent results. Working capital links to the detailed schedule through fiscal 2028. Fiscal 2029 and 2030 use the fiscal 2028 working-capital ratio.</t>
  </si>
  <si>
    <t>Equipment balance check
The model starts with NVIDIA's equipment balance, adds new spending, and subtracts depreciation. The balance must stay above zero.</t>
  </si>
  <si>
    <t>Final forecast years
Fiscal 2029 and 2030 start from the last detailed forecast year. Growth then slows toward a rate that is easier to maintain over time.</t>
  </si>
  <si>
    <t>Why growth slows
Fast growth cannot last forever. In every scenario, growth slowly moves toward a long-term rate by the end of the forecast.</t>
  </si>
  <si>
    <t>Choosing a scenario
Use the dropdown menus to choose conservative, base, or optimistic assumptions. This shows how different views of revenue growth and profit margins change the estimated share value.</t>
  </si>
  <si>
    <t>From company value to share value
The DCF first finds the value of NVIDIA's operations. It then adds cash, subtracts debt, and divides by diluted shares to estimate a value per share.</t>
  </si>
  <si>
    <t>Why the sensitivity table matters
WACC and long-term growth are estimates. The table shows how the share value changes when either assumption changes.</t>
  </si>
  <si>
    <t>Second valuation check
The exit-multiple method gives another estimate of long-term value. It uses a multiple of fiscal 2030 EBITDA. Comparing it with the main DCF shows how much the result depends on the final-value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</si>
</sst>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_-&quot;$&quot;* #,##0_-;\-&quot;$&quot;* #,##0_-;_-&quot;$&quot;* &quot;-&quot;_-;_-@_-"/>
    <numFmt numFmtId="165" formatCode="_-* #,##0_-;\-* #,##0_-;_-* &quot;-&quot;_-;_-@_-"/>
    <numFmt numFmtId="166" formatCode="_-&quot;$&quot;* #,##0.00_-;\-&quot;$&quot;* #,##0.00_-;_-&quot;$&quot;* &quot;-&quot;??_-;_-@_-"/>
    <numFmt numFmtId="167" formatCode="_-* #,##0.00_-;\-* #,##0.00_-;_-* &quot;-&quot;??_-;_-@_-"/>
    <numFmt numFmtId="168" formatCode="_(* #,##0.00_);_(* \(#,##0.00\);_(* \-??_);_(@_)"/>
    <numFmt numFmtId="169" formatCode="_(\$* #,##0.00_);_(\$* \(#,##0.00\);_(\$* \-??_);_(@_)"/>
    <numFmt numFmtId="170" formatCode="\$#,##0.00"/>
    <numFmt numFmtId="171" formatCode="0.0%"/>
    <numFmt numFmtId="172" formatCode="_ * #,##0_)_ ;_ * \(#,##0\)_ ;_ * \-??_)_ ;_ @_ "/>
    <numFmt numFmtId="173" formatCode="0_);\(0\)"/>
    <numFmt numFmtId="174" formatCode="0.0"/>
    <numFmt numFmtId="175" formatCode="#,##0.0_);\(#,##0.0\)"/>
    <numFmt numFmtId="176" formatCode="0.0000%"/>
    <numFmt numFmtId="177" formatCode="[$$-409]#,##0.0_);\([$$-409]#,##0.0\)"/>
    <numFmt numFmtId="178" formatCode="d\ mmm\ yyyy;@"/>
    <numFmt numFmtId="179" formatCode="mm/dd/yyyy"/>
    <numFmt numFmtId="180" formatCode="[$$-409]#,##0_);\([$$-409]#,##0\)"/>
    <numFmt numFmtId="181" formatCode="\$0.00"/>
    <numFmt numFmtId="182" formatCode="0.0\x"/>
  </numFmts>
  <fonts count="26">
    <font>
      <sz val="11"/>
      <color theme="1"/>
      <name val="Calibri"/>
    </font>
    <font>
      <sz val="10"/>
      <name val="Arial"/>
      <family val="2"/>
    </font>
    <font>
      <sz val="10"/>
      <name val="Arial"/>
      <family val="2"/>
    </font>
    <font>
      <b/>
      <sz val="20"/>
      <color theme="1"/>
      <name val="Calibri"/>
      <family val="2"/>
    </font>
    <font>
      <b/>
      <sz val="11"/>
      <color theme="1"/>
      <name val="Calibri"/>
      <family val="2"/>
    </font>
    <font>
      <sz val="20"/>
      <color theme="1"/>
      <name val="Calibri"/>
      <family val="2"/>
    </font>
    <font>
      <b/>
      <sz val="11"/>
      <color theme="0"/>
      <name val="Calibri"/>
      <family val="2"/>
    </font>
    <font>
      <i/>
      <sz val="11"/>
      <color theme="1"/>
      <name val="Calibri"/>
      <family val="2"/>
    </font>
    <font>
      <b/>
      <sz val="11"/>
      <color theme="1"/>
      <name val="Calibri"/>
      <family val="2"/>
    </font>
    <font>
      <sz val="11"/>
      <name val="Calibri"/>
      <family val="2"/>
    </font>
    <font>
      <b/>
      <sz val="11"/>
      <name val="Calibri"/>
      <family val="2"/>
    </font>
    <font>
      <b/>
      <sz val="19"/>
      <color theme="1"/>
      <name val="Calibri"/>
      <family val="2"/>
    </font>
    <font>
      <sz val="11"/>
      <color theme="0"/>
      <name val="Calibri"/>
      <family val="2"/>
    </font>
    <font>
      <sz val="9"/>
      <color rgb="FF6B5300"/>
      <name val="Cambria"/>
      <family val="1"/>
    </font>
    <font>
      <sz val="11"/>
      <name val="Cambria"/>
      <family val="1"/>
    </font>
    <font>
      <b/>
      <sz val="12"/>
      <name val="Cambria"/>
      <family val="1"/>
    </font>
    <font>
      <b/>
      <sz val="14"/>
      <color theme="1"/>
      <name val="Calibri"/>
      <family val="2"/>
    </font>
    <font>
      <sz val="11"/>
      <color rgb="FFFF0000"/>
      <name val="Calibri"/>
      <family val="2"/>
    </font>
    <font>
      <b/>
      <sz val="12"/>
      <color theme="1"/>
      <name val="Calibri"/>
      <family val="2"/>
    </font>
    <font>
      <sz val="10"/>
      <color theme="1"/>
      <name val="Calibri"/>
      <family val="2"/>
    </font>
    <font>
      <sz val="11"/>
      <color rgb="FF7030A0"/>
      <name val="Calibri"/>
      <family val="2"/>
    </font>
    <font>
      <sz val="11"/>
      <color rgb="FF000000"/>
      <name val="Calibri"/>
      <family val="2"/>
    </font>
    <font>
      <b/>
      <sz val="11"/>
      <color rgb="FF000000"/>
      <name val="Calibri"/>
      <family val="2"/>
    </font>
    <font>
      <sz val="10"/>
      <color rgb="FF333333"/>
      <name val="Cambria"/>
      <family val="1"/>
    </font>
    <font>
      <sz val="11"/>
      <color theme="1"/>
      <name val="Calibri"/>
      <family val="2"/>
    </font>
    <font>
      <u/>
      <sz val="11"/>
      <color theme="10"/>
      <name val="Calibri"/>
      <family val="2"/>
    </font>
  </fonts>
  <fills count="8">
    <fill>
      <patternFill patternType="none"/>
    </fill>
    <fill>
      <patternFill patternType="gray125"/>
    </fill>
    <fill>
      <patternFill patternType="solid">
        <fgColor theme="3" tint="-0.249977111117893"/>
        <bgColor indexed="65"/>
      </patternFill>
    </fill>
    <fill>
      <patternFill patternType="solid">
        <fgColor theme="5" tint="-0.249977111117893"/>
        <bgColor indexed="65"/>
      </patternFill>
    </fill>
    <fill>
      <patternFill patternType="solid">
        <fgColor theme="5" tint="0.39979247413556324"/>
        <bgColor indexed="65"/>
      </patternFill>
    </fill>
    <fill>
      <patternFill patternType="solid">
        <fgColor theme="0"/>
      </patternFill>
    </fill>
    <fill>
      <patternFill patternType="solid">
        <fgColor theme="7" tint="0.79979857783745845"/>
        <bgColor indexed="65"/>
      </patternFill>
    </fill>
    <fill>
      <patternFill patternType="solid">
        <fgColor rgb="FFFFF2CC"/>
      </patternFill>
    </fill>
  </fills>
  <borders count="11">
    <border>
      <left/>
      <right/>
      <top/>
      <bottom/>
      <diagonal/>
    </border>
    <border>
      <left/>
      <right/>
      <top/>
      <bottom style="thin">
        <color auto="1"/>
      </bottom>
      <diagonal/>
    </border>
    <border>
      <left/>
      <right/>
      <top style="thin">
        <color auto="1"/>
      </top>
      <bottom/>
      <diagonal/>
    </border>
    <border>
      <left style="thin">
        <color rgb="FFD9B84A"/>
      </left>
      <right style="thin">
        <color rgb="FFD9B84A"/>
      </right>
      <top style="thin">
        <color rgb="FFD9B84A"/>
      </top>
      <bottom style="thin">
        <color rgb="FFD9B84A"/>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hair">
        <color auto="1"/>
      </left>
      <right style="hair">
        <color auto="1"/>
      </right>
      <top style="hair">
        <color auto="1"/>
      </top>
      <bottom style="hair">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style="thin">
        <color auto="1"/>
      </bottom>
      <diagonal/>
    </border>
  </borders>
  <cellStyleXfs count="10">
    <xf numFmtId="0" fontId="0" fillId="0" borderId="0"/>
    <xf numFmtId="0" fontId="25" fillId="0" borderId="0" applyNumberFormat="0" applyFill="0" applyBorder="0" applyAlignment="0" applyProtection="0"/>
    <xf numFmtId="167" fontId="1" fillId="0" borderId="0" applyBorder="0" applyAlignment="0" applyProtection="0"/>
    <xf numFmtId="165" fontId="1" fillId="0" borderId="0" applyBorder="0" applyAlignment="0" applyProtection="0"/>
    <xf numFmtId="166" fontId="1" fillId="0" borderId="0" applyBorder="0" applyAlignment="0" applyProtection="0"/>
    <xf numFmtId="164" fontId="1" fillId="0" borderId="0" applyBorder="0" applyAlignment="0" applyProtection="0"/>
    <xf numFmtId="9" fontId="1" fillId="0" borderId="0" applyBorder="0" applyAlignment="0" applyProtection="0"/>
    <xf numFmtId="168" fontId="24" fillId="0" borderId="0"/>
    <xf numFmtId="169" fontId="24" fillId="0" borderId="0"/>
    <xf numFmtId="0" fontId="2" fillId="0" borderId="0">
      <alignment vertical="top"/>
    </xf>
  </cellStyleXfs>
  <cellXfs count="155">
    <xf numFmtId="0" fontId="0" fillId="0" borderId="0" xfId="0"/>
    <xf numFmtId="0" fontId="0" fillId="0" borderId="0" xfId="0" applyAlignment="1">
      <alignment horizontal="center"/>
    </xf>
    <xf numFmtId="0" fontId="4" fillId="0" borderId="0" xfId="0" applyFont="1"/>
    <xf numFmtId="15" fontId="0" fillId="0" borderId="0" xfId="0" applyNumberFormat="1"/>
    <xf numFmtId="0" fontId="4" fillId="0" borderId="0" xfId="0" applyFont="1" applyAlignment="1">
      <alignment vertical="top"/>
    </xf>
    <xf numFmtId="0" fontId="0" fillId="0" borderId="0" xfId="0" applyAlignment="1">
      <alignment vertical="top" wrapText="1"/>
    </xf>
    <xf numFmtId="170" fontId="0" fillId="0" borderId="0" xfId="0" applyNumberFormat="1" applyAlignment="1">
      <alignment horizontal="left"/>
    </xf>
    <xf numFmtId="9" fontId="0" fillId="0" borderId="0" xfId="0" applyNumberFormat="1" applyAlignment="1">
      <alignment horizontal="left"/>
    </xf>
    <xf numFmtId="10" fontId="0" fillId="0" borderId="0" xfId="0" applyNumberFormat="1" applyAlignment="1">
      <alignment horizontal="left"/>
    </xf>
    <xf numFmtId="171" fontId="0" fillId="0" borderId="0" xfId="0" applyNumberFormat="1" applyAlignment="1">
      <alignment horizontal="left"/>
    </xf>
    <xf numFmtId="0" fontId="0" fillId="0" borderId="0" xfId="0" applyAlignment="1">
      <alignment horizontal="left"/>
    </xf>
    <xf numFmtId="10" fontId="4" fillId="0" borderId="0" xfId="0" applyNumberFormat="1" applyFont="1" applyAlignment="1">
      <alignment horizontal="left"/>
    </xf>
    <xf numFmtId="2" fontId="0" fillId="0" borderId="0" xfId="0" applyNumberFormat="1" applyAlignment="1">
      <alignment horizontal="left"/>
    </xf>
    <xf numFmtId="0" fontId="0" fillId="0" borderId="0" xfId="0" applyAlignment="1">
      <alignment wrapText="1"/>
    </xf>
    <xf numFmtId="0" fontId="3" fillId="0" borderId="0" xfId="0" applyFont="1"/>
    <xf numFmtId="0" fontId="5" fillId="0" borderId="0" xfId="0" applyFont="1"/>
    <xf numFmtId="172" fontId="0" fillId="0" borderId="0" xfId="0" applyNumberFormat="1" applyAlignment="1">
      <alignment horizontal="right"/>
    </xf>
    <xf numFmtId="172" fontId="0" fillId="0" borderId="0" xfId="0" applyNumberFormat="1" applyAlignment="1">
      <alignment horizontal="center"/>
    </xf>
    <xf numFmtId="0" fontId="6" fillId="2" borderId="0" xfId="0" applyFont="1" applyFill="1" applyAlignment="1">
      <alignment horizontal="center"/>
    </xf>
    <xf numFmtId="172" fontId="0" fillId="0" borderId="0" xfId="0" applyNumberFormat="1"/>
    <xf numFmtId="171" fontId="7" fillId="0" borderId="0" xfId="0" applyNumberFormat="1" applyFont="1"/>
    <xf numFmtId="0" fontId="6" fillId="0" borderId="0" xfId="0" applyFont="1"/>
    <xf numFmtId="0" fontId="8" fillId="0" borderId="0" xfId="0" applyFont="1"/>
    <xf numFmtId="3" fontId="0" fillId="0" borderId="0" xfId="0" applyNumberFormat="1" applyAlignment="1">
      <alignment horizontal="center"/>
    </xf>
    <xf numFmtId="0" fontId="7" fillId="0" borderId="0" xfId="0" applyFont="1" applyAlignment="1">
      <alignment horizontal="center"/>
    </xf>
    <xf numFmtId="3" fontId="0" fillId="0" borderId="0" xfId="0" applyNumberFormat="1"/>
    <xf numFmtId="171" fontId="0" fillId="0" borderId="0" xfId="0" applyNumberFormat="1"/>
    <xf numFmtId="0" fontId="7" fillId="0" borderId="0" xfId="0" applyFont="1"/>
    <xf numFmtId="0" fontId="0" fillId="0" borderId="1" xfId="0" applyBorder="1"/>
    <xf numFmtId="0" fontId="7" fillId="0" borderId="1" xfId="0" applyFont="1" applyBorder="1"/>
    <xf numFmtId="14" fontId="7" fillId="0" borderId="1" xfId="0" applyNumberFormat="1" applyFont="1" applyBorder="1" applyAlignment="1">
      <alignment horizontal="center"/>
    </xf>
    <xf numFmtId="173" fontId="0" fillId="0" borderId="0" xfId="0" applyNumberFormat="1" applyAlignment="1">
      <alignment horizontal="center"/>
    </xf>
    <xf numFmtId="172" fontId="9" fillId="0" borderId="0" xfId="0" applyNumberFormat="1" applyFont="1" applyAlignment="1">
      <alignment vertical="top"/>
    </xf>
    <xf numFmtId="172" fontId="9" fillId="0" borderId="0" xfId="0" applyNumberFormat="1" applyFont="1" applyAlignment="1">
      <alignment horizontal="right" vertical="top"/>
    </xf>
    <xf numFmtId="172" fontId="0" fillId="0" borderId="0" xfId="0" applyNumberFormat="1" applyAlignment="1">
      <alignment vertical="top"/>
    </xf>
    <xf numFmtId="172" fontId="10" fillId="0" borderId="2" xfId="0" applyNumberFormat="1" applyFont="1" applyBorder="1" applyAlignment="1">
      <alignment vertical="top"/>
    </xf>
    <xf numFmtId="172" fontId="10" fillId="0" borderId="2" xfId="0" applyNumberFormat="1" applyFont="1" applyBorder="1" applyAlignment="1">
      <alignment horizontal="right" vertical="top"/>
    </xf>
    <xf numFmtId="172" fontId="0" fillId="0" borderId="0" xfId="0" applyNumberFormat="1" applyAlignment="1">
      <alignment horizontal="right" vertical="top"/>
    </xf>
    <xf numFmtId="0" fontId="0" fillId="0" borderId="2" xfId="0" applyBorder="1"/>
    <xf numFmtId="168" fontId="9" fillId="0" borderId="0" xfId="0" applyNumberFormat="1" applyFont="1" applyAlignment="1">
      <alignment horizontal="right" vertical="top"/>
    </xf>
    <xf numFmtId="37" fontId="0" fillId="0" borderId="0" xfId="0" applyNumberFormat="1" applyAlignment="1">
      <alignment vertical="top"/>
    </xf>
    <xf numFmtId="0" fontId="11" fillId="0" borderId="0" xfId="0" applyFont="1"/>
    <xf numFmtId="0" fontId="12" fillId="2" borderId="0" xfId="0" applyFont="1" applyFill="1"/>
    <xf numFmtId="0" fontId="12" fillId="3" borderId="0" xfId="0" applyFont="1" applyFill="1"/>
    <xf numFmtId="172" fontId="0" fillId="4" borderId="0" xfId="0" applyNumberFormat="1" applyFill="1" applyAlignment="1">
      <alignment horizontal="center"/>
    </xf>
    <xf numFmtId="174" fontId="0" fillId="0" borderId="0" xfId="0" applyNumberFormat="1"/>
    <xf numFmtId="174" fontId="0" fillId="4" borderId="0" xfId="0" applyNumberFormat="1" applyFill="1"/>
    <xf numFmtId="175" fontId="0" fillId="0" borderId="0" xfId="0" applyNumberFormat="1"/>
    <xf numFmtId="175" fontId="0" fillId="0" borderId="0" xfId="0" applyNumberFormat="1" applyAlignment="1">
      <alignment horizontal="right"/>
    </xf>
    <xf numFmtId="9" fontId="0" fillId="0" borderId="0" xfId="0" applyNumberFormat="1"/>
    <xf numFmtId="9" fontId="0" fillId="4" borderId="0" xfId="0" applyNumberFormat="1" applyFill="1"/>
    <xf numFmtId="0" fontId="0" fillId="4" borderId="0" xfId="0" applyFill="1"/>
    <xf numFmtId="37" fontId="0" fillId="0" borderId="0" xfId="0" applyNumberFormat="1" applyAlignment="1">
      <alignment horizontal="center"/>
    </xf>
    <xf numFmtId="37" fontId="13" fillId="0" borderId="0" xfId="0" applyNumberFormat="1" applyFont="1" applyAlignment="1">
      <alignment horizontal="left" vertical="top" wrapText="1"/>
    </xf>
    <xf numFmtId="37" fontId="0" fillId="4" borderId="0" xfId="0" applyNumberFormat="1" applyFill="1" applyAlignment="1">
      <alignment horizontal="center"/>
    </xf>
    <xf numFmtId="0" fontId="0" fillId="4" borderId="0" xfId="0" applyFill="1" applyAlignment="1">
      <alignment horizontal="center"/>
    </xf>
    <xf numFmtId="173" fontId="0" fillId="4" borderId="0" xfId="0" applyNumberFormat="1" applyFill="1" applyAlignment="1">
      <alignment horizontal="center"/>
    </xf>
    <xf numFmtId="171" fontId="0" fillId="0" borderId="0" xfId="0" applyNumberFormat="1" applyAlignment="1">
      <alignment horizontal="center"/>
    </xf>
    <xf numFmtId="171" fontId="0" fillId="4" borderId="0" xfId="0" applyNumberFormat="1" applyFill="1" applyAlignment="1">
      <alignment horizontal="center"/>
    </xf>
    <xf numFmtId="0" fontId="14" fillId="0" borderId="0" xfId="0" applyFont="1"/>
    <xf numFmtId="0" fontId="15" fillId="0" borderId="0" xfId="0" applyFont="1"/>
    <xf numFmtId="0" fontId="14" fillId="0" borderId="0" xfId="0" applyFont="1" applyAlignment="1">
      <alignment horizontal="center" wrapText="1"/>
    </xf>
    <xf numFmtId="0" fontId="14" fillId="0" borderId="0" xfId="0" applyFont="1" applyAlignment="1">
      <alignment horizontal="center"/>
    </xf>
    <xf numFmtId="10" fontId="14" fillId="0" borderId="0" xfId="0" applyNumberFormat="1" applyFont="1" applyAlignment="1">
      <alignment horizontal="center"/>
    </xf>
    <xf numFmtId="3" fontId="14" fillId="0" borderId="0" xfId="0" applyNumberFormat="1" applyFont="1"/>
    <xf numFmtId="0" fontId="14" fillId="0" borderId="0" xfId="0" applyFont="1" applyAlignment="1">
      <alignment horizontal="left" vertical="top" wrapText="1"/>
    </xf>
    <xf numFmtId="0" fontId="13" fillId="0" borderId="0" xfId="0" applyFont="1" applyAlignment="1">
      <alignment horizontal="left" vertical="top" wrapText="1"/>
    </xf>
    <xf numFmtId="0" fontId="0" fillId="0" borderId="2" xfId="0" applyBorder="1" applyAlignment="1">
      <alignment horizontal="center"/>
    </xf>
    <xf numFmtId="37" fontId="0" fillId="0" borderId="2" xfId="0" applyNumberFormat="1" applyBorder="1" applyAlignment="1">
      <alignment horizontal="center"/>
    </xf>
    <xf numFmtId="37" fontId="0" fillId="4" borderId="2" xfId="0" applyNumberFormat="1" applyFill="1" applyBorder="1" applyAlignment="1">
      <alignment horizontal="center"/>
    </xf>
    <xf numFmtId="1" fontId="0" fillId="4" borderId="0" xfId="0" applyNumberFormat="1" applyFill="1" applyAlignment="1">
      <alignment horizontal="center"/>
    </xf>
    <xf numFmtId="175" fontId="0" fillId="0" borderId="0" xfId="0" applyNumberFormat="1" applyAlignment="1">
      <alignment horizontal="center"/>
    </xf>
    <xf numFmtId="175" fontId="0" fillId="4" borderId="0" xfId="0" applyNumberFormat="1" applyFill="1" applyAlignment="1">
      <alignment horizontal="center"/>
    </xf>
    <xf numFmtId="0" fontId="16" fillId="0" borderId="0" xfId="0" applyFont="1"/>
    <xf numFmtId="0" fontId="6" fillId="2" borderId="0" xfId="0" applyFont="1" applyFill="1"/>
    <xf numFmtId="0" fontId="12" fillId="5" borderId="0" xfId="0" applyFont="1" applyFill="1"/>
    <xf numFmtId="0" fontId="12" fillId="0" borderId="0" xfId="0" applyFont="1"/>
    <xf numFmtId="10" fontId="0" fillId="0" borderId="0" xfId="0" applyNumberFormat="1" applyAlignment="1">
      <alignment horizontal="center"/>
    </xf>
    <xf numFmtId="10" fontId="0" fillId="0" borderId="0" xfId="0" applyNumberFormat="1"/>
    <xf numFmtId="9" fontId="0" fillId="0" borderId="0" xfId="0" applyNumberFormat="1" applyAlignment="1">
      <alignment horizontal="center"/>
    </xf>
    <xf numFmtId="0" fontId="0" fillId="0" borderId="4" xfId="0" applyBorder="1" applyAlignment="1">
      <alignment vertical="center"/>
    </xf>
    <xf numFmtId="0" fontId="0" fillId="0" borderId="2" xfId="0" applyBorder="1" applyAlignment="1">
      <alignment vertical="center"/>
    </xf>
    <xf numFmtId="0" fontId="0" fillId="0" borderId="5" xfId="0" applyBorder="1" applyAlignment="1">
      <alignment vertical="center"/>
    </xf>
    <xf numFmtId="0" fontId="0" fillId="0" borderId="0" xfId="0" applyAlignment="1">
      <alignment vertical="center"/>
    </xf>
    <xf numFmtId="0" fontId="0" fillId="0" borderId="5" xfId="0" applyBorder="1"/>
    <xf numFmtId="0" fontId="17" fillId="0" borderId="0" xfId="0" applyFont="1"/>
    <xf numFmtId="0" fontId="0" fillId="0" borderId="6" xfId="0" applyBorder="1"/>
    <xf numFmtId="176" fontId="0" fillId="0" borderId="0" xfId="0" applyNumberFormat="1"/>
    <xf numFmtId="174" fontId="0" fillId="0" borderId="0" xfId="0" applyNumberFormat="1" applyAlignment="1">
      <alignment horizontal="center"/>
    </xf>
    <xf numFmtId="37" fontId="0" fillId="0" borderId="0" xfId="0" applyNumberFormat="1"/>
    <xf numFmtId="0" fontId="18" fillId="0" borderId="0" xfId="0" applyFont="1"/>
    <xf numFmtId="177" fontId="0" fillId="0" borderId="0" xfId="0" applyNumberFormat="1"/>
    <xf numFmtId="178" fontId="0" fillId="0" borderId="0" xfId="0" applyNumberFormat="1" applyAlignment="1">
      <alignment horizontal="left"/>
    </xf>
    <xf numFmtId="0" fontId="12" fillId="5" borderId="0" xfId="0" applyFont="1" applyFill="1" applyAlignment="1">
      <alignment horizontal="center"/>
    </xf>
    <xf numFmtId="0" fontId="12" fillId="2" borderId="0" xfId="0" applyFont="1" applyFill="1" applyAlignment="1">
      <alignment horizontal="center" vertical="center"/>
    </xf>
    <xf numFmtId="0" fontId="12" fillId="3" borderId="0" xfId="0" applyFont="1" applyFill="1" applyAlignment="1">
      <alignment horizontal="center" vertical="center"/>
    </xf>
    <xf numFmtId="37" fontId="17" fillId="0" borderId="0" xfId="0" applyNumberFormat="1" applyFont="1" applyAlignment="1">
      <alignment horizontal="center"/>
    </xf>
    <xf numFmtId="171" fontId="7" fillId="0" borderId="0" xfId="0" applyNumberFormat="1" applyFont="1" applyAlignment="1">
      <alignment horizontal="center"/>
    </xf>
    <xf numFmtId="0" fontId="12" fillId="3" borderId="0" xfId="0" applyFont="1" applyFill="1" applyAlignment="1">
      <alignment horizontal="center"/>
    </xf>
    <xf numFmtId="3" fontId="17" fillId="0" borderId="0" xfId="0" applyNumberFormat="1" applyFont="1" applyAlignment="1">
      <alignment horizontal="center"/>
    </xf>
    <xf numFmtId="1" fontId="0" fillId="0" borderId="0" xfId="0" applyNumberFormat="1" applyAlignment="1">
      <alignment horizontal="center"/>
    </xf>
    <xf numFmtId="0" fontId="0" fillId="6" borderId="0" xfId="0" applyFill="1" applyAlignment="1">
      <alignment horizontal="center"/>
    </xf>
    <xf numFmtId="9" fontId="0" fillId="6" borderId="7" xfId="0" applyNumberFormat="1" applyFill="1" applyBorder="1" applyAlignment="1">
      <alignment horizontal="center"/>
    </xf>
    <xf numFmtId="171" fontId="0" fillId="6" borderId="7" xfId="0" applyNumberFormat="1" applyFill="1" applyBorder="1" applyAlignment="1">
      <alignment horizontal="center"/>
    </xf>
    <xf numFmtId="171" fontId="0" fillId="6" borderId="0" xfId="0" applyNumberFormat="1" applyFill="1" applyAlignment="1">
      <alignment horizontal="center"/>
    </xf>
    <xf numFmtId="0" fontId="19" fillId="0" borderId="0" xfId="0" applyFont="1"/>
    <xf numFmtId="171" fontId="19" fillId="0" borderId="0" xfId="0" applyNumberFormat="1" applyFont="1" applyAlignment="1">
      <alignment horizontal="center"/>
    </xf>
    <xf numFmtId="37" fontId="20" fillId="0" borderId="0" xfId="0" applyNumberFormat="1" applyFont="1" applyAlignment="1">
      <alignment horizontal="center"/>
    </xf>
    <xf numFmtId="171" fontId="7" fillId="6" borderId="7" xfId="0" applyNumberFormat="1" applyFont="1" applyFill="1" applyBorder="1" applyAlignment="1">
      <alignment horizontal="center"/>
    </xf>
    <xf numFmtId="0" fontId="0" fillId="0" borderId="8" xfId="0" applyBorder="1"/>
    <xf numFmtId="37" fontId="0" fillId="0" borderId="8" xfId="0" applyNumberFormat="1" applyBorder="1"/>
    <xf numFmtId="0" fontId="0" fillId="0" borderId="4" xfId="0" applyBorder="1"/>
    <xf numFmtId="37" fontId="0" fillId="0" borderId="9" xfId="0" applyNumberFormat="1" applyBorder="1" applyAlignment="1">
      <alignment horizontal="center"/>
    </xf>
    <xf numFmtId="37" fontId="0" fillId="0" borderId="1" xfId="0" applyNumberFormat="1" applyBorder="1" applyAlignment="1">
      <alignment horizontal="center" vertical="center"/>
    </xf>
    <xf numFmtId="37" fontId="0" fillId="0" borderId="10" xfId="0" applyNumberFormat="1" applyBorder="1" applyAlignment="1">
      <alignment horizontal="center" vertical="center"/>
    </xf>
    <xf numFmtId="179" fontId="0" fillId="0" borderId="0" xfId="0" applyNumberFormat="1"/>
    <xf numFmtId="2" fontId="0" fillId="0" borderId="0" xfId="0" applyNumberFormat="1" applyAlignment="1">
      <alignment horizontal="center"/>
    </xf>
    <xf numFmtId="180" fontId="0" fillId="0" borderId="0" xfId="0" applyNumberFormat="1" applyAlignment="1">
      <alignment horizontal="center"/>
    </xf>
    <xf numFmtId="177" fontId="0" fillId="0" borderId="0" xfId="0" applyNumberFormat="1" applyAlignment="1">
      <alignment horizontal="center"/>
    </xf>
    <xf numFmtId="1" fontId="0" fillId="0" borderId="0" xfId="0" applyNumberFormat="1"/>
    <xf numFmtId="181" fontId="0" fillId="0" borderId="0" xfId="0" applyNumberFormat="1"/>
    <xf numFmtId="182" fontId="0" fillId="0" borderId="0" xfId="0" applyNumberFormat="1"/>
    <xf numFmtId="10" fontId="21" fillId="0" borderId="0" xfId="0" applyNumberFormat="1" applyFont="1"/>
    <xf numFmtId="10" fontId="21" fillId="0" borderId="1" xfId="0" applyNumberFormat="1" applyFont="1" applyBorder="1"/>
    <xf numFmtId="10" fontId="21" fillId="0" borderId="0" xfId="0" applyNumberFormat="1" applyFont="1" applyAlignment="1">
      <alignment horizontal="center"/>
    </xf>
    <xf numFmtId="10" fontId="21" fillId="0" borderId="0" xfId="0" applyNumberFormat="1" applyFont="1" applyAlignment="1">
      <alignment horizontal="center" vertical="center"/>
    </xf>
    <xf numFmtId="0" fontId="22" fillId="0" borderId="0" xfId="0" applyFont="1" applyAlignment="1">
      <alignment vertical="top"/>
    </xf>
    <xf numFmtId="2" fontId="0" fillId="0" borderId="0" xfId="0" applyNumberFormat="1" applyAlignment="1">
      <alignment horizontal="right"/>
    </xf>
    <xf numFmtId="2" fontId="21" fillId="0" borderId="0" xfId="0" applyNumberFormat="1" applyFont="1" applyAlignment="1">
      <alignment horizontal="center" vertical="center"/>
    </xf>
    <xf numFmtId="2" fontId="21" fillId="0" borderId="0" xfId="0" applyNumberFormat="1" applyFont="1"/>
    <xf numFmtId="2" fontId="21" fillId="0" borderId="1" xfId="0" applyNumberFormat="1" applyFont="1" applyBorder="1"/>
    <xf numFmtId="0" fontId="24" fillId="0" borderId="0" xfId="0" applyFont="1" applyAlignment="1">
      <alignment vertical="top" wrapText="1"/>
    </xf>
    <xf numFmtId="0" fontId="25" fillId="0" borderId="0" xfId="1" applyAlignment="1">
      <alignment vertical="top"/>
    </xf>
    <xf numFmtId="0" fontId="23" fillId="7" borderId="3" xfId="0" applyFont="1" applyFill="1" applyBorder="1" applyAlignment="1">
      <alignment horizontal="left" vertical="top" wrapText="1"/>
    </xf>
    <xf numFmtId="0" fontId="3" fillId="0" borderId="1" xfId="0" applyFont="1" applyBorder="1" applyAlignment="1">
      <alignment horizontal="center"/>
    </xf>
    <xf numFmtId="0" fontId="0" fillId="0" borderId="1" xfId="0" applyBorder="1" applyAlignment="1">
      <alignment horizontal="center"/>
    </xf>
    <xf numFmtId="0" fontId="0" fillId="0" borderId="0" xfId="0" applyAlignment="1">
      <alignment horizontal="center"/>
    </xf>
    <xf numFmtId="0" fontId="4" fillId="0" borderId="0" xfId="0" applyFont="1" applyAlignment="1">
      <alignment horizontal="center"/>
    </xf>
    <xf numFmtId="172" fontId="4" fillId="0" borderId="0" xfId="0" applyNumberFormat="1" applyFont="1"/>
    <xf numFmtId="0" fontId="4" fillId="0" borderId="1" xfId="0" applyFont="1" applyBorder="1"/>
    <xf numFmtId="0" fontId="4" fillId="0" borderId="2" xfId="0" applyFont="1" applyBorder="1" applyAlignment="1">
      <alignment horizontal="center"/>
    </xf>
    <xf numFmtId="0" fontId="4" fillId="0" borderId="2" xfId="0" applyFont="1" applyBorder="1"/>
    <xf numFmtId="172" fontId="4" fillId="0" borderId="2" xfId="0" applyNumberFormat="1" applyFont="1" applyBorder="1" applyAlignment="1">
      <alignment horizontal="right"/>
    </xf>
    <xf numFmtId="172" fontId="4" fillId="0" borderId="2" xfId="0" applyNumberFormat="1" applyFont="1" applyBorder="1" applyAlignment="1">
      <alignment horizontal="center"/>
    </xf>
    <xf numFmtId="172" fontId="4" fillId="0" borderId="2" xfId="0" applyNumberFormat="1" applyFont="1" applyBorder="1"/>
    <xf numFmtId="0" fontId="4" fillId="0" borderId="0" xfId="0" applyFont="1" applyAlignment="1">
      <alignment horizontal="center"/>
    </xf>
    <xf numFmtId="172" fontId="4" fillId="4" borderId="2" xfId="0" applyNumberFormat="1" applyFont="1" applyFill="1" applyBorder="1" applyAlignment="1">
      <alignment horizontal="center"/>
    </xf>
    <xf numFmtId="37" fontId="4" fillId="0" borderId="2" xfId="0" applyNumberFormat="1" applyFont="1" applyBorder="1"/>
    <xf numFmtId="37" fontId="4" fillId="0" borderId="2" xfId="0" applyNumberFormat="1" applyFont="1" applyBorder="1" applyAlignment="1">
      <alignment horizontal="center"/>
    </xf>
    <xf numFmtId="37" fontId="4" fillId="4" borderId="2" xfId="0" applyNumberFormat="1" applyFont="1" applyFill="1" applyBorder="1" applyAlignment="1">
      <alignment horizontal="center"/>
    </xf>
    <xf numFmtId="0" fontId="4" fillId="0" borderId="2" xfId="0" applyFont="1" applyBorder="1" applyAlignment="1">
      <alignment horizontal="center" wrapText="1"/>
    </xf>
    <xf numFmtId="0" fontId="4" fillId="0" borderId="2" xfId="0" applyFont="1" applyBorder="1" applyAlignment="1">
      <alignment horizontal="center" vertical="center" wrapText="1"/>
    </xf>
    <xf numFmtId="0" fontId="4" fillId="0" borderId="0" xfId="0" applyFont="1" applyAlignment="1">
      <alignment horizontal="center" wrapText="1"/>
    </xf>
    <xf numFmtId="9" fontId="4" fillId="0" borderId="0" xfId="0" applyNumberFormat="1" applyFont="1" applyAlignment="1">
      <alignment horizontal="center"/>
    </xf>
    <xf numFmtId="0" fontId="4" fillId="0" borderId="0" xfId="0" applyFont="1" applyAlignment="1">
      <alignment horizontal="left"/>
    </xf>
  </cellXfs>
  <cellStyles count="10">
    <cellStyle name="Comma" xfId="2" xr:uid="{00000000-0005-0000-0000-000001000000}"/>
    <cellStyle name="Comma [0]" xfId="3" xr:uid="{00000000-0005-0000-0000-000002000000}"/>
    <cellStyle name="Comma 2" xfId="7" xr:uid="{00000000-0005-0000-0000-000006000000}"/>
    <cellStyle name="Currency" xfId="4" xr:uid="{00000000-0005-0000-0000-000003000000}"/>
    <cellStyle name="Currency [0]" xfId="5" xr:uid="{00000000-0005-0000-0000-000004000000}"/>
    <cellStyle name="Currency 2" xfId="8" xr:uid="{00000000-0005-0000-0000-000007000000}"/>
    <cellStyle name="Hyperlink" xfId="1" builtinId="8"/>
    <cellStyle name="Normal" xfId="0" builtinId="0"/>
    <cellStyle name="Normal 2" xfId="9" xr:uid="{00000000-0005-0000-0000-000008000000}"/>
    <cellStyle name="Percent" xfId="6"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7D6"/>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4B183"/>
      <rgbColor rgb="FF3366FF"/>
      <rgbColor rgb="FF33CCCC"/>
      <rgbColor rgb="FF99CC00"/>
      <rgbColor rgb="FFD9B84A"/>
      <rgbColor rgb="FFFF9900"/>
      <rgbColor rgb="FFC55A11"/>
      <rgbColor rgb="FF666699"/>
      <rgbColor rgb="FF969696"/>
      <rgbColor rgb="FF003366"/>
      <rgbColor rgb="FF339966"/>
      <rgbColor rgb="FF003300"/>
      <rgbColor rgb="FF4A3B00"/>
      <rgbColor rgb="FF6B5300"/>
      <rgbColor rgb="FF993366"/>
      <rgbColor rgb="FF333399"/>
      <rgbColor rgb="FF333F4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142920</xdr:colOff>
      <xdr:row>1</xdr:row>
      <xdr:rowOff>15480</xdr:rowOff>
    </xdr:from>
    <xdr:to>
      <xdr:col>5</xdr:col>
      <xdr:colOff>130680</xdr:colOff>
      <xdr:row>2</xdr:row>
      <xdr:rowOff>12600</xdr:rowOff>
    </xdr:to>
    <xdr:pic>
      <xdr:nvPicPr>
        <xdr:cNvPr id="2" name="/xl/media/image.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6:T35" totalsRowShown="0">
  <tableColumns count="20">
    <tableColumn id="1" xr3:uid="{00000000-0010-0000-0000-000001000000}" name="Fiscal Year"/>
    <tableColumn id="2" xr3:uid="{00000000-0010-0000-0000-000002000000}" name="Q4 2021"/>
    <tableColumn id="3" xr3:uid="{00000000-0010-0000-0000-000003000000}" name="Q1 2022"/>
    <tableColumn id="4" xr3:uid="{00000000-0010-0000-0000-000004000000}" name="Q2 2022"/>
    <tableColumn id="5" xr3:uid="{00000000-0010-0000-0000-000005000000}" name="Q3 2022"/>
    <tableColumn id="6" xr3:uid="{00000000-0010-0000-0000-000006000000}" name="Q4 2022"/>
    <tableColumn id="7" xr3:uid="{00000000-0010-0000-0000-000007000000}" name="Q1 2023"/>
    <tableColumn id="8" xr3:uid="{00000000-0010-0000-0000-000008000000}" name="Q2 2023"/>
    <tableColumn id="9" xr3:uid="{00000000-0010-0000-0000-000009000000}" name="Q3 2023"/>
    <tableColumn id="10" xr3:uid="{00000000-0010-0000-0000-00000A000000}" name="Q4 2023"/>
    <tableColumn id="11" xr3:uid="{00000000-0010-0000-0000-00000B000000}" name="Q1 2024"/>
    <tableColumn id="12" xr3:uid="{00000000-0010-0000-0000-00000C000000}" name="Q2 2024"/>
    <tableColumn id="13" xr3:uid="{00000000-0010-0000-0000-00000D000000}" name="Q3 2024"/>
    <tableColumn id="14" xr3:uid="{00000000-0010-0000-0000-00000E000000}" name="Q4 2024"/>
    <tableColumn id="15" xr3:uid="{00000000-0010-0000-0000-00000F000000}" name="Q1 2025"/>
    <tableColumn id="16" xr3:uid="{00000000-0010-0000-0000-000010000000}" name="Q2 2025"/>
    <tableColumn id="17" xr3:uid="{00000000-0010-0000-0000-000011000000}" name="Q3 2025"/>
    <tableColumn id="18" xr3:uid="{00000000-0010-0000-0000-000012000000}" name="Q4 2025"/>
    <tableColumn id="19" xr3:uid="{00000000-0010-0000-0000-000013000000}" name="Q1 2026"/>
    <tableColumn id="20" xr3:uid="{00000000-0010-0000-0000-000014000000}" name="Q2 202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4" displayName="Table4" ref="A6:T44" totalsRowShown="0">
  <tableColumns count="20">
    <tableColumn id="1" xr3:uid="{00000000-0010-0000-0100-000001000000}" name="Fiscal Year"/>
    <tableColumn id="2" xr3:uid="{00000000-0010-0000-0100-000002000000}" name="Q4 2021"/>
    <tableColumn id="3" xr3:uid="{00000000-0010-0000-0100-000003000000}" name="Q1 2022"/>
    <tableColumn id="4" xr3:uid="{00000000-0010-0000-0100-000004000000}" name="Q2 2022"/>
    <tableColumn id="5" xr3:uid="{00000000-0010-0000-0100-000005000000}" name="Q3 2022"/>
    <tableColumn id="6" xr3:uid="{00000000-0010-0000-0100-000006000000}" name="Q4 2022"/>
    <tableColumn id="7" xr3:uid="{00000000-0010-0000-0100-000007000000}" name="Q1 2023"/>
    <tableColumn id="8" xr3:uid="{00000000-0010-0000-0100-000008000000}" name="Q2 2023"/>
    <tableColumn id="9" xr3:uid="{00000000-0010-0000-0100-000009000000}" name="Q3 2023"/>
    <tableColumn id="10" xr3:uid="{00000000-0010-0000-0100-00000A000000}" name="Q4 2023"/>
    <tableColumn id="11" xr3:uid="{00000000-0010-0000-0100-00000B000000}" name="Q1 2024"/>
    <tableColumn id="12" xr3:uid="{00000000-0010-0000-0100-00000C000000}" name="Q2 2024"/>
    <tableColumn id="13" xr3:uid="{00000000-0010-0000-0100-00000D000000}" name="Q3 2024"/>
    <tableColumn id="14" xr3:uid="{00000000-0010-0000-0100-00000E000000}" name="Q4 2024"/>
    <tableColumn id="15" xr3:uid="{00000000-0010-0000-0100-00000F000000}" name="Q1 2025"/>
    <tableColumn id="16" xr3:uid="{00000000-0010-0000-0100-000010000000}" name="Q2 2025"/>
    <tableColumn id="17" xr3:uid="{00000000-0010-0000-0100-000011000000}" name="Q3 2025"/>
    <tableColumn id="18" xr3:uid="{00000000-0010-0000-0100-000012000000}" name="Q4 2025"/>
    <tableColumn id="19" xr3:uid="{00000000-0010-0000-0100-000013000000}" name="Q1 2026"/>
    <tableColumn id="20" xr3:uid="{00000000-0010-0000-0100-000014000000}" name="Q2 2026"/>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6:S55" totalsRowShown="0">
  <tableColumns count="19">
    <tableColumn id="1" xr3:uid="{00000000-0010-0000-0200-000001000000}" name="Fiscal Year"/>
    <tableColumn id="2" xr3:uid="{00000000-0010-0000-0200-000002000000}" name="Q1 2022"/>
    <tableColumn id="3" xr3:uid="{00000000-0010-0000-0200-000003000000}" name="Q2 2022"/>
    <tableColumn id="4" xr3:uid="{00000000-0010-0000-0200-000004000000}" name="Q3 2022"/>
    <tableColumn id="5" xr3:uid="{00000000-0010-0000-0200-000005000000}" name="Q4 2022"/>
    <tableColumn id="6" xr3:uid="{00000000-0010-0000-0200-000006000000}" name="Q1 2023"/>
    <tableColumn id="7" xr3:uid="{00000000-0010-0000-0200-000007000000}" name="Q2 2023"/>
    <tableColumn id="8" xr3:uid="{00000000-0010-0000-0200-000008000000}" name="Q3 2023"/>
    <tableColumn id="9" xr3:uid="{00000000-0010-0000-0200-000009000000}" name="Q4 2023"/>
    <tableColumn id="10" xr3:uid="{00000000-0010-0000-0200-00000A000000}" name="Q1 2024"/>
    <tableColumn id="11" xr3:uid="{00000000-0010-0000-0200-00000B000000}" name="Q2 2024"/>
    <tableColumn id="12" xr3:uid="{00000000-0010-0000-0200-00000C000000}" name="Q3 2024"/>
    <tableColumn id="13" xr3:uid="{00000000-0010-0000-0200-00000D000000}" name="Q4 2024"/>
    <tableColumn id="14" xr3:uid="{00000000-0010-0000-0200-00000E000000}" name="Q1 2025"/>
    <tableColumn id="15" xr3:uid="{00000000-0010-0000-0200-00000F000000}" name="Q2 2025"/>
    <tableColumn id="16" xr3:uid="{00000000-0010-0000-0200-000010000000}" name="Q3 2025"/>
    <tableColumn id="17" xr3:uid="{00000000-0010-0000-0200-000011000000}" name="Q4 2025"/>
    <tableColumn id="18" xr3:uid="{00000000-0010-0000-0200-000012000000}" name="Q1 2026"/>
    <tableColumn id="19" xr3:uid="{00000000-0010-0000-0200-000013000000}" name="Q2 202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7"/>
  <sheetViews>
    <sheetView showGridLines="0" topLeftCell="A27" workbookViewId="0">
      <selection activeCell="H35" sqref="H35"/>
    </sheetView>
  </sheetViews>
  <sheetFormatPr defaultColWidth="8.7109375" defaultRowHeight="14.25"/>
  <cols>
    <col min="1" max="1" width="1" customWidth="1"/>
    <col min="2" max="2" width="24.42578125" customWidth="1"/>
    <col min="3" max="3" width="48.140625" customWidth="1"/>
    <col min="4" max="4" width="9" customWidth="1"/>
  </cols>
  <sheetData>
    <row r="1" spans="2:4" ht="5.25" customHeight="1"/>
    <row r="2" spans="2:4" ht="25.5" customHeight="1">
      <c r="B2" s="134" t="s">
        <v>0</v>
      </c>
      <c r="C2" s="134"/>
      <c r="D2" s="134"/>
    </row>
    <row r="4" spans="2:4" ht="14.25" customHeight="1">
      <c r="B4" s="2" t="s">
        <v>1</v>
      </c>
      <c r="C4" s="3" t="s">
        <v>2</v>
      </c>
    </row>
    <row r="5" spans="2:4" ht="14.25" customHeight="1">
      <c r="B5" s="2" t="s">
        <v>3</v>
      </c>
      <c r="C5" t="s">
        <v>4</v>
      </c>
    </row>
    <row r="6" spans="2:4" ht="71.25" customHeight="1">
      <c r="B6" s="4" t="s">
        <v>5</v>
      </c>
      <c r="C6" s="5" t="s">
        <v>6</v>
      </c>
    </row>
    <row r="7" spans="2:4" ht="57" customHeight="1">
      <c r="B7" s="4" t="s">
        <v>7</v>
      </c>
      <c r="C7" s="5" t="s">
        <v>8</v>
      </c>
    </row>
    <row r="9" spans="2:4" ht="14.25" customHeight="1">
      <c r="B9" s="2" t="s">
        <v>9</v>
      </c>
      <c r="C9" s="2" t="s">
        <v>10</v>
      </c>
    </row>
    <row r="10" spans="2:4" ht="14.25" customHeight="1">
      <c r="B10" t="s">
        <v>11</v>
      </c>
      <c r="C10" s="6">
        <f>'DCF Valuation'!J5</f>
        <v>193.8</v>
      </c>
    </row>
    <row r="11" spans="2:4" ht="14.25" customHeight="1">
      <c r="B11" t="s">
        <v>12</v>
      </c>
      <c r="C11" s="6">
        <f>'DCF Valuation'!J4</f>
        <v>65.991720553640789</v>
      </c>
    </row>
    <row r="12" spans="2:4" ht="14.25" customHeight="1">
      <c r="B12" t="s">
        <v>13</v>
      </c>
      <c r="C12" s="7">
        <f>'DCF Valuation'!J6</f>
        <v>-0.6594854460596451</v>
      </c>
    </row>
    <row r="13" spans="2:4" ht="14.25" customHeight="1">
      <c r="B13" t="s">
        <v>14</v>
      </c>
      <c r="C13" s="8">
        <f>WACC!F21</f>
        <v>0.13779548661688432</v>
      </c>
    </row>
    <row r="14" spans="2:4" ht="14.25" customHeight="1">
      <c r="B14" t="s">
        <v>15</v>
      </c>
      <c r="C14" s="9">
        <f>'DCF Valuation'!D43</f>
        <v>3.5000000000000003E-2</v>
      </c>
    </row>
    <row r="15" spans="2:4" ht="14.25" customHeight="1">
      <c r="B15" t="s">
        <v>16</v>
      </c>
      <c r="C15" s="8" t="s">
        <v>2</v>
      </c>
    </row>
    <row r="16" spans="2:4" ht="14.25" customHeight="1">
      <c r="C16" s="10"/>
    </row>
    <row r="17" spans="2:3" ht="14.25" customHeight="1">
      <c r="B17" s="2" t="s">
        <v>17</v>
      </c>
      <c r="C17" s="11" t="s">
        <v>10</v>
      </c>
    </row>
    <row r="18" spans="2:3" ht="14.25" customHeight="1">
      <c r="B18" t="s">
        <v>18</v>
      </c>
      <c r="C18" s="8">
        <f>WACC!F11</f>
        <v>0.13800000000000001</v>
      </c>
    </row>
    <row r="19" spans="2:3" ht="14.25" customHeight="1">
      <c r="B19" t="s">
        <v>19</v>
      </c>
      <c r="C19" s="12">
        <f>WACC!F13</f>
        <v>2</v>
      </c>
    </row>
    <row r="20" spans="2:3" ht="14.25" customHeight="1">
      <c r="B20" t="s">
        <v>20</v>
      </c>
      <c r="C20" s="8">
        <f>WACC!F12</f>
        <v>4.0800000000000003E-2</v>
      </c>
    </row>
    <row r="21" spans="2:3" ht="14.25" customHeight="1">
      <c r="B21" t="s">
        <v>21</v>
      </c>
      <c r="C21" s="8">
        <f>WACC!F14</f>
        <v>4.8599999999999997E-2</v>
      </c>
    </row>
    <row r="22" spans="2:3" ht="14.25" customHeight="1">
      <c r="B22" t="s">
        <v>22</v>
      </c>
      <c r="C22" s="8">
        <f>WACC!F18</f>
        <v>2.9238235294117648E-2</v>
      </c>
    </row>
    <row r="23" spans="2:3" ht="14.25" customHeight="1">
      <c r="B23" t="s">
        <v>23</v>
      </c>
      <c r="C23" s="8">
        <f>WACC!F19</f>
        <v>0.17</v>
      </c>
    </row>
    <row r="25" spans="2:3" ht="14.25" customHeight="1">
      <c r="B25" s="2" t="s">
        <v>24</v>
      </c>
      <c r="C25" s="2" t="s">
        <v>25</v>
      </c>
    </row>
    <row r="26" spans="2:3" ht="27.75" customHeight="1">
      <c r="B26" s="132" t="s">
        <v>26</v>
      </c>
      <c r="C26" s="5" t="s">
        <v>27</v>
      </c>
    </row>
    <row r="27" spans="2:3" ht="28.5" customHeight="1">
      <c r="B27" s="132" t="s">
        <v>28</v>
      </c>
      <c r="C27" s="5" t="s">
        <v>29</v>
      </c>
    </row>
    <row r="28" spans="2:3" ht="14.25" customHeight="1">
      <c r="B28" s="132" t="s">
        <v>30</v>
      </c>
      <c r="C28" s="5" t="s">
        <v>31</v>
      </c>
    </row>
    <row r="29" spans="2:3" ht="28.5" customHeight="1">
      <c r="B29" s="132" t="s">
        <v>32</v>
      </c>
      <c r="C29" s="5" t="s">
        <v>33</v>
      </c>
    </row>
    <row r="30" spans="2:3" ht="28.5" customHeight="1">
      <c r="B30" s="132" t="s">
        <v>34</v>
      </c>
      <c r="C30" s="5" t="s">
        <v>35</v>
      </c>
    </row>
    <row r="31" spans="2:3" ht="28.5" customHeight="1">
      <c r="B31" s="132" t="s">
        <v>36</v>
      </c>
      <c r="C31" s="5" t="s">
        <v>37</v>
      </c>
    </row>
    <row r="32" spans="2:3">
      <c r="B32" s="132" t="s">
        <v>38</v>
      </c>
      <c r="C32" s="5" t="s">
        <v>39</v>
      </c>
    </row>
    <row r="33" spans="2:3" ht="57">
      <c r="B33" s="132" t="s">
        <v>40</v>
      </c>
      <c r="C33" s="131" t="s">
        <v>41</v>
      </c>
    </row>
    <row r="34" spans="2:3" ht="28.5">
      <c r="B34" s="132" t="s">
        <v>42</v>
      </c>
      <c r="C34" s="5" t="s">
        <v>43</v>
      </c>
    </row>
    <row r="35" spans="2:3" ht="71.25">
      <c r="B35" s="126" t="s">
        <v>44</v>
      </c>
      <c r="C35" s="131" t="s">
        <v>45</v>
      </c>
    </row>
    <row r="36" spans="2:3" ht="57">
      <c r="B36" s="126" t="s">
        <v>46</v>
      </c>
      <c r="C36" s="5" t="s">
        <v>47</v>
      </c>
    </row>
    <row r="37" spans="2:3" ht="57">
      <c r="B37" s="126" t="s">
        <v>48</v>
      </c>
      <c r="C37" s="5" t="s">
        <v>49</v>
      </c>
    </row>
  </sheetData>
  <mergeCells count="1">
    <mergeCell ref="B2:D2"/>
  </mergeCells>
  <hyperlinks>
    <hyperlink ref="B26" location="'Revenue Streams'!A1" display="Revenue Streams" xr:uid="{00000000-0004-0000-0000-000000000000}"/>
    <hyperlink ref="B27" location="'Income Statement'!A1" display="Income Statement" xr:uid="{00000000-0004-0000-0000-000001000000}"/>
    <hyperlink ref="B28" location="'Balance Sheet'!A1" display="Balance Sheet" xr:uid="{00000000-0004-0000-0000-000002000000}"/>
    <hyperlink ref="B29" location="'Cash Flow Statement'!A1" display="Cash Flow Statement" xr:uid="{00000000-0004-0000-0000-000003000000}"/>
    <hyperlink ref="B30" location="'Working Capital'!A1" display="Working Capital" xr:uid="{00000000-0004-0000-0000-000004000000}"/>
    <hyperlink ref="B31" location="Debt!A1" display="Debt" xr:uid="{00000000-0004-0000-0000-000005000000}"/>
    <hyperlink ref="B32" location="'Fixed Assets'!A1" display="Fixed Assets" xr:uid="{00000000-0004-0000-0000-000006000000}"/>
    <hyperlink ref="B34" location="'DCF Valuation'!A1" display="DCF Valuation" xr:uid="{00000000-0004-0000-0000-000007000000}"/>
    <hyperlink ref="B35" location="'DCF Valuation'!A1" display="Historical financials" xr:uid="{00000000-0004-0000-0000-000008000000}"/>
    <hyperlink ref="B33" location="WACC!A1" display="WACC inputs" xr:uid="{34DEED81-C4A2-4618-B571-B250402258FF}"/>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48"/>
  <sheetViews>
    <sheetView showGridLines="0" workbookViewId="0"/>
  </sheetViews>
  <sheetFormatPr defaultColWidth="8.7109375" defaultRowHeight="14.25"/>
  <cols>
    <col min="1" max="1" width="26.42578125" customWidth="1"/>
    <col min="2" max="2" width="9.5703125" customWidth="1"/>
    <col min="3" max="3" width="7.85546875" customWidth="1"/>
    <col min="16" max="22" width="8.85546875" customWidth="1"/>
  </cols>
  <sheetData>
    <row r="1" spans="1:21" ht="7.5" customHeight="1"/>
    <row r="2" spans="1:21" ht="18.75" customHeight="1">
      <c r="A2" s="14" t="s">
        <v>26</v>
      </c>
      <c r="C2" s="15"/>
      <c r="D2" s="15"/>
      <c r="E2" s="15"/>
      <c r="L2" s="16"/>
      <c r="M2" s="16"/>
      <c r="N2" s="16"/>
      <c r="O2" s="17"/>
      <c r="P2" s="17"/>
      <c r="Q2" s="17"/>
      <c r="R2" s="17"/>
      <c r="S2" s="17"/>
    </row>
    <row r="4" spans="1:21" ht="14.25" customHeight="1">
      <c r="A4" s="18" t="s">
        <v>50</v>
      </c>
      <c r="B4" s="18" t="s">
        <v>51</v>
      </c>
      <c r="C4" s="18" t="s">
        <v>52</v>
      </c>
      <c r="D4" s="18" t="s">
        <v>53</v>
      </c>
      <c r="E4" s="18" t="s">
        <v>54</v>
      </c>
      <c r="F4" s="18" t="s">
        <v>55</v>
      </c>
      <c r="G4" s="18" t="s">
        <v>56</v>
      </c>
      <c r="H4" s="18" t="s">
        <v>57</v>
      </c>
      <c r="I4" s="18" t="s">
        <v>58</v>
      </c>
      <c r="J4" s="18" t="s">
        <v>59</v>
      </c>
      <c r="K4" s="18" t="s">
        <v>60</v>
      </c>
      <c r="L4" s="18" t="s">
        <v>61</v>
      </c>
      <c r="M4" s="18" t="s">
        <v>62</v>
      </c>
      <c r="N4" s="18" t="s">
        <v>63</v>
      </c>
      <c r="O4" s="18" t="s">
        <v>64</v>
      </c>
      <c r="P4" s="18" t="s">
        <v>65</v>
      </c>
      <c r="Q4" s="18" t="s">
        <v>66</v>
      </c>
      <c r="R4" s="18" t="s">
        <v>67</v>
      </c>
      <c r="S4" s="18" t="s">
        <v>68</v>
      </c>
      <c r="T4" s="18" t="s">
        <v>69</v>
      </c>
      <c r="U4" s="18" t="s">
        <v>70</v>
      </c>
    </row>
    <row r="5" spans="1:21" ht="14.25" customHeight="1">
      <c r="A5" s="1" t="s">
        <v>71</v>
      </c>
      <c r="B5" s="19">
        <f t="shared" ref="B5:T5" si="0">1/3*B25+2/3*C25</f>
        <v>1083.3333333333333</v>
      </c>
      <c r="C5" s="19">
        <f t="shared" si="0"/>
        <v>1548.3333333333333</v>
      </c>
      <c r="D5" s="19">
        <f t="shared" si="0"/>
        <v>1850.6666666666665</v>
      </c>
      <c r="E5" s="19">
        <f t="shared" si="0"/>
        <v>1901.9999999999998</v>
      </c>
      <c r="F5" s="19">
        <f t="shared" si="0"/>
        <v>1999.6666666666665</v>
      </c>
      <c r="G5" s="19">
        <f t="shared" si="0"/>
        <v>2260</v>
      </c>
      <c r="H5" s="19">
        <f t="shared" si="0"/>
        <v>2746</v>
      </c>
      <c r="I5" s="19">
        <f t="shared" si="0"/>
        <v>3153.9999999999995</v>
      </c>
      <c r="J5" s="19">
        <f t="shared" si="0"/>
        <v>3587.6666666666665</v>
      </c>
      <c r="K5" s="19">
        <f t="shared" si="0"/>
        <v>3787.333333333333</v>
      </c>
      <c r="L5" s="19">
        <f t="shared" si="0"/>
        <v>3823.9999999999995</v>
      </c>
      <c r="M5" s="19">
        <f t="shared" si="0"/>
        <v>3688.333333333333</v>
      </c>
      <c r="N5" s="19">
        <f t="shared" si="0"/>
        <v>4061.333333333333</v>
      </c>
      <c r="O5" s="19">
        <f t="shared" si="0"/>
        <v>8310</v>
      </c>
      <c r="P5" s="19">
        <f t="shared" si="0"/>
        <v>13117</v>
      </c>
      <c r="Q5" s="19">
        <f t="shared" si="0"/>
        <v>17107.333333333332</v>
      </c>
      <c r="R5" s="19">
        <f t="shared" si="0"/>
        <v>21176.666666666664</v>
      </c>
      <c r="S5" s="19">
        <f t="shared" si="0"/>
        <v>25061.666666666664</v>
      </c>
      <c r="T5" s="19">
        <f t="shared" si="0"/>
        <v>29303.666666666664</v>
      </c>
      <c r="U5" s="19">
        <f>1/3*U25+2/3*W22</f>
        <v>10266.666666666666</v>
      </c>
    </row>
    <row r="6" spans="1:21" ht="14.25" customHeight="1">
      <c r="A6" s="1" t="s">
        <v>71</v>
      </c>
      <c r="B6" s="20">
        <f t="shared" ref="B6:U6" si="1">B5/B$20</f>
        <v>0.3507825148407987</v>
      </c>
      <c r="C6" s="20">
        <f t="shared" si="1"/>
        <v>0.42961524232334447</v>
      </c>
      <c r="D6" s="20">
        <f t="shared" si="1"/>
        <v>0.41687941132302153</v>
      </c>
      <c r="E6" s="20">
        <f t="shared" si="1"/>
        <v>0.38732011946782513</v>
      </c>
      <c r="F6" s="20">
        <f t="shared" si="1"/>
        <v>0.36747320061255745</v>
      </c>
      <c r="G6" s="20">
        <f t="shared" si="1"/>
        <v>0.36305220883534134</v>
      </c>
      <c r="H6" s="20">
        <f t="shared" si="1"/>
        <v>0.39772123786993679</v>
      </c>
      <c r="I6" s="20">
        <f t="shared" si="1"/>
        <v>0.42261825003349857</v>
      </c>
      <c r="J6" s="20">
        <f t="shared" si="1"/>
        <v>0.44440315454808205</v>
      </c>
      <c r="K6" s="20">
        <f t="shared" si="1"/>
        <v>0.52369100294985249</v>
      </c>
      <c r="L6" s="20">
        <f t="shared" si="1"/>
        <v>0.61790369492620911</v>
      </c>
      <c r="M6" s="20">
        <f t="shared" si="1"/>
        <v>0.61359729385016359</v>
      </c>
      <c r="N6" s="20">
        <f t="shared" si="1"/>
        <v>0.59623195497920234</v>
      </c>
      <c r="O6" s="20">
        <f t="shared" si="1"/>
        <v>0.72881950534993856</v>
      </c>
      <c r="P6" s="20">
        <f t="shared" si="1"/>
        <v>0.79102257422558153</v>
      </c>
      <c r="Q6" s="20">
        <f t="shared" si="1"/>
        <v>0.82344446940281757</v>
      </c>
      <c r="R6" s="20">
        <f t="shared" si="1"/>
        <v>0.85630332520116992</v>
      </c>
      <c r="S6" s="20">
        <f t="shared" si="1"/>
        <v>0.87298546282104872</v>
      </c>
      <c r="T6" s="20">
        <f t="shared" si="1"/>
        <v>0.87732026665602181</v>
      </c>
      <c r="U6" s="20">
        <f t="shared" si="1"/>
        <v>0.8779431047260704</v>
      </c>
    </row>
    <row r="8" spans="1:21" ht="14.25" customHeight="1">
      <c r="A8" s="1" t="s">
        <v>72</v>
      </c>
      <c r="B8" s="19">
        <f t="shared" ref="B8:T8" si="2">1/3*B29+2/3*C29</f>
        <v>1389.6666666666665</v>
      </c>
      <c r="C8" s="19">
        <f t="shared" si="2"/>
        <v>1548.9999999999998</v>
      </c>
      <c r="D8" s="19">
        <f t="shared" si="2"/>
        <v>2065.333333333333</v>
      </c>
      <c r="E8" s="19">
        <f t="shared" si="2"/>
        <v>2420.333333333333</v>
      </c>
      <c r="F8" s="19">
        <f t="shared" si="2"/>
        <v>2671.6666666666665</v>
      </c>
      <c r="G8" s="19">
        <f t="shared" si="2"/>
        <v>2960.6666666666665</v>
      </c>
      <c r="H8" s="19">
        <f t="shared" si="2"/>
        <v>3167.6666666666661</v>
      </c>
      <c r="I8" s="19">
        <f t="shared" si="2"/>
        <v>3353.6666666666665</v>
      </c>
      <c r="J8" s="19">
        <f t="shared" si="2"/>
        <v>3553.333333333333</v>
      </c>
      <c r="K8" s="19">
        <f t="shared" si="2"/>
        <v>2568</v>
      </c>
      <c r="L8" s="19">
        <f t="shared" si="2"/>
        <v>1730</v>
      </c>
      <c r="M8" s="19">
        <f t="shared" si="2"/>
        <v>1745.333333333333</v>
      </c>
      <c r="N8" s="19">
        <f t="shared" si="2"/>
        <v>2103.6666666666665</v>
      </c>
      <c r="O8" s="19">
        <f t="shared" si="2"/>
        <v>2404</v>
      </c>
      <c r="P8" s="19">
        <f t="shared" si="2"/>
        <v>2732.6666666666665</v>
      </c>
      <c r="Q8" s="19">
        <f t="shared" si="2"/>
        <v>2862</v>
      </c>
      <c r="R8" s="19">
        <f t="shared" si="2"/>
        <v>2721</v>
      </c>
      <c r="S8" s="19">
        <f t="shared" si="2"/>
        <v>2813</v>
      </c>
      <c r="T8" s="19">
        <f t="shared" si="2"/>
        <v>3165</v>
      </c>
      <c r="U8" s="19">
        <f>1/3*U29+2/3*W26</f>
        <v>1100</v>
      </c>
    </row>
    <row r="9" spans="1:21" ht="14.25" customHeight="1">
      <c r="A9" s="1" t="s">
        <v>72</v>
      </c>
      <c r="B9" s="20">
        <f t="shared" ref="B9:U9" si="3">B8/B$20</f>
        <v>0.44997301672962764</v>
      </c>
      <c r="C9" s="20">
        <f t="shared" si="3"/>
        <v>0.42980022197558265</v>
      </c>
      <c r="D9" s="20">
        <f t="shared" si="3"/>
        <v>0.46523502027331437</v>
      </c>
      <c r="E9" s="20">
        <f t="shared" si="3"/>
        <v>0.49287265815910941</v>
      </c>
      <c r="F9" s="20">
        <f t="shared" si="3"/>
        <v>0.49096477794793264</v>
      </c>
      <c r="G9" s="20">
        <f t="shared" si="3"/>
        <v>0.47560910307898258</v>
      </c>
      <c r="H9" s="20">
        <f t="shared" si="3"/>
        <v>0.45879399410997918</v>
      </c>
      <c r="I9" s="20">
        <f t="shared" si="3"/>
        <v>0.44937245969002637</v>
      </c>
      <c r="J9" s="20">
        <f t="shared" si="3"/>
        <v>0.44015029522275895</v>
      </c>
      <c r="K9" s="20">
        <f t="shared" si="3"/>
        <v>0.35508849557522126</v>
      </c>
      <c r="L9" s="20">
        <f t="shared" si="3"/>
        <v>0.27954325110416889</v>
      </c>
      <c r="M9" s="20">
        <f t="shared" si="3"/>
        <v>0.29035656851328118</v>
      </c>
      <c r="N9" s="20">
        <f t="shared" si="3"/>
        <v>0.30883288475654513</v>
      </c>
      <c r="O9" s="20">
        <f t="shared" si="3"/>
        <v>0.21084020347307489</v>
      </c>
      <c r="P9" s="20">
        <f t="shared" si="3"/>
        <v>0.16479385691599494</v>
      </c>
      <c r="Q9" s="20">
        <f t="shared" si="3"/>
        <v>0.13775952251066972</v>
      </c>
      <c r="R9" s="20">
        <f t="shared" si="3"/>
        <v>0.11002682266043051</v>
      </c>
      <c r="S9" s="20">
        <f t="shared" si="3"/>
        <v>9.7986623937578385E-2</v>
      </c>
      <c r="T9" s="20">
        <f t="shared" si="3"/>
        <v>9.4756696339467497E-2</v>
      </c>
      <c r="U9" s="20">
        <f t="shared" si="3"/>
        <v>9.4065332649221844E-2</v>
      </c>
    </row>
    <row r="11" spans="1:21" ht="14.25" customHeight="1">
      <c r="A11" s="1" t="s">
        <v>73</v>
      </c>
      <c r="B11" s="19">
        <f t="shared" ref="B11:T11" si="4">1/3*B33+2/3*C33</f>
        <v>315</v>
      </c>
      <c r="C11" s="19">
        <f t="shared" si="4"/>
        <v>237.66666666666663</v>
      </c>
      <c r="D11" s="19">
        <f t="shared" si="4"/>
        <v>224.99999999999997</v>
      </c>
      <c r="E11" s="19">
        <f t="shared" si="4"/>
        <v>283.33333333333331</v>
      </c>
      <c r="F11" s="19">
        <f t="shared" si="4"/>
        <v>350.33333333333331</v>
      </c>
      <c r="G11" s="19">
        <f t="shared" si="4"/>
        <v>470</v>
      </c>
      <c r="H11" s="19">
        <f t="shared" si="4"/>
        <v>557.66666666666663</v>
      </c>
      <c r="I11" s="19">
        <f t="shared" si="4"/>
        <v>621</v>
      </c>
      <c r="J11" s="19">
        <f t="shared" si="4"/>
        <v>629</v>
      </c>
      <c r="K11" s="19">
        <f t="shared" si="4"/>
        <v>538</v>
      </c>
      <c r="L11" s="19">
        <f t="shared" si="4"/>
        <v>298.66666666666663</v>
      </c>
      <c r="M11" s="19">
        <f t="shared" si="4"/>
        <v>217.33333333333331</v>
      </c>
      <c r="N11" s="19">
        <f t="shared" si="4"/>
        <v>272</v>
      </c>
      <c r="O11" s="19">
        <f t="shared" si="4"/>
        <v>351</v>
      </c>
      <c r="P11" s="19">
        <f t="shared" si="4"/>
        <v>403.66666666666663</v>
      </c>
      <c r="Q11" s="19">
        <f t="shared" si="4"/>
        <v>447.33333333333326</v>
      </c>
      <c r="R11" s="19">
        <f t="shared" si="4"/>
        <v>438.99999999999994</v>
      </c>
      <c r="S11" s="19">
        <f t="shared" si="4"/>
        <v>444.99999999999994</v>
      </c>
      <c r="T11" s="19">
        <f t="shared" si="4"/>
        <v>475.33333333333331</v>
      </c>
      <c r="U11" s="19">
        <f>1/3*U33+2/3*W30</f>
        <v>162</v>
      </c>
    </row>
    <row r="12" spans="1:21" ht="14.25" customHeight="1">
      <c r="A12" s="1" t="s">
        <v>73</v>
      </c>
      <c r="B12" s="20">
        <f t="shared" ref="B12:U12" si="5">B11/B$20</f>
        <v>0.10199676200755532</v>
      </c>
      <c r="C12" s="20">
        <f t="shared" si="5"/>
        <v>6.594524602293747E-2</v>
      </c>
      <c r="D12" s="20">
        <f t="shared" si="5"/>
        <v>5.0683285778645448E-2</v>
      </c>
      <c r="E12" s="20">
        <f t="shared" si="5"/>
        <v>5.7697529188161831E-2</v>
      </c>
      <c r="F12" s="20">
        <f t="shared" si="5"/>
        <v>6.4379785604900458E-2</v>
      </c>
      <c r="G12" s="20">
        <f t="shared" si="5"/>
        <v>7.5502008032128518E-2</v>
      </c>
      <c r="H12" s="20">
        <f t="shared" si="5"/>
        <v>8.0770530584656983E-2</v>
      </c>
      <c r="I12" s="20">
        <f t="shared" si="5"/>
        <v>8.3210505158783338E-2</v>
      </c>
      <c r="J12" s="20">
        <f t="shared" si="5"/>
        <v>7.7914034435773563E-2</v>
      </c>
      <c r="K12" s="20">
        <f t="shared" si="5"/>
        <v>7.439159292035398E-2</v>
      </c>
      <c r="L12" s="20">
        <f t="shared" si="5"/>
        <v>4.8260260691586766E-2</v>
      </c>
      <c r="M12" s="20">
        <f t="shared" si="5"/>
        <v>3.6155936338934179E-2</v>
      </c>
      <c r="N12" s="20">
        <f t="shared" si="5"/>
        <v>3.9931490090530958E-2</v>
      </c>
      <c r="O12" s="20">
        <f t="shared" si="5"/>
        <v>3.0784072969654446E-2</v>
      </c>
      <c r="P12" s="20">
        <f t="shared" si="5"/>
        <v>2.4343176472953143E-2</v>
      </c>
      <c r="Q12" s="20">
        <f t="shared" si="5"/>
        <v>2.1531944934698202E-2</v>
      </c>
      <c r="R12" s="20">
        <f t="shared" si="5"/>
        <v>1.7751479289940825E-2</v>
      </c>
      <c r="S12" s="20">
        <f t="shared" si="5"/>
        <v>1.5500905670893132E-2</v>
      </c>
      <c r="T12" s="20">
        <f t="shared" si="5"/>
        <v>1.4230968823599859E-2</v>
      </c>
      <c r="U12" s="20">
        <f t="shared" si="5"/>
        <v>1.3853258081067216E-2</v>
      </c>
    </row>
    <row r="14" spans="1:21" ht="14.25" customHeight="1">
      <c r="A14" s="1" t="s">
        <v>74</v>
      </c>
      <c r="B14" s="19">
        <f t="shared" ref="B14:T14" si="6">1/3*B37+2/3*C37</f>
        <v>157.66666666666666</v>
      </c>
      <c r="C14" s="19">
        <f t="shared" si="6"/>
        <v>125.66666666666666</v>
      </c>
      <c r="D14" s="19">
        <f t="shared" si="6"/>
        <v>120.33333333333333</v>
      </c>
      <c r="E14" s="19">
        <f t="shared" si="6"/>
        <v>138.33333333333331</v>
      </c>
      <c r="F14" s="19">
        <f t="shared" si="6"/>
        <v>151</v>
      </c>
      <c r="G14" s="19">
        <f t="shared" si="6"/>
        <v>152.66666666666666</v>
      </c>
      <c r="H14" s="19">
        <f t="shared" si="6"/>
        <v>140.66666666666666</v>
      </c>
      <c r="I14" s="19">
        <f t="shared" si="6"/>
        <v>128.33333333333331</v>
      </c>
      <c r="J14" s="19">
        <f t="shared" si="6"/>
        <v>133.66666666666666</v>
      </c>
      <c r="K14" s="19">
        <f t="shared" si="6"/>
        <v>192.66666666666666</v>
      </c>
      <c r="L14" s="19">
        <f t="shared" si="6"/>
        <v>240.66666666666663</v>
      </c>
      <c r="M14" s="19">
        <f t="shared" si="6"/>
        <v>279.66666666666663</v>
      </c>
      <c r="N14" s="19">
        <f t="shared" si="6"/>
        <v>295.33333333333331</v>
      </c>
      <c r="O14" s="19">
        <f t="shared" si="6"/>
        <v>267.33333333333331</v>
      </c>
      <c r="P14" s="19">
        <f t="shared" si="6"/>
        <v>258.33333333333331</v>
      </c>
      <c r="Q14" s="19">
        <f t="shared" si="6"/>
        <v>274.33333333333331</v>
      </c>
      <c r="R14" s="19">
        <f t="shared" si="6"/>
        <v>313</v>
      </c>
      <c r="S14" s="19">
        <f t="shared" si="6"/>
        <v>340.33333333333331</v>
      </c>
      <c r="T14" s="19">
        <f t="shared" si="6"/>
        <v>414.66666666666663</v>
      </c>
      <c r="U14" s="19">
        <f>1/3*U37+2/3*W34</f>
        <v>149.66666666666666</v>
      </c>
    </row>
    <row r="15" spans="1:21" ht="14.25" customHeight="1">
      <c r="A15" s="1" t="s">
        <v>74</v>
      </c>
      <c r="B15" s="20">
        <f t="shared" ref="B15:U15" si="7">B14/B$20</f>
        <v>5.1052347544522397E-2</v>
      </c>
      <c r="C15" s="20">
        <f t="shared" si="7"/>
        <v>3.4868664446910842E-2</v>
      </c>
      <c r="D15" s="20">
        <f t="shared" si="7"/>
        <v>2.7106172097912606E-2</v>
      </c>
      <c r="E15" s="20">
        <f t="shared" si="7"/>
        <v>2.8169970133043714E-2</v>
      </c>
      <c r="F15" s="20">
        <f t="shared" si="7"/>
        <v>2.7748851454823892E-2</v>
      </c>
      <c r="G15" s="20">
        <f t="shared" si="7"/>
        <v>2.4524765729585004E-2</v>
      </c>
      <c r="H15" s="20">
        <f t="shared" si="7"/>
        <v>2.037367836624342E-2</v>
      </c>
      <c r="I15" s="20">
        <f t="shared" si="7"/>
        <v>1.7195944437000312E-2</v>
      </c>
      <c r="J15" s="20">
        <f t="shared" si="7"/>
        <v>1.6557248441306412E-2</v>
      </c>
      <c r="K15" s="20">
        <f t="shared" si="7"/>
        <v>2.6640855457227136E-2</v>
      </c>
      <c r="L15" s="20">
        <f t="shared" si="7"/>
        <v>3.888829042335451E-2</v>
      </c>
      <c r="M15" s="20">
        <f t="shared" si="7"/>
        <v>4.6525813785837075E-2</v>
      </c>
      <c r="N15" s="20">
        <f t="shared" si="7"/>
        <v>4.3356985563983361E-2</v>
      </c>
      <c r="O15" s="20">
        <f t="shared" si="7"/>
        <v>2.34461790329182E-2</v>
      </c>
      <c r="P15" s="20">
        <f t="shared" si="7"/>
        <v>1.5578828874102961E-2</v>
      </c>
      <c r="Q15" s="20">
        <f t="shared" si="7"/>
        <v>1.3204762057568271E-2</v>
      </c>
      <c r="R15" s="20">
        <f t="shared" si="7"/>
        <v>1.2656521680527288E-2</v>
      </c>
      <c r="S15" s="20">
        <f t="shared" si="7"/>
        <v>1.1854999767776694E-2</v>
      </c>
      <c r="T15" s="20">
        <f t="shared" si="7"/>
        <v>1.2414674064907589E-2</v>
      </c>
      <c r="U15" s="20">
        <f t="shared" si="7"/>
        <v>1.2798586169545637E-2</v>
      </c>
    </row>
    <row r="17" spans="1:24" ht="14.25" customHeight="1">
      <c r="A17" s="1" t="s">
        <v>75</v>
      </c>
      <c r="B17" s="19">
        <f t="shared" ref="B17:T17" si="8">1/3*B41+2/3*C41</f>
        <v>142.66666666666666</v>
      </c>
      <c r="C17" s="19">
        <f t="shared" si="8"/>
        <v>143.33333333333331</v>
      </c>
      <c r="D17" s="19">
        <f t="shared" si="8"/>
        <v>177.99999999999997</v>
      </c>
      <c r="E17" s="19">
        <f t="shared" si="8"/>
        <v>166.66666666666666</v>
      </c>
      <c r="F17" s="19">
        <f t="shared" si="8"/>
        <v>269</v>
      </c>
      <c r="G17" s="19">
        <f t="shared" si="8"/>
        <v>381.66666666666663</v>
      </c>
      <c r="H17" s="19">
        <f t="shared" si="8"/>
        <v>292.33333333333331</v>
      </c>
      <c r="I17" s="19">
        <f t="shared" si="8"/>
        <v>206</v>
      </c>
      <c r="J17" s="19">
        <f t="shared" si="8"/>
        <v>169.33333333333331</v>
      </c>
      <c r="K17" s="19">
        <f t="shared" si="8"/>
        <v>146</v>
      </c>
      <c r="L17" s="19">
        <f t="shared" si="8"/>
        <v>95.333333333333329</v>
      </c>
      <c r="M17" s="19">
        <f t="shared" si="8"/>
        <v>80.333333333333329</v>
      </c>
      <c r="N17" s="19">
        <f t="shared" si="8"/>
        <v>79.333333333333329</v>
      </c>
      <c r="O17" s="19">
        <f t="shared" si="8"/>
        <v>69.666666666666657</v>
      </c>
      <c r="P17" s="19">
        <f t="shared" si="8"/>
        <v>70.666666666666657</v>
      </c>
      <c r="Q17" s="19">
        <f t="shared" si="8"/>
        <v>84.333333333333329</v>
      </c>
      <c r="R17" s="19">
        <f t="shared" si="8"/>
        <v>80.666666666666657</v>
      </c>
      <c r="S17" s="19">
        <f t="shared" si="8"/>
        <v>48</v>
      </c>
      <c r="T17" s="19">
        <f t="shared" si="8"/>
        <v>42.666666666666664</v>
      </c>
      <c r="U17" s="19">
        <f>1/3*U41+2/3*W38</f>
        <v>15.666666666666666</v>
      </c>
    </row>
    <row r="18" spans="1:24" ht="14.25" customHeight="1">
      <c r="A18" s="1" t="s">
        <v>75</v>
      </c>
      <c r="B18" s="20">
        <f t="shared" ref="B18:U18" si="9">B17/B$20</f>
        <v>4.6195358877495957E-2</v>
      </c>
      <c r="C18" s="20">
        <f t="shared" si="9"/>
        <v>3.9770625231224564E-2</v>
      </c>
      <c r="D18" s="20">
        <f t="shared" si="9"/>
        <v>4.0096110527106175E-2</v>
      </c>
      <c r="E18" s="20">
        <f t="shared" si="9"/>
        <v>3.3939723051859896E-2</v>
      </c>
      <c r="F18" s="20">
        <f t="shared" si="9"/>
        <v>4.943338437978561E-2</v>
      </c>
      <c r="G18" s="20">
        <f t="shared" si="9"/>
        <v>6.1311914323962512E-2</v>
      </c>
      <c r="H18" s="20">
        <f t="shared" si="9"/>
        <v>4.2340559069183603E-2</v>
      </c>
      <c r="I18" s="20">
        <f t="shared" si="9"/>
        <v>2.7602840680691413E-2</v>
      </c>
      <c r="J18" s="20">
        <f t="shared" si="9"/>
        <v>2.0975267352078945E-2</v>
      </c>
      <c r="K18" s="20">
        <f t="shared" si="9"/>
        <v>2.0188053097345133E-2</v>
      </c>
      <c r="L18" s="20">
        <f t="shared" si="9"/>
        <v>1.5404502854680598E-2</v>
      </c>
      <c r="M18" s="20">
        <f t="shared" si="9"/>
        <v>1.3364387511783952E-2</v>
      </c>
      <c r="N18" s="20">
        <f t="shared" si="9"/>
        <v>1.1646684609738195E-2</v>
      </c>
      <c r="O18" s="20">
        <f t="shared" si="9"/>
        <v>6.1100391744138447E-3</v>
      </c>
      <c r="P18" s="20">
        <f t="shared" si="9"/>
        <v>4.261563511367519E-3</v>
      </c>
      <c r="Q18" s="20">
        <f t="shared" si="9"/>
        <v>4.0593010942463828E-3</v>
      </c>
      <c r="R18" s="20">
        <f t="shared" si="9"/>
        <v>3.2618511679314201E-3</v>
      </c>
      <c r="S18" s="20">
        <f t="shared" si="9"/>
        <v>1.6720078027030794E-3</v>
      </c>
      <c r="T18" s="20">
        <f t="shared" si="9"/>
        <v>1.2773941160033532E-3</v>
      </c>
      <c r="U18" s="20">
        <f t="shared" si="9"/>
        <v>1.3397183740949776E-3</v>
      </c>
    </row>
    <row r="20" spans="1:24" ht="14.25" customHeight="1">
      <c r="A20" s="137" t="s">
        <v>76</v>
      </c>
      <c r="B20" s="138">
        <f t="shared" ref="B20:U20" si="10">SUM(B5,B8,B11,B14,B17)</f>
        <v>3088.333333333333</v>
      </c>
      <c r="C20" s="138">
        <f t="shared" si="10"/>
        <v>3603.9999999999995</v>
      </c>
      <c r="D20" s="138">
        <f t="shared" si="10"/>
        <v>4439.3333333333321</v>
      </c>
      <c r="E20" s="138">
        <f t="shared" si="10"/>
        <v>4910.6666666666661</v>
      </c>
      <c r="F20" s="138">
        <f t="shared" si="10"/>
        <v>5441.6666666666661</v>
      </c>
      <c r="G20" s="138">
        <f t="shared" si="10"/>
        <v>6225</v>
      </c>
      <c r="H20" s="138">
        <f t="shared" si="10"/>
        <v>6904.333333333333</v>
      </c>
      <c r="I20" s="138">
        <f t="shared" si="10"/>
        <v>7462.9999999999991</v>
      </c>
      <c r="J20" s="138">
        <f t="shared" si="10"/>
        <v>8073</v>
      </c>
      <c r="K20" s="138">
        <f t="shared" si="10"/>
        <v>7232</v>
      </c>
      <c r="L20" s="138">
        <f t="shared" si="10"/>
        <v>6188.666666666667</v>
      </c>
      <c r="M20" s="138">
        <f t="shared" si="10"/>
        <v>6010.9999999999991</v>
      </c>
      <c r="N20" s="138">
        <f t="shared" si="10"/>
        <v>6811.6666666666661</v>
      </c>
      <c r="O20" s="138">
        <f t="shared" si="10"/>
        <v>11402</v>
      </c>
      <c r="P20" s="138">
        <f t="shared" si="10"/>
        <v>16582.333333333332</v>
      </c>
      <c r="Q20" s="138">
        <f t="shared" si="10"/>
        <v>20775.333333333328</v>
      </c>
      <c r="R20" s="138">
        <f t="shared" si="10"/>
        <v>24730.333333333332</v>
      </c>
      <c r="S20" s="138">
        <f t="shared" si="10"/>
        <v>28707.999999999996</v>
      </c>
      <c r="T20" s="138">
        <f t="shared" si="10"/>
        <v>33401.333333333328</v>
      </c>
      <c r="U20" s="138">
        <f t="shared" si="10"/>
        <v>11693.999999999998</v>
      </c>
    </row>
    <row r="21" spans="1:24" ht="14.25" customHeight="1">
      <c r="A21" s="137"/>
      <c r="B21" s="138"/>
      <c r="C21" s="138"/>
      <c r="D21" s="138"/>
      <c r="E21" s="138"/>
      <c r="F21" s="138"/>
      <c r="G21" s="138"/>
      <c r="H21" s="138"/>
      <c r="I21" s="138"/>
      <c r="J21" s="138"/>
      <c r="K21" s="138"/>
      <c r="L21" s="138"/>
      <c r="M21" s="138"/>
      <c r="N21" s="138"/>
      <c r="O21" s="138"/>
      <c r="P21" s="138"/>
      <c r="Q21" s="138"/>
      <c r="W21" s="21"/>
    </row>
    <row r="22" spans="1:24" ht="14.25" customHeight="1">
      <c r="A22" s="2" t="s">
        <v>26</v>
      </c>
    </row>
    <row r="23" spans="1:24" ht="14.25" customHeight="1">
      <c r="A23" s="2"/>
      <c r="B23" s="2"/>
    </row>
    <row r="24" spans="1:24" ht="14.25" customHeight="1">
      <c r="A24" s="18" t="s">
        <v>50</v>
      </c>
      <c r="B24" s="18" t="s">
        <v>54</v>
      </c>
      <c r="C24" s="18" t="s">
        <v>55</v>
      </c>
      <c r="D24" s="18" t="s">
        <v>56</v>
      </c>
      <c r="E24" s="18" t="s">
        <v>57</v>
      </c>
      <c r="F24" s="18" t="s">
        <v>58</v>
      </c>
      <c r="G24" s="18" t="s">
        <v>59</v>
      </c>
      <c r="H24" s="18" t="s">
        <v>60</v>
      </c>
      <c r="I24" s="18" t="s">
        <v>61</v>
      </c>
      <c r="J24" s="18" t="s">
        <v>62</v>
      </c>
      <c r="K24" s="18" t="s">
        <v>63</v>
      </c>
      <c r="L24" s="18" t="s">
        <v>64</v>
      </c>
      <c r="M24" s="18" t="s">
        <v>65</v>
      </c>
      <c r="N24" s="18" t="s">
        <v>66</v>
      </c>
      <c r="O24" s="18" t="s">
        <v>67</v>
      </c>
      <c r="P24" s="18" t="s">
        <v>68</v>
      </c>
      <c r="Q24" s="18" t="s">
        <v>69</v>
      </c>
      <c r="R24" s="18" t="s">
        <v>70</v>
      </c>
      <c r="S24" s="18" t="s">
        <v>77</v>
      </c>
      <c r="T24" s="18" t="s">
        <v>78</v>
      </c>
      <c r="U24" s="18" t="s">
        <v>79</v>
      </c>
    </row>
    <row r="25" spans="1:24" ht="14.25" customHeight="1">
      <c r="A25" s="1" t="s">
        <v>71</v>
      </c>
      <c r="B25" s="19">
        <v>968</v>
      </c>
      <c r="C25" s="19">
        <v>1141</v>
      </c>
      <c r="D25" s="19">
        <v>1752</v>
      </c>
      <c r="E25" s="19">
        <v>1900</v>
      </c>
      <c r="F25" s="19">
        <v>1903</v>
      </c>
      <c r="G25" s="19">
        <v>2048</v>
      </c>
      <c r="H25" s="19">
        <v>2366</v>
      </c>
      <c r="I25" s="19">
        <v>2936</v>
      </c>
      <c r="J25" s="19">
        <v>3263</v>
      </c>
      <c r="K25" s="19">
        <v>3750</v>
      </c>
      <c r="L25" s="19">
        <v>3806</v>
      </c>
      <c r="M25" s="19">
        <v>3833</v>
      </c>
      <c r="N25" s="19">
        <v>3616</v>
      </c>
      <c r="O25" s="19">
        <v>4284</v>
      </c>
      <c r="P25" s="19">
        <v>10323</v>
      </c>
      <c r="Q25" s="17">
        <v>14514</v>
      </c>
      <c r="R25" s="19">
        <v>18404</v>
      </c>
      <c r="S25" s="23">
        <v>22563</v>
      </c>
      <c r="T25" s="23">
        <v>26311</v>
      </c>
      <c r="U25" s="23">
        <v>30800</v>
      </c>
    </row>
    <row r="26" spans="1:24" ht="14.25" customHeight="1">
      <c r="A26" s="24" t="s">
        <v>80</v>
      </c>
      <c r="B26" s="19"/>
      <c r="C26" s="20">
        <f t="shared" ref="C26:U26" si="11">C25/B25-1</f>
        <v>0.17871900826446274</v>
      </c>
      <c r="D26" s="20">
        <f t="shared" si="11"/>
        <v>0.5354951796669587</v>
      </c>
      <c r="E26" s="20">
        <f t="shared" si="11"/>
        <v>8.4474885844748826E-2</v>
      </c>
      <c r="F26" s="20">
        <f t="shared" si="11"/>
        <v>1.5789473684211242E-3</v>
      </c>
      <c r="G26" s="20">
        <f t="shared" si="11"/>
        <v>7.6195480819758243E-2</v>
      </c>
      <c r="H26" s="20">
        <f t="shared" si="11"/>
        <v>0.1552734375</v>
      </c>
      <c r="I26" s="20">
        <f t="shared" si="11"/>
        <v>0.24091293322062546</v>
      </c>
      <c r="J26" s="20">
        <f t="shared" si="11"/>
        <v>0.11137602179836503</v>
      </c>
      <c r="K26" s="20">
        <f t="shared" si="11"/>
        <v>0.14924915721728471</v>
      </c>
      <c r="L26" s="20">
        <f t="shared" si="11"/>
        <v>1.4933333333333243E-2</v>
      </c>
      <c r="M26" s="20">
        <f t="shared" si="11"/>
        <v>7.0940620073567384E-3</v>
      </c>
      <c r="N26" s="20">
        <f t="shared" si="11"/>
        <v>-5.6613618575528268E-2</v>
      </c>
      <c r="O26" s="20">
        <f t="shared" si="11"/>
        <v>0.18473451327433632</v>
      </c>
      <c r="P26" s="20">
        <f t="shared" si="11"/>
        <v>1.4096638655462184</v>
      </c>
      <c r="Q26" s="20">
        <f t="shared" si="11"/>
        <v>0.40598663179308336</v>
      </c>
      <c r="R26" s="20">
        <f t="shared" si="11"/>
        <v>0.2680170869505305</v>
      </c>
      <c r="S26" s="20">
        <f t="shared" si="11"/>
        <v>0.22598348185177142</v>
      </c>
      <c r="T26" s="20">
        <f t="shared" si="11"/>
        <v>0.16611266232327271</v>
      </c>
      <c r="U26" s="20">
        <f t="shared" si="11"/>
        <v>0.17061305157538675</v>
      </c>
    </row>
    <row r="27" spans="1:24" ht="14.25" customHeight="1">
      <c r="A27" s="24" t="s">
        <v>81</v>
      </c>
      <c r="B27" s="20">
        <f t="shared" ref="B27:U27" si="12">B25/B$45</f>
        <v>0.3117552334943639</v>
      </c>
      <c r="C27" s="20">
        <f t="shared" si="12"/>
        <v>0.37045454545454548</v>
      </c>
      <c r="D27" s="20">
        <f t="shared" si="12"/>
        <v>0.45318158303155714</v>
      </c>
      <c r="E27" s="20">
        <f t="shared" si="12"/>
        <v>0.40203131612357174</v>
      </c>
      <c r="F27" s="20">
        <f t="shared" si="12"/>
        <v>0.38037177693383972</v>
      </c>
      <c r="G27" s="20">
        <f t="shared" si="12"/>
        <v>0.3617735382441265</v>
      </c>
      <c r="H27" s="20">
        <f t="shared" si="12"/>
        <v>0.36360842169970803</v>
      </c>
      <c r="I27" s="20">
        <f t="shared" si="12"/>
        <v>0.41334647332113189</v>
      </c>
      <c r="J27" s="20">
        <f t="shared" si="12"/>
        <v>0.42692659950281303</v>
      </c>
      <c r="K27" s="20">
        <f t="shared" si="12"/>
        <v>0.45246138996138996</v>
      </c>
      <c r="L27" s="20">
        <f t="shared" si="12"/>
        <v>0.56772076372315039</v>
      </c>
      <c r="M27" s="20">
        <f t="shared" si="12"/>
        <v>0.64626538526386779</v>
      </c>
      <c r="N27" s="20">
        <f t="shared" si="12"/>
        <v>0.59758717567344244</v>
      </c>
      <c r="O27" s="20">
        <f t="shared" si="12"/>
        <v>0.59566184649610676</v>
      </c>
      <c r="P27" s="20">
        <f t="shared" si="12"/>
        <v>0.76427037832235134</v>
      </c>
      <c r="Q27" s="20">
        <f t="shared" si="12"/>
        <v>0.80099337748344368</v>
      </c>
      <c r="R27" s="20">
        <f t="shared" si="12"/>
        <v>0.8326471519703208</v>
      </c>
      <c r="S27" s="20">
        <f t="shared" si="12"/>
        <v>0.86634157579480875</v>
      </c>
      <c r="T27" s="20">
        <f t="shared" si="12"/>
        <v>0.87586551264980028</v>
      </c>
      <c r="U27" s="20">
        <f t="shared" si="12"/>
        <v>0.8779431047260704</v>
      </c>
    </row>
    <row r="29" spans="1:24" ht="14.25" customHeight="1">
      <c r="A29" s="1" t="s">
        <v>72</v>
      </c>
      <c r="B29" s="19">
        <v>1491</v>
      </c>
      <c r="C29" s="19">
        <v>1339</v>
      </c>
      <c r="D29" s="19">
        <v>1654</v>
      </c>
      <c r="E29" s="19">
        <v>2271</v>
      </c>
      <c r="F29" s="19">
        <v>2495</v>
      </c>
      <c r="G29" s="19">
        <v>2760</v>
      </c>
      <c r="H29" s="19">
        <v>3061</v>
      </c>
      <c r="I29" s="19">
        <v>3221</v>
      </c>
      <c r="J29" s="19">
        <v>3420</v>
      </c>
      <c r="K29" s="19">
        <v>3620</v>
      </c>
      <c r="L29" s="19">
        <v>2042</v>
      </c>
      <c r="M29" s="19">
        <v>1574</v>
      </c>
      <c r="N29" s="19">
        <v>1831</v>
      </c>
      <c r="O29" s="19">
        <v>2240</v>
      </c>
      <c r="P29" s="19">
        <v>2486</v>
      </c>
      <c r="Q29" s="19">
        <v>2856</v>
      </c>
      <c r="R29" s="19">
        <v>2865</v>
      </c>
      <c r="S29" s="23">
        <v>2649</v>
      </c>
      <c r="T29" s="25">
        <v>2895</v>
      </c>
      <c r="U29" s="19">
        <v>3300</v>
      </c>
    </row>
    <row r="30" spans="1:24" ht="14.25" customHeight="1">
      <c r="A30" s="24" t="s">
        <v>80</v>
      </c>
      <c r="B30" s="19"/>
      <c r="C30" s="20">
        <f t="shared" ref="C30:U30" si="13">C29/B29-1</f>
        <v>-0.10194500335345402</v>
      </c>
      <c r="D30" s="20">
        <f t="shared" si="13"/>
        <v>0.23525018670649733</v>
      </c>
      <c r="E30" s="20">
        <f t="shared" si="13"/>
        <v>0.37303506650544138</v>
      </c>
      <c r="F30" s="20">
        <f t="shared" si="13"/>
        <v>9.8634962571554352E-2</v>
      </c>
      <c r="G30" s="20">
        <f t="shared" si="13"/>
        <v>0.10621242484969939</v>
      </c>
      <c r="H30" s="20">
        <f t="shared" si="13"/>
        <v>0.10905797101449277</v>
      </c>
      <c r="I30" s="20">
        <f t="shared" si="13"/>
        <v>5.2270499836654771E-2</v>
      </c>
      <c r="J30" s="20">
        <f t="shared" si="13"/>
        <v>6.1782055262340929E-2</v>
      </c>
      <c r="K30" s="20">
        <f t="shared" si="13"/>
        <v>5.8479532163742798E-2</v>
      </c>
      <c r="L30" s="20">
        <f t="shared" si="13"/>
        <v>-0.43591160220994474</v>
      </c>
      <c r="M30" s="20">
        <f t="shared" si="13"/>
        <v>-0.2291870714985309</v>
      </c>
      <c r="N30" s="20">
        <f t="shared" si="13"/>
        <v>0.1632782719186785</v>
      </c>
      <c r="O30" s="20">
        <f t="shared" si="13"/>
        <v>0.22337520480611683</v>
      </c>
      <c r="P30" s="20">
        <f t="shared" si="13"/>
        <v>0.10982142857142851</v>
      </c>
      <c r="Q30" s="20">
        <f t="shared" si="13"/>
        <v>0.14883346741753822</v>
      </c>
      <c r="R30" s="20">
        <f t="shared" si="13"/>
        <v>3.1512605042016695E-3</v>
      </c>
      <c r="S30" s="20">
        <f t="shared" si="13"/>
        <v>-7.5392670157068076E-2</v>
      </c>
      <c r="T30" s="20">
        <f t="shared" si="13"/>
        <v>9.2865232163080513E-2</v>
      </c>
      <c r="U30" s="20">
        <f t="shared" si="13"/>
        <v>0.13989637305699487</v>
      </c>
      <c r="X30" s="19"/>
    </row>
    <row r="31" spans="1:24" ht="14.25" customHeight="1">
      <c r="A31" s="24" t="s">
        <v>81</v>
      </c>
      <c r="B31" s="20">
        <f t="shared" ref="B31:U31" si="14">B29/B$45</f>
        <v>0.48019323671497582</v>
      </c>
      <c r="C31" s="20">
        <f t="shared" si="14"/>
        <v>0.43474025974025976</v>
      </c>
      <c r="D31" s="20">
        <f t="shared" si="14"/>
        <v>0.42783238489394726</v>
      </c>
      <c r="E31" s="20">
        <f t="shared" si="14"/>
        <v>0.48053322048243757</v>
      </c>
      <c r="F31" s="20">
        <f t="shared" si="14"/>
        <v>0.49870077953228065</v>
      </c>
      <c r="G31" s="20">
        <f t="shared" si="14"/>
        <v>0.48754636989931105</v>
      </c>
      <c r="H31" s="20">
        <f t="shared" si="14"/>
        <v>0.47041647456585217</v>
      </c>
      <c r="I31" s="20">
        <f t="shared" si="14"/>
        <v>0.45347036463466139</v>
      </c>
      <c r="J31" s="20">
        <f t="shared" si="14"/>
        <v>0.44746827162109121</v>
      </c>
      <c r="K31" s="20">
        <f t="shared" si="14"/>
        <v>0.43677606177606176</v>
      </c>
      <c r="L31" s="20">
        <f t="shared" si="14"/>
        <v>0.3045942720763723</v>
      </c>
      <c r="M31" s="20">
        <f t="shared" si="14"/>
        <v>0.26538526386781319</v>
      </c>
      <c r="N31" s="20">
        <f t="shared" si="14"/>
        <v>0.30259461246075031</v>
      </c>
      <c r="O31" s="20">
        <f t="shared" si="14"/>
        <v>0.31145717463848721</v>
      </c>
      <c r="P31" s="20">
        <f t="shared" si="14"/>
        <v>0.18405271340786258</v>
      </c>
      <c r="Q31" s="20">
        <f t="shared" si="14"/>
        <v>0.15761589403973511</v>
      </c>
      <c r="R31" s="20">
        <f t="shared" si="14"/>
        <v>0.12962041351852691</v>
      </c>
      <c r="S31" s="20">
        <f t="shared" si="14"/>
        <v>0.10171248656120412</v>
      </c>
      <c r="T31" s="20">
        <f t="shared" si="14"/>
        <v>9.6371504660452731E-2</v>
      </c>
      <c r="U31" s="20">
        <f t="shared" si="14"/>
        <v>9.4065332649221817E-2</v>
      </c>
    </row>
    <row r="33" spans="1:21" ht="14.25" customHeight="1">
      <c r="A33" s="1" t="s">
        <v>73</v>
      </c>
      <c r="B33" s="19">
        <v>331</v>
      </c>
      <c r="C33" s="19">
        <v>307</v>
      </c>
      <c r="D33" s="19">
        <v>203</v>
      </c>
      <c r="E33" s="19">
        <v>236</v>
      </c>
      <c r="F33" s="19">
        <v>307</v>
      </c>
      <c r="G33" s="19">
        <v>372</v>
      </c>
      <c r="H33" s="19">
        <v>519</v>
      </c>
      <c r="I33" s="19">
        <v>577</v>
      </c>
      <c r="J33" s="19">
        <v>643</v>
      </c>
      <c r="K33" s="19">
        <v>622</v>
      </c>
      <c r="L33" s="19">
        <v>496</v>
      </c>
      <c r="M33" s="19">
        <v>200</v>
      </c>
      <c r="N33" s="19">
        <v>226</v>
      </c>
      <c r="O33" s="19">
        <v>295</v>
      </c>
      <c r="P33" s="19">
        <v>379</v>
      </c>
      <c r="Q33" s="19">
        <v>416</v>
      </c>
      <c r="R33" s="19">
        <v>463</v>
      </c>
      <c r="S33" s="19">
        <v>427</v>
      </c>
      <c r="T33" s="19">
        <v>454</v>
      </c>
      <c r="U33" s="19">
        <v>486</v>
      </c>
    </row>
    <row r="34" spans="1:21" ht="14.25" customHeight="1">
      <c r="A34" s="24" t="s">
        <v>80</v>
      </c>
      <c r="B34" s="19"/>
      <c r="C34" s="20">
        <f t="shared" ref="C34:U34" si="15">C33/B33-1</f>
        <v>-7.2507552870090586E-2</v>
      </c>
      <c r="D34" s="20">
        <f t="shared" si="15"/>
        <v>-0.33876221498371339</v>
      </c>
      <c r="E34" s="20">
        <f t="shared" si="15"/>
        <v>0.16256157635467972</v>
      </c>
      <c r="F34" s="20">
        <f t="shared" si="15"/>
        <v>0.30084745762711873</v>
      </c>
      <c r="G34" s="20">
        <f t="shared" si="15"/>
        <v>0.21172638436482094</v>
      </c>
      <c r="H34" s="20">
        <f t="shared" si="15"/>
        <v>0.39516129032258074</v>
      </c>
      <c r="I34" s="20">
        <f t="shared" si="15"/>
        <v>0.11175337186897871</v>
      </c>
      <c r="J34" s="20">
        <f t="shared" si="15"/>
        <v>0.11438474870017323</v>
      </c>
      <c r="K34" s="20">
        <f t="shared" si="15"/>
        <v>-3.2659409020217689E-2</v>
      </c>
      <c r="L34" s="20">
        <f t="shared" si="15"/>
        <v>-0.202572347266881</v>
      </c>
      <c r="M34" s="20">
        <f t="shared" si="15"/>
        <v>-0.59677419354838712</v>
      </c>
      <c r="N34" s="20">
        <f t="shared" si="15"/>
        <v>0.12999999999999989</v>
      </c>
      <c r="O34" s="20">
        <f t="shared" si="15"/>
        <v>0.30530973451327426</v>
      </c>
      <c r="P34" s="20">
        <f t="shared" si="15"/>
        <v>0.28474576271186436</v>
      </c>
      <c r="Q34" s="20">
        <f t="shared" si="15"/>
        <v>9.7625329815303363E-2</v>
      </c>
      <c r="R34" s="20">
        <f t="shared" si="15"/>
        <v>0.11298076923076916</v>
      </c>
      <c r="S34" s="20">
        <f t="shared" si="15"/>
        <v>-7.7753779697624203E-2</v>
      </c>
      <c r="T34" s="20">
        <f t="shared" si="15"/>
        <v>6.3231850117096089E-2</v>
      </c>
      <c r="U34" s="20">
        <f t="shared" si="15"/>
        <v>7.0484581497797461E-2</v>
      </c>
    </row>
    <row r="35" spans="1:21" ht="14.25" customHeight="1">
      <c r="A35" s="24" t="s">
        <v>81</v>
      </c>
      <c r="B35" s="20">
        <f t="shared" ref="B35:U35" si="16">B33/B$45</f>
        <v>0.10660225442834138</v>
      </c>
      <c r="C35" s="20">
        <f t="shared" si="16"/>
        <v>9.9675324675324681E-2</v>
      </c>
      <c r="D35" s="20">
        <f t="shared" si="16"/>
        <v>5.2509053285049144E-2</v>
      </c>
      <c r="E35" s="20">
        <f t="shared" si="16"/>
        <v>4.9936521371138382E-2</v>
      </c>
      <c r="F35" s="20">
        <f t="shared" si="16"/>
        <v>6.1363182090745552E-2</v>
      </c>
      <c r="G35" s="20">
        <f t="shared" si="16"/>
        <v>6.5712771595124536E-2</v>
      </c>
      <c r="H35" s="20">
        <f t="shared" si="16"/>
        <v>7.9760258183494692E-2</v>
      </c>
      <c r="I35" s="20">
        <f t="shared" si="16"/>
        <v>8.1233281711952696E-2</v>
      </c>
      <c r="J35" s="20">
        <f t="shared" si="16"/>
        <v>8.4129268611801644E-2</v>
      </c>
      <c r="K35" s="20">
        <f t="shared" si="16"/>
        <v>7.5048262548262551E-2</v>
      </c>
      <c r="L35" s="20">
        <f t="shared" si="16"/>
        <v>7.3985680190930783E-2</v>
      </c>
      <c r="M35" s="20">
        <f t="shared" si="16"/>
        <v>3.3721126285617943E-2</v>
      </c>
      <c r="N35" s="20">
        <f t="shared" si="16"/>
        <v>3.7349198479590152E-2</v>
      </c>
      <c r="O35" s="20">
        <f t="shared" si="16"/>
        <v>4.1017797552836487E-2</v>
      </c>
      <c r="P35" s="20">
        <f t="shared" si="16"/>
        <v>2.8059524690901016E-2</v>
      </c>
      <c r="Q35" s="20">
        <f t="shared" si="16"/>
        <v>2.2958057395143488E-2</v>
      </c>
      <c r="R35" s="20">
        <f t="shared" si="16"/>
        <v>2.0947382708229653E-2</v>
      </c>
      <c r="S35" s="20">
        <f t="shared" si="16"/>
        <v>1.6395330978344339E-2</v>
      </c>
      <c r="T35" s="20">
        <f t="shared" si="16"/>
        <v>1.511318242343542E-2</v>
      </c>
      <c r="U35" s="20">
        <f t="shared" si="16"/>
        <v>1.3853258081067214E-2</v>
      </c>
    </row>
    <row r="37" spans="1:21" ht="14.25" customHeight="1">
      <c r="A37" s="1" t="s">
        <v>74</v>
      </c>
      <c r="B37" s="19">
        <v>163</v>
      </c>
      <c r="C37" s="19">
        <v>155</v>
      </c>
      <c r="D37" s="19">
        <v>111</v>
      </c>
      <c r="E37" s="19">
        <v>125</v>
      </c>
      <c r="F37" s="19">
        <v>145</v>
      </c>
      <c r="G37" s="19">
        <v>154</v>
      </c>
      <c r="H37" s="19">
        <v>152</v>
      </c>
      <c r="I37" s="19">
        <v>135</v>
      </c>
      <c r="J37" s="19">
        <v>125</v>
      </c>
      <c r="K37" s="19">
        <v>138</v>
      </c>
      <c r="L37" s="19">
        <v>220</v>
      </c>
      <c r="M37" s="19">
        <v>251</v>
      </c>
      <c r="N37" s="19">
        <v>294</v>
      </c>
      <c r="O37" s="19">
        <v>296</v>
      </c>
      <c r="P37" s="19">
        <v>253</v>
      </c>
      <c r="Q37" s="19">
        <v>261</v>
      </c>
      <c r="R37" s="19">
        <v>281</v>
      </c>
      <c r="S37" s="17">
        <v>329</v>
      </c>
      <c r="T37" s="19">
        <v>346</v>
      </c>
      <c r="U37" s="19">
        <v>449</v>
      </c>
    </row>
    <row r="38" spans="1:21" ht="14.25" customHeight="1">
      <c r="A38" s="24" t="s">
        <v>80</v>
      </c>
      <c r="B38" s="19"/>
      <c r="C38" s="20">
        <f t="shared" ref="C38:U38" si="17">C37/B37-1</f>
        <v>-4.9079754601227044E-2</v>
      </c>
      <c r="D38" s="20">
        <f t="shared" si="17"/>
        <v>-0.28387096774193543</v>
      </c>
      <c r="E38" s="20">
        <f t="shared" si="17"/>
        <v>0.12612612612612617</v>
      </c>
      <c r="F38" s="20">
        <f t="shared" si="17"/>
        <v>0.15999999999999992</v>
      </c>
      <c r="G38" s="20">
        <f t="shared" si="17"/>
        <v>6.2068965517241281E-2</v>
      </c>
      <c r="H38" s="20">
        <f t="shared" si="17"/>
        <v>-1.2987012987012991E-2</v>
      </c>
      <c r="I38" s="20">
        <f t="shared" si="17"/>
        <v>-0.11184210526315785</v>
      </c>
      <c r="J38" s="20">
        <f t="shared" si="17"/>
        <v>-7.407407407407407E-2</v>
      </c>
      <c r="K38" s="20">
        <f t="shared" si="17"/>
        <v>0.10400000000000009</v>
      </c>
      <c r="L38" s="20">
        <f t="shared" si="17"/>
        <v>0.59420289855072461</v>
      </c>
      <c r="M38" s="20">
        <f t="shared" si="17"/>
        <v>0.14090909090909087</v>
      </c>
      <c r="N38" s="20">
        <f t="shared" si="17"/>
        <v>0.17131474103585664</v>
      </c>
      <c r="O38" s="20">
        <f t="shared" si="17"/>
        <v>6.8027210884353817E-3</v>
      </c>
      <c r="P38" s="20">
        <f t="shared" si="17"/>
        <v>-0.14527027027027029</v>
      </c>
      <c r="Q38" s="20">
        <f t="shared" si="17"/>
        <v>3.1620553359683834E-2</v>
      </c>
      <c r="R38" s="20">
        <f t="shared" si="17"/>
        <v>7.6628352490421436E-2</v>
      </c>
      <c r="S38" s="20">
        <f t="shared" si="17"/>
        <v>0.17081850533807819</v>
      </c>
      <c r="T38" s="20">
        <f t="shared" si="17"/>
        <v>5.1671732522796443E-2</v>
      </c>
      <c r="U38" s="20">
        <f t="shared" si="17"/>
        <v>0.29768786127167624</v>
      </c>
    </row>
    <row r="39" spans="1:21" ht="14.25" customHeight="1">
      <c r="A39" s="24" t="s">
        <v>81</v>
      </c>
      <c r="B39" s="20">
        <f t="shared" ref="B39:U39" si="18">B37/B$45</f>
        <v>5.2495974235104673E-2</v>
      </c>
      <c r="C39" s="20">
        <f t="shared" si="18"/>
        <v>5.0324675324675328E-2</v>
      </c>
      <c r="D39" s="20">
        <f t="shared" si="18"/>
        <v>2.8711846870150024E-2</v>
      </c>
      <c r="E39" s="20">
        <f t="shared" si="18"/>
        <v>2.6449428692340245E-2</v>
      </c>
      <c r="F39" s="20">
        <f t="shared" si="18"/>
        <v>2.8982610433739755E-2</v>
      </c>
      <c r="G39" s="20">
        <f t="shared" si="18"/>
        <v>2.7203674262497791E-2</v>
      </c>
      <c r="H39" s="20">
        <f t="shared" si="18"/>
        <v>2.3359459044106346E-2</v>
      </c>
      <c r="I39" s="20">
        <f t="shared" si="18"/>
        <v>1.9006053780092919E-2</v>
      </c>
      <c r="J39" s="20">
        <f t="shared" si="18"/>
        <v>1.635483448907497E-2</v>
      </c>
      <c r="K39" s="20">
        <f t="shared" si="18"/>
        <v>1.6650579150579152E-2</v>
      </c>
      <c r="L39" s="20">
        <f t="shared" si="18"/>
        <v>3.2816229116945109E-2</v>
      </c>
      <c r="M39" s="20">
        <f t="shared" si="18"/>
        <v>4.2320013488450513E-2</v>
      </c>
      <c r="N39" s="20">
        <f t="shared" si="18"/>
        <v>4.8587010411502228E-2</v>
      </c>
      <c r="O39" s="20">
        <f t="shared" si="18"/>
        <v>4.1156840934371525E-2</v>
      </c>
      <c r="P39" s="20">
        <f t="shared" si="18"/>
        <v>1.8731028355667433E-2</v>
      </c>
      <c r="Q39" s="20">
        <f t="shared" si="18"/>
        <v>1.4403973509933774E-2</v>
      </c>
      <c r="R39" s="20">
        <f t="shared" si="18"/>
        <v>1.2713206352078904E-2</v>
      </c>
      <c r="S39" s="20">
        <f t="shared" si="18"/>
        <v>1.2632468130855475E-2</v>
      </c>
      <c r="T39" s="20">
        <f t="shared" si="18"/>
        <v>1.1517976031957391E-2</v>
      </c>
      <c r="U39" s="20">
        <f t="shared" si="18"/>
        <v>1.2798586169545635E-2</v>
      </c>
    </row>
    <row r="41" spans="1:21" ht="14.25" customHeight="1">
      <c r="A41" s="1" t="s">
        <v>75</v>
      </c>
      <c r="B41" s="19">
        <v>152</v>
      </c>
      <c r="C41" s="19">
        <v>138</v>
      </c>
      <c r="D41" s="19">
        <v>146</v>
      </c>
      <c r="E41" s="19">
        <v>194</v>
      </c>
      <c r="F41" s="19">
        <v>153</v>
      </c>
      <c r="G41" s="19">
        <v>327</v>
      </c>
      <c r="H41" s="19">
        <v>409</v>
      </c>
      <c r="I41" s="19">
        <v>234</v>
      </c>
      <c r="J41" s="19">
        <v>192</v>
      </c>
      <c r="K41" s="19">
        <v>158</v>
      </c>
      <c r="L41" s="19">
        <v>140</v>
      </c>
      <c r="M41" s="19">
        <v>73</v>
      </c>
      <c r="N41" s="19">
        <v>84</v>
      </c>
      <c r="O41" s="19">
        <v>77</v>
      </c>
      <c r="P41" s="19">
        <v>66</v>
      </c>
      <c r="Q41" s="19">
        <v>73</v>
      </c>
      <c r="R41" s="19">
        <v>90</v>
      </c>
      <c r="S41" s="17">
        <v>76</v>
      </c>
      <c r="T41" s="19">
        <v>34</v>
      </c>
      <c r="U41" s="19">
        <v>47</v>
      </c>
    </row>
    <row r="42" spans="1:21" ht="14.25" customHeight="1">
      <c r="A42" s="24" t="s">
        <v>80</v>
      </c>
      <c r="B42" s="19"/>
      <c r="C42" s="20">
        <f t="shared" ref="C42:U42" si="19">C41/B41-1</f>
        <v>-9.210526315789469E-2</v>
      </c>
      <c r="D42" s="20">
        <f t="shared" si="19"/>
        <v>5.7971014492753659E-2</v>
      </c>
      <c r="E42" s="20">
        <f t="shared" si="19"/>
        <v>0.32876712328767121</v>
      </c>
      <c r="F42" s="20">
        <f t="shared" si="19"/>
        <v>-0.21134020618556704</v>
      </c>
      <c r="G42" s="20">
        <f t="shared" si="19"/>
        <v>1.1372549019607843</v>
      </c>
      <c r="H42" s="20">
        <f t="shared" si="19"/>
        <v>0.25076452599388377</v>
      </c>
      <c r="I42" s="20">
        <f t="shared" si="19"/>
        <v>-0.42787286063569685</v>
      </c>
      <c r="J42" s="20">
        <f t="shared" si="19"/>
        <v>-0.17948717948717952</v>
      </c>
      <c r="K42" s="20">
        <f t="shared" si="19"/>
        <v>-0.17708333333333337</v>
      </c>
      <c r="L42" s="20">
        <f t="shared" si="19"/>
        <v>-0.11392405063291144</v>
      </c>
      <c r="M42" s="20">
        <f t="shared" si="19"/>
        <v>-0.47857142857142854</v>
      </c>
      <c r="N42" s="20">
        <f t="shared" si="19"/>
        <v>0.15068493150684925</v>
      </c>
      <c r="O42" s="20">
        <f t="shared" si="19"/>
        <v>-8.333333333333337E-2</v>
      </c>
      <c r="P42" s="20">
        <f t="shared" si="19"/>
        <v>-0.1428571428571429</v>
      </c>
      <c r="Q42" s="20">
        <f t="shared" si="19"/>
        <v>0.10606060606060597</v>
      </c>
      <c r="R42" s="20">
        <f t="shared" si="19"/>
        <v>0.23287671232876717</v>
      </c>
      <c r="S42" s="20">
        <f t="shared" si="19"/>
        <v>-0.15555555555555556</v>
      </c>
      <c r="T42" s="20">
        <f t="shared" si="19"/>
        <v>-0.55263157894736836</v>
      </c>
      <c r="U42" s="20">
        <f t="shared" si="19"/>
        <v>0.38235294117647056</v>
      </c>
    </row>
    <row r="43" spans="1:21" ht="14.25" customHeight="1">
      <c r="A43" s="24" t="s">
        <v>81</v>
      </c>
      <c r="B43" s="20">
        <f t="shared" ref="B43:U43" si="20">B41/B$45</f>
        <v>4.8953301127214167E-2</v>
      </c>
      <c r="C43" s="20">
        <f t="shared" si="20"/>
        <v>4.4805194805194806E-2</v>
      </c>
      <c r="D43" s="20">
        <f t="shared" si="20"/>
        <v>3.7765131919296431E-2</v>
      </c>
      <c r="E43" s="20">
        <f t="shared" si="20"/>
        <v>4.1049513330512058E-2</v>
      </c>
      <c r="F43" s="20">
        <f t="shared" si="20"/>
        <v>3.0581651009394362E-2</v>
      </c>
      <c r="G43" s="20">
        <f t="shared" si="20"/>
        <v>5.7763645998940114E-2</v>
      </c>
      <c r="H43" s="20">
        <f t="shared" si="20"/>
        <v>6.2855386506838792E-2</v>
      </c>
      <c r="I43" s="20">
        <f t="shared" si="20"/>
        <v>3.2943826552161055E-2</v>
      </c>
      <c r="J43" s="20">
        <f t="shared" si="20"/>
        <v>2.5121025775219154E-2</v>
      </c>
      <c r="K43" s="20">
        <f t="shared" si="20"/>
        <v>1.9063706563706564E-2</v>
      </c>
      <c r="L43" s="20">
        <f t="shared" si="20"/>
        <v>2.0883054892601432E-2</v>
      </c>
      <c r="M43" s="20">
        <f t="shared" si="20"/>
        <v>1.2308211094250548E-2</v>
      </c>
      <c r="N43" s="20">
        <f t="shared" si="20"/>
        <v>1.3882002974714923E-2</v>
      </c>
      <c r="O43" s="20">
        <f t="shared" si="20"/>
        <v>1.0706340378197997E-2</v>
      </c>
      <c r="P43" s="20">
        <f t="shared" si="20"/>
        <v>4.8863552232175905E-3</v>
      </c>
      <c r="Q43" s="20">
        <f t="shared" si="20"/>
        <v>4.0286975717439295E-3</v>
      </c>
      <c r="R43" s="20">
        <f t="shared" si="20"/>
        <v>4.0718454508437765E-3</v>
      </c>
      <c r="S43" s="20">
        <f t="shared" si="20"/>
        <v>2.9181385347872833E-3</v>
      </c>
      <c r="T43" s="20">
        <f t="shared" si="20"/>
        <v>1.1318242343541945E-3</v>
      </c>
      <c r="U43" s="20">
        <f t="shared" si="20"/>
        <v>1.3397183740949774E-3</v>
      </c>
    </row>
    <row r="45" spans="1:21" ht="14.25" customHeight="1">
      <c r="A45" s="137" t="s">
        <v>76</v>
      </c>
      <c r="B45" s="138">
        <f t="shared" ref="B45:U45" si="21">SUM(B25,B29,B33,B37,B41)</f>
        <v>3105</v>
      </c>
      <c r="C45" s="138">
        <f t="shared" si="21"/>
        <v>3080</v>
      </c>
      <c r="D45" s="138">
        <f t="shared" si="21"/>
        <v>3866</v>
      </c>
      <c r="E45" s="138">
        <f t="shared" si="21"/>
        <v>4726</v>
      </c>
      <c r="F45" s="138">
        <f t="shared" si="21"/>
        <v>5003</v>
      </c>
      <c r="G45" s="138">
        <f t="shared" si="21"/>
        <v>5661</v>
      </c>
      <c r="H45" s="138">
        <f t="shared" si="21"/>
        <v>6507</v>
      </c>
      <c r="I45" s="138">
        <f t="shared" si="21"/>
        <v>7103</v>
      </c>
      <c r="J45" s="138">
        <f t="shared" si="21"/>
        <v>7643</v>
      </c>
      <c r="K45" s="138">
        <f t="shared" si="21"/>
        <v>8288</v>
      </c>
      <c r="L45" s="138">
        <f t="shared" si="21"/>
        <v>6704</v>
      </c>
      <c r="M45" s="138">
        <f t="shared" si="21"/>
        <v>5931</v>
      </c>
      <c r="N45" s="138">
        <f t="shared" si="21"/>
        <v>6051</v>
      </c>
      <c r="O45" s="138">
        <f t="shared" si="21"/>
        <v>7192</v>
      </c>
      <c r="P45" s="138">
        <f t="shared" si="21"/>
        <v>13507</v>
      </c>
      <c r="Q45" s="138">
        <f t="shared" si="21"/>
        <v>18120</v>
      </c>
      <c r="R45" s="138">
        <f t="shared" si="21"/>
        <v>22103</v>
      </c>
      <c r="S45" s="138">
        <f t="shared" si="21"/>
        <v>26044</v>
      </c>
      <c r="T45" s="138">
        <f t="shared" si="21"/>
        <v>30040</v>
      </c>
      <c r="U45" s="138">
        <f t="shared" si="21"/>
        <v>35082</v>
      </c>
    </row>
    <row r="46" spans="1:21" ht="14.25" customHeight="1">
      <c r="A46" s="1" t="s">
        <v>80</v>
      </c>
      <c r="B46" s="26"/>
      <c r="C46" s="20">
        <f t="shared" ref="C46:U46" si="22">C45/B45-1</f>
        <v>-8.0515297906602612E-3</v>
      </c>
      <c r="D46" s="20">
        <f t="shared" si="22"/>
        <v>0.2551948051948052</v>
      </c>
      <c r="E46" s="20">
        <f t="shared" si="22"/>
        <v>0.22245214692188298</v>
      </c>
      <c r="F46" s="20">
        <f t="shared" si="22"/>
        <v>5.8611933982225972E-2</v>
      </c>
      <c r="G46" s="20">
        <f t="shared" si="22"/>
        <v>0.13152108734759138</v>
      </c>
      <c r="H46" s="20">
        <f t="shared" si="22"/>
        <v>0.14944356120826718</v>
      </c>
      <c r="I46" s="20">
        <f t="shared" si="22"/>
        <v>9.1593668357153879E-2</v>
      </c>
      <c r="J46" s="20">
        <f t="shared" si="22"/>
        <v>7.6024215120371608E-2</v>
      </c>
      <c r="K46" s="20">
        <f t="shared" si="22"/>
        <v>8.4390945963626951E-2</v>
      </c>
      <c r="L46" s="20">
        <f t="shared" si="22"/>
        <v>-0.19111969111969107</v>
      </c>
      <c r="M46" s="20">
        <f t="shared" si="22"/>
        <v>-0.11530429594272074</v>
      </c>
      <c r="N46" s="20">
        <f t="shared" si="22"/>
        <v>2.0232675771370667E-2</v>
      </c>
      <c r="O46" s="20">
        <f t="shared" si="22"/>
        <v>0.1885638737398776</v>
      </c>
      <c r="P46" s="20">
        <f t="shared" si="22"/>
        <v>0.87805895439377091</v>
      </c>
      <c r="Q46" s="20">
        <f t="shared" si="22"/>
        <v>0.34152661582882948</v>
      </c>
      <c r="R46" s="20">
        <f t="shared" si="22"/>
        <v>0.21981236203090515</v>
      </c>
      <c r="S46" s="20">
        <f t="shared" si="22"/>
        <v>0.17830158801972584</v>
      </c>
      <c r="T46" s="20">
        <f t="shared" si="22"/>
        <v>0.1534326524343419</v>
      </c>
      <c r="U46" s="20">
        <f t="shared" si="22"/>
        <v>0.16784287616511318</v>
      </c>
    </row>
    <row r="48" spans="1:21" ht="14.25" customHeight="1">
      <c r="A48" s="1" t="s">
        <v>75</v>
      </c>
      <c r="B48" t="s">
        <v>82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5"/>
  <sheetViews>
    <sheetView showGridLines="0" workbookViewId="0"/>
  </sheetViews>
  <sheetFormatPr defaultColWidth="8.7109375" defaultRowHeight="14.25"/>
  <cols>
    <col min="1" max="1" width="49.28515625" customWidth="1"/>
    <col min="2" max="20" width="11" customWidth="1"/>
    <col min="21" max="22" width="11.140625" customWidth="1"/>
  </cols>
  <sheetData>
    <row r="1" spans="1:22" ht="8.25" customHeight="1"/>
    <row r="2" spans="1:22" ht="18" customHeight="1">
      <c r="A2" s="14" t="s">
        <v>28</v>
      </c>
      <c r="L2" s="16"/>
      <c r="M2" s="16"/>
      <c r="N2" s="16"/>
      <c r="O2" s="17"/>
      <c r="P2" s="17"/>
      <c r="Q2" s="17"/>
      <c r="R2" s="17"/>
      <c r="S2" s="17"/>
    </row>
    <row r="3" spans="1:22" ht="14.25" customHeight="1">
      <c r="A3" s="27" t="s">
        <v>83</v>
      </c>
      <c r="L3" s="16"/>
      <c r="M3" s="16"/>
      <c r="N3" s="16"/>
      <c r="O3" s="17"/>
      <c r="P3" s="17"/>
      <c r="Q3" s="17"/>
      <c r="R3" s="17"/>
      <c r="S3" s="17"/>
    </row>
    <row r="5" spans="1:22" ht="14.25" customHeight="1">
      <c r="A5" s="139"/>
      <c r="B5" s="28"/>
      <c r="C5" s="28"/>
      <c r="D5" s="28"/>
      <c r="E5" s="28"/>
      <c r="F5" s="28"/>
      <c r="H5" s="28"/>
      <c r="I5" s="28"/>
      <c r="J5" s="28"/>
    </row>
    <row r="6" spans="1:22" ht="14.25" customHeight="1">
      <c r="A6" t="s">
        <v>84</v>
      </c>
      <c r="B6" s="137" t="s">
        <v>58</v>
      </c>
      <c r="C6" s="137" t="s">
        <v>59</v>
      </c>
      <c r="D6" s="137" t="s">
        <v>60</v>
      </c>
      <c r="E6" s="137" t="s">
        <v>61</v>
      </c>
      <c r="F6" s="137" t="s">
        <v>62</v>
      </c>
      <c r="G6" s="140" t="s">
        <v>63</v>
      </c>
      <c r="H6" s="137" t="s">
        <v>64</v>
      </c>
      <c r="I6" s="137" t="s">
        <v>65</v>
      </c>
      <c r="J6" s="137" t="s">
        <v>66</v>
      </c>
      <c r="K6" s="140" t="s">
        <v>67</v>
      </c>
      <c r="L6" s="140" t="s">
        <v>68</v>
      </c>
      <c r="M6" s="140" t="s">
        <v>69</v>
      </c>
      <c r="N6" s="140" t="s">
        <v>70</v>
      </c>
      <c r="O6" s="140" t="s">
        <v>77</v>
      </c>
      <c r="P6" s="140" t="s">
        <v>78</v>
      </c>
      <c r="Q6" s="140" t="s">
        <v>79</v>
      </c>
      <c r="R6" s="140" t="s">
        <v>85</v>
      </c>
      <c r="S6" s="140" t="s">
        <v>86</v>
      </c>
      <c r="T6" s="140" t="s">
        <v>87</v>
      </c>
    </row>
    <row r="7" spans="1:22" ht="14.25" customHeight="1">
      <c r="A7" s="29" t="s">
        <v>88</v>
      </c>
      <c r="B7" s="30">
        <v>44227</v>
      </c>
      <c r="C7" s="30">
        <v>44318</v>
      </c>
      <c r="D7" s="30">
        <v>44409</v>
      </c>
      <c r="E7" s="30">
        <v>44500</v>
      </c>
      <c r="F7" s="30">
        <v>44591</v>
      </c>
      <c r="G7" s="30">
        <v>44682</v>
      </c>
      <c r="H7" s="30">
        <v>44773</v>
      </c>
      <c r="I7" s="30">
        <v>44864</v>
      </c>
      <c r="J7" s="30">
        <v>44955</v>
      </c>
      <c r="K7" s="30">
        <v>45046</v>
      </c>
      <c r="L7" s="30">
        <v>45137</v>
      </c>
      <c r="M7" s="30">
        <v>45228</v>
      </c>
      <c r="N7" s="30">
        <v>45319</v>
      </c>
      <c r="O7" s="30">
        <v>45410</v>
      </c>
      <c r="P7" s="30">
        <v>45501</v>
      </c>
      <c r="Q7" s="30">
        <v>45592</v>
      </c>
      <c r="R7" s="30">
        <v>45683</v>
      </c>
      <c r="S7" s="30">
        <v>45774</v>
      </c>
      <c r="T7" s="30">
        <v>45865</v>
      </c>
    </row>
    <row r="8" spans="1:22" ht="14.25" customHeight="1">
      <c r="U8" s="137"/>
      <c r="V8" s="137"/>
    </row>
    <row r="9" spans="1:22" ht="14.25" customHeight="1">
      <c r="A9" t="s">
        <v>89</v>
      </c>
      <c r="B9" s="16">
        <v>5003</v>
      </c>
      <c r="C9" s="16">
        <v>5661</v>
      </c>
      <c r="D9" s="16">
        <v>6507</v>
      </c>
      <c r="E9" s="16">
        <v>7103</v>
      </c>
      <c r="F9" s="16">
        <v>7643</v>
      </c>
      <c r="G9" s="16">
        <v>8288</v>
      </c>
      <c r="H9" s="16">
        <v>6704</v>
      </c>
      <c r="I9" s="16">
        <v>5931</v>
      </c>
      <c r="J9" s="16">
        <v>6051</v>
      </c>
      <c r="K9" s="16">
        <v>7192</v>
      </c>
      <c r="L9" s="16">
        <v>13507</v>
      </c>
      <c r="M9" s="16">
        <v>18120</v>
      </c>
      <c r="N9" s="16">
        <v>22103</v>
      </c>
      <c r="O9" s="17">
        <v>26044</v>
      </c>
      <c r="P9" s="17">
        <v>30040</v>
      </c>
      <c r="Q9" s="17">
        <v>35082</v>
      </c>
      <c r="R9" s="17">
        <v>39331</v>
      </c>
      <c r="S9" s="17">
        <v>44062</v>
      </c>
      <c r="T9" s="17">
        <v>46743</v>
      </c>
    </row>
    <row r="10" spans="1:22" ht="14.25" customHeight="1">
      <c r="A10" t="s">
        <v>90</v>
      </c>
      <c r="B10" s="16">
        <v>1846</v>
      </c>
      <c r="C10" s="16">
        <v>2032</v>
      </c>
      <c r="D10" s="16">
        <v>2292</v>
      </c>
      <c r="E10" s="16">
        <v>2472</v>
      </c>
      <c r="F10" s="16">
        <v>2643</v>
      </c>
      <c r="G10" s="16">
        <v>2857</v>
      </c>
      <c r="H10" s="16">
        <v>3789</v>
      </c>
      <c r="I10" s="16">
        <v>2754</v>
      </c>
      <c r="J10" s="16">
        <v>2218</v>
      </c>
      <c r="K10" s="16">
        <v>2544</v>
      </c>
      <c r="L10" s="16">
        <v>4045</v>
      </c>
      <c r="M10" s="16">
        <v>4720</v>
      </c>
      <c r="N10" s="16">
        <v>5312</v>
      </c>
      <c r="O10" s="17">
        <v>5638</v>
      </c>
      <c r="P10" s="17">
        <v>7466</v>
      </c>
      <c r="Q10" s="17">
        <v>8926</v>
      </c>
      <c r="R10" s="17">
        <v>10608</v>
      </c>
      <c r="S10" s="17">
        <v>17394</v>
      </c>
      <c r="T10" s="17">
        <v>12890</v>
      </c>
    </row>
    <row r="11" spans="1:22" ht="14.25" customHeight="1">
      <c r="A11" s="141" t="s">
        <v>91</v>
      </c>
      <c r="B11" s="142">
        <v>3157</v>
      </c>
      <c r="C11" s="142">
        <v>3629</v>
      </c>
      <c r="D11" s="142">
        <v>4215</v>
      </c>
      <c r="E11" s="142">
        <v>4631</v>
      </c>
      <c r="F11" s="142">
        <v>5000</v>
      </c>
      <c r="G11" s="142">
        <v>5431</v>
      </c>
      <c r="H11" s="142">
        <v>2915</v>
      </c>
      <c r="I11" s="142">
        <v>3177</v>
      </c>
      <c r="J11" s="142">
        <v>3833</v>
      </c>
      <c r="K11" s="142">
        <v>4648</v>
      </c>
      <c r="L11" s="142">
        <v>9462</v>
      </c>
      <c r="M11" s="142">
        <v>13400</v>
      </c>
      <c r="N11" s="142">
        <v>16791</v>
      </c>
      <c r="O11" s="143">
        <v>20406</v>
      </c>
      <c r="P11" s="143">
        <v>22574</v>
      </c>
      <c r="Q11" s="143">
        <v>26156</v>
      </c>
      <c r="R11" s="143">
        <v>28723</v>
      </c>
      <c r="S11" s="143">
        <v>26668</v>
      </c>
      <c r="T11" s="143">
        <v>33853</v>
      </c>
    </row>
    <row r="12" spans="1:22" ht="14.25" customHeight="1">
      <c r="B12" s="16"/>
      <c r="C12" s="16"/>
      <c r="D12" s="16"/>
      <c r="E12" s="16"/>
      <c r="F12" s="16"/>
      <c r="G12" s="16"/>
      <c r="H12" s="16"/>
      <c r="I12" s="16"/>
      <c r="J12" s="16"/>
      <c r="K12" s="16"/>
      <c r="L12" s="16"/>
      <c r="M12" s="16"/>
      <c r="N12" s="16"/>
      <c r="O12" s="17"/>
      <c r="P12" s="17"/>
      <c r="Q12" s="17"/>
      <c r="R12" s="17"/>
      <c r="S12" s="17"/>
    </row>
    <row r="13" spans="1:22" ht="14.25" customHeight="1">
      <c r="A13" t="s">
        <v>92</v>
      </c>
      <c r="B13" s="16"/>
      <c r="C13" s="16"/>
      <c r="D13" s="16"/>
      <c r="E13" s="16"/>
      <c r="F13" s="16"/>
      <c r="G13" s="16"/>
      <c r="H13" s="16"/>
      <c r="I13" s="16"/>
      <c r="J13" s="16"/>
      <c r="K13" s="16"/>
      <c r="L13" s="16"/>
      <c r="M13" s="16"/>
      <c r="N13" s="16"/>
      <c r="O13" s="17"/>
      <c r="P13" s="17"/>
      <c r="Q13" s="17"/>
      <c r="R13" s="17"/>
      <c r="S13" s="17"/>
      <c r="T13" s="17"/>
    </row>
    <row r="14" spans="1:22" ht="14.25" customHeight="1">
      <c r="A14" t="s">
        <v>93</v>
      </c>
      <c r="B14" s="16">
        <v>1145</v>
      </c>
      <c r="C14" s="16">
        <v>1153</v>
      </c>
      <c r="D14" s="16">
        <v>1245</v>
      </c>
      <c r="E14" s="16">
        <v>1403</v>
      </c>
      <c r="F14" s="16">
        <v>1467</v>
      </c>
      <c r="G14" s="16">
        <v>1618</v>
      </c>
      <c r="H14" s="16">
        <v>1824</v>
      </c>
      <c r="I14" s="16">
        <v>1945</v>
      </c>
      <c r="J14" s="16">
        <v>1952</v>
      </c>
      <c r="K14" s="16">
        <v>1875</v>
      </c>
      <c r="L14" s="16">
        <v>2040</v>
      </c>
      <c r="M14" s="16">
        <v>2294</v>
      </c>
      <c r="N14" s="16">
        <v>2466</v>
      </c>
      <c r="O14" s="17">
        <v>2720</v>
      </c>
      <c r="P14" s="17">
        <v>3090</v>
      </c>
      <c r="Q14" s="17">
        <v>3390</v>
      </c>
      <c r="R14" s="17">
        <v>3714</v>
      </c>
      <c r="S14" s="17">
        <v>3989</v>
      </c>
      <c r="T14" s="17">
        <v>4291</v>
      </c>
    </row>
    <row r="15" spans="1:22" ht="14.25" customHeight="1">
      <c r="A15" t="s">
        <v>94</v>
      </c>
      <c r="B15" s="16">
        <v>505</v>
      </c>
      <c r="C15" s="16">
        <v>520</v>
      </c>
      <c r="D15" s="16">
        <v>526</v>
      </c>
      <c r="E15" s="16">
        <v>557</v>
      </c>
      <c r="F15" s="16">
        <v>563</v>
      </c>
      <c r="G15" s="16">
        <v>592</v>
      </c>
      <c r="H15" s="16">
        <v>592</v>
      </c>
      <c r="I15" s="16">
        <v>631</v>
      </c>
      <c r="J15" s="16">
        <v>625</v>
      </c>
      <c r="K15" s="16">
        <v>633</v>
      </c>
      <c r="L15" s="16">
        <v>622</v>
      </c>
      <c r="M15" s="16">
        <v>689</v>
      </c>
      <c r="N15" s="16">
        <v>710</v>
      </c>
      <c r="O15" s="17">
        <v>777</v>
      </c>
      <c r="P15" s="17">
        <v>842</v>
      </c>
      <c r="Q15" s="17">
        <v>897</v>
      </c>
      <c r="R15" s="17">
        <v>975</v>
      </c>
      <c r="S15" s="17">
        <v>1041</v>
      </c>
      <c r="T15" s="17">
        <v>1122</v>
      </c>
    </row>
    <row r="16" spans="1:22" ht="14.25" customHeight="1">
      <c r="A16" t="s">
        <v>95</v>
      </c>
      <c r="B16" s="16" t="s">
        <v>96</v>
      </c>
      <c r="C16" s="16" t="s">
        <v>96</v>
      </c>
      <c r="D16" s="16" t="s">
        <v>96</v>
      </c>
      <c r="E16" s="16" t="s">
        <v>96</v>
      </c>
      <c r="F16" s="16" t="s">
        <v>96</v>
      </c>
      <c r="G16" s="16">
        <v>1353</v>
      </c>
      <c r="H16" s="16" t="s">
        <v>96</v>
      </c>
      <c r="I16" s="16" t="s">
        <v>96</v>
      </c>
      <c r="J16" s="16" t="s">
        <v>96</v>
      </c>
      <c r="K16" s="16" t="s">
        <v>96</v>
      </c>
      <c r="L16" s="16" t="s">
        <v>96</v>
      </c>
      <c r="M16" s="16" t="s">
        <v>96</v>
      </c>
      <c r="N16" s="16" t="s">
        <v>96</v>
      </c>
      <c r="O16" s="17" t="s">
        <v>96</v>
      </c>
      <c r="P16" s="17" t="s">
        <v>96</v>
      </c>
      <c r="Q16" s="17" t="s">
        <v>96</v>
      </c>
      <c r="R16" s="17" t="s">
        <v>96</v>
      </c>
      <c r="S16" s="17" t="s">
        <v>96</v>
      </c>
      <c r="T16" s="16" t="s">
        <v>96</v>
      </c>
    </row>
    <row r="17" spans="1:20" ht="14.25" customHeight="1">
      <c r="A17" s="141" t="s">
        <v>97</v>
      </c>
      <c r="B17" s="142">
        <v>1650</v>
      </c>
      <c r="C17" s="142">
        <v>1673</v>
      </c>
      <c r="D17" s="142">
        <v>1771</v>
      </c>
      <c r="E17" s="142">
        <v>1960</v>
      </c>
      <c r="F17" s="142">
        <v>2030</v>
      </c>
      <c r="G17" s="142">
        <v>3563</v>
      </c>
      <c r="H17" s="142">
        <v>2416</v>
      </c>
      <c r="I17" s="142">
        <v>2576</v>
      </c>
      <c r="J17" s="142">
        <v>2577</v>
      </c>
      <c r="K17" s="142">
        <v>2508</v>
      </c>
      <c r="L17" s="142">
        <v>2662</v>
      </c>
      <c r="M17" s="142">
        <v>2983</v>
      </c>
      <c r="N17" s="142">
        <v>3176</v>
      </c>
      <c r="O17" s="143">
        <v>3497</v>
      </c>
      <c r="P17" s="143">
        <v>3932</v>
      </c>
      <c r="Q17" s="143">
        <v>4287</v>
      </c>
      <c r="R17" s="143">
        <v>4689</v>
      </c>
      <c r="S17" s="143">
        <v>5030</v>
      </c>
      <c r="T17" s="143">
        <v>5413</v>
      </c>
    </row>
    <row r="18" spans="1:20" ht="14.25" customHeight="1">
      <c r="B18" s="16"/>
      <c r="C18" s="16"/>
      <c r="D18" s="16"/>
      <c r="E18" s="16"/>
      <c r="F18" s="16"/>
      <c r="G18" s="16"/>
      <c r="H18" s="16"/>
      <c r="I18" s="16"/>
      <c r="J18" s="16"/>
      <c r="K18" s="16"/>
      <c r="L18" s="16"/>
      <c r="M18" s="16"/>
      <c r="N18" s="16"/>
      <c r="O18" s="17"/>
      <c r="P18" s="17"/>
      <c r="Q18" s="17"/>
      <c r="R18" s="17"/>
      <c r="S18" s="17"/>
    </row>
    <row r="19" spans="1:20" ht="14.25" customHeight="1">
      <c r="A19" t="s">
        <v>98</v>
      </c>
      <c r="B19" s="16">
        <v>1507</v>
      </c>
      <c r="C19" s="16">
        <v>1956</v>
      </c>
      <c r="D19" s="16">
        <v>2444</v>
      </c>
      <c r="E19" s="16">
        <v>2671</v>
      </c>
      <c r="F19" s="16">
        <v>2970</v>
      </c>
      <c r="G19" s="16">
        <v>1868</v>
      </c>
      <c r="H19" s="16">
        <v>499</v>
      </c>
      <c r="I19" s="16">
        <v>601</v>
      </c>
      <c r="J19" s="16">
        <v>1256</v>
      </c>
      <c r="K19" s="16">
        <v>2140</v>
      </c>
      <c r="L19" s="16">
        <v>6800</v>
      </c>
      <c r="M19" s="16">
        <v>10417</v>
      </c>
      <c r="N19" s="16">
        <v>13615</v>
      </c>
      <c r="O19" s="17">
        <v>16909</v>
      </c>
      <c r="P19" s="17">
        <v>18642</v>
      </c>
      <c r="Q19" s="17">
        <v>21869</v>
      </c>
      <c r="R19" s="17">
        <v>24034</v>
      </c>
      <c r="S19" s="17">
        <v>21638</v>
      </c>
      <c r="T19" s="17">
        <v>28440</v>
      </c>
    </row>
    <row r="20" spans="1:20" ht="14.25" customHeight="1">
      <c r="A20" t="s">
        <v>99</v>
      </c>
      <c r="B20" s="16">
        <v>7</v>
      </c>
      <c r="C20" s="16">
        <v>6</v>
      </c>
      <c r="D20" s="16">
        <v>6</v>
      </c>
      <c r="E20" s="16">
        <v>7</v>
      </c>
      <c r="F20" s="16">
        <v>10</v>
      </c>
      <c r="G20" s="16">
        <v>18</v>
      </c>
      <c r="H20" s="16">
        <v>46</v>
      </c>
      <c r="I20" s="16">
        <v>88</v>
      </c>
      <c r="J20" s="16">
        <v>115</v>
      </c>
      <c r="K20" s="16">
        <v>150</v>
      </c>
      <c r="L20" s="16">
        <v>187</v>
      </c>
      <c r="M20" s="16">
        <v>234</v>
      </c>
      <c r="N20" s="16">
        <v>295</v>
      </c>
      <c r="O20" s="17">
        <v>359</v>
      </c>
      <c r="P20" s="17">
        <v>444</v>
      </c>
      <c r="Q20" s="17">
        <v>472</v>
      </c>
      <c r="R20" s="17">
        <v>511</v>
      </c>
      <c r="S20" s="17">
        <v>515</v>
      </c>
      <c r="T20" s="17">
        <v>592</v>
      </c>
    </row>
    <row r="21" spans="1:20" ht="14.25" customHeight="1">
      <c r="A21" t="s">
        <v>100</v>
      </c>
      <c r="B21" s="16">
        <v>-52</v>
      </c>
      <c r="C21" s="16">
        <v>-53</v>
      </c>
      <c r="D21" s="16">
        <v>-60</v>
      </c>
      <c r="E21" s="16">
        <v>-62</v>
      </c>
      <c r="F21" s="16">
        <v>-61</v>
      </c>
      <c r="G21" s="16">
        <v>-68</v>
      </c>
      <c r="H21" s="16">
        <v>-65</v>
      </c>
      <c r="I21" s="16">
        <v>-65</v>
      </c>
      <c r="J21" s="16">
        <v>-64</v>
      </c>
      <c r="K21" s="16">
        <v>-66</v>
      </c>
      <c r="L21" s="16">
        <v>-65</v>
      </c>
      <c r="M21" s="16">
        <v>-63</v>
      </c>
      <c r="N21" s="16">
        <v>-63</v>
      </c>
      <c r="O21" s="17">
        <v>-64</v>
      </c>
      <c r="P21" s="17">
        <v>-61</v>
      </c>
      <c r="Q21" s="17">
        <v>-61</v>
      </c>
      <c r="R21" s="17">
        <v>-61</v>
      </c>
      <c r="S21" s="17">
        <v>-63</v>
      </c>
      <c r="T21" s="17">
        <v>-62</v>
      </c>
    </row>
    <row r="22" spans="1:20" s="22" customFormat="1" ht="14.25" customHeight="1">
      <c r="A22" s="2" t="s">
        <v>101</v>
      </c>
      <c r="B22" s="16">
        <v>10</v>
      </c>
      <c r="C22" s="16">
        <v>135</v>
      </c>
      <c r="D22" s="16">
        <v>4</v>
      </c>
      <c r="E22" s="16">
        <v>22</v>
      </c>
      <c r="F22" s="16">
        <v>-54</v>
      </c>
      <c r="G22" s="16">
        <v>-13</v>
      </c>
      <c r="H22" s="16">
        <v>-5</v>
      </c>
      <c r="I22" s="16">
        <v>-11</v>
      </c>
      <c r="J22" s="16">
        <v>-19</v>
      </c>
      <c r="K22" s="16">
        <v>-15</v>
      </c>
      <c r="L22" s="16">
        <v>59</v>
      </c>
      <c r="M22" s="16">
        <v>-66</v>
      </c>
      <c r="N22" s="16">
        <v>259</v>
      </c>
      <c r="O22" s="17">
        <v>75</v>
      </c>
      <c r="P22" s="17">
        <v>189</v>
      </c>
      <c r="Q22" s="17">
        <v>36</v>
      </c>
      <c r="R22" s="17">
        <v>733</v>
      </c>
      <c r="S22" s="17">
        <v>-180</v>
      </c>
      <c r="T22" s="17">
        <v>2236</v>
      </c>
    </row>
    <row r="23" spans="1:20" ht="14.25" customHeight="1">
      <c r="A23" s="141" t="s">
        <v>102</v>
      </c>
      <c r="B23" s="142">
        <v>-36</v>
      </c>
      <c r="C23" s="142">
        <v>88</v>
      </c>
      <c r="D23" s="142">
        <v>-50</v>
      </c>
      <c r="E23" s="142">
        <v>-33</v>
      </c>
      <c r="F23" s="142">
        <v>-105</v>
      </c>
      <c r="G23" s="142">
        <v>-63</v>
      </c>
      <c r="H23" s="142">
        <v>-24</v>
      </c>
      <c r="I23" s="142">
        <v>12</v>
      </c>
      <c r="J23" s="142">
        <v>32</v>
      </c>
      <c r="K23" s="142">
        <v>69</v>
      </c>
      <c r="L23" s="142">
        <v>181</v>
      </c>
      <c r="M23" s="142">
        <v>105</v>
      </c>
      <c r="N23" s="142">
        <v>491</v>
      </c>
      <c r="O23" s="143">
        <v>370</v>
      </c>
      <c r="P23" s="143">
        <v>572</v>
      </c>
      <c r="Q23" s="143">
        <v>447</v>
      </c>
      <c r="R23" s="143">
        <v>1183</v>
      </c>
      <c r="S23" s="143">
        <v>272</v>
      </c>
      <c r="T23" s="143">
        <v>2766</v>
      </c>
    </row>
    <row r="24" spans="1:20" ht="14.25" customHeight="1">
      <c r="B24" s="16"/>
      <c r="C24" s="16"/>
      <c r="D24" s="16"/>
      <c r="E24" s="16"/>
      <c r="F24" s="16"/>
      <c r="G24" s="16"/>
      <c r="H24" s="16"/>
      <c r="I24" s="16"/>
      <c r="J24" s="16"/>
      <c r="K24" s="16"/>
      <c r="L24" s="16"/>
      <c r="M24" s="16"/>
      <c r="N24" s="16"/>
      <c r="O24" s="17"/>
      <c r="P24" s="17"/>
      <c r="Q24" s="17"/>
      <c r="R24" s="17"/>
      <c r="S24" s="17"/>
    </row>
    <row r="25" spans="1:20" ht="14.25" customHeight="1">
      <c r="A25" t="s">
        <v>103</v>
      </c>
      <c r="B25" s="16">
        <v>1471</v>
      </c>
      <c r="C25" s="16">
        <v>2044</v>
      </c>
      <c r="D25" s="16">
        <v>2394</v>
      </c>
      <c r="E25" s="16">
        <v>2638</v>
      </c>
      <c r="F25" s="16">
        <v>2865</v>
      </c>
      <c r="G25" s="16">
        <v>1805</v>
      </c>
      <c r="H25" s="16">
        <v>475</v>
      </c>
      <c r="I25" s="16">
        <v>613</v>
      </c>
      <c r="J25" s="16">
        <v>1288</v>
      </c>
      <c r="K25" s="16">
        <v>2209</v>
      </c>
      <c r="L25" s="16">
        <v>6981</v>
      </c>
      <c r="M25" s="16">
        <v>10522</v>
      </c>
      <c r="N25" s="16">
        <v>14106</v>
      </c>
      <c r="O25" s="17">
        <v>17279</v>
      </c>
      <c r="P25" s="17">
        <v>19214</v>
      </c>
      <c r="Q25" s="17">
        <v>22316</v>
      </c>
      <c r="R25" s="17">
        <v>25217</v>
      </c>
      <c r="S25" s="17">
        <v>21910</v>
      </c>
      <c r="T25" s="17">
        <v>31206</v>
      </c>
    </row>
    <row r="26" spans="1:20" ht="14.25" customHeight="1">
      <c r="A26" t="s">
        <v>104</v>
      </c>
      <c r="B26" s="16">
        <v>14</v>
      </c>
      <c r="C26" s="16">
        <v>132</v>
      </c>
      <c r="D26" s="16">
        <v>20</v>
      </c>
      <c r="E26" s="16">
        <v>174</v>
      </c>
      <c r="F26" s="16">
        <v>-137</v>
      </c>
      <c r="G26" s="16">
        <v>187</v>
      </c>
      <c r="H26" s="16">
        <v>-181</v>
      </c>
      <c r="I26" s="16">
        <v>-67</v>
      </c>
      <c r="J26" s="16">
        <v>-126</v>
      </c>
      <c r="K26" s="16">
        <v>166</v>
      </c>
      <c r="L26" s="16">
        <v>793</v>
      </c>
      <c r="M26" s="16">
        <v>1279</v>
      </c>
      <c r="N26" s="16">
        <v>1820</v>
      </c>
      <c r="O26" s="17">
        <v>2398</v>
      </c>
      <c r="P26" s="17">
        <v>2615</v>
      </c>
      <c r="Q26" s="17">
        <v>3007</v>
      </c>
      <c r="R26" s="17">
        <v>3126</v>
      </c>
      <c r="S26" s="17">
        <v>3135</v>
      </c>
      <c r="T26" s="17">
        <v>4784</v>
      </c>
    </row>
    <row r="27" spans="1:20" ht="14.25" customHeight="1">
      <c r="A27" s="141" t="s">
        <v>105</v>
      </c>
      <c r="B27" s="142">
        <v>1457</v>
      </c>
      <c r="C27" s="142">
        <v>1912</v>
      </c>
      <c r="D27" s="142">
        <v>2374</v>
      </c>
      <c r="E27" s="142">
        <v>2464</v>
      </c>
      <c r="F27" s="142">
        <v>3002</v>
      </c>
      <c r="G27" s="142">
        <v>1618</v>
      </c>
      <c r="H27" s="142">
        <v>656</v>
      </c>
      <c r="I27" s="142">
        <v>680</v>
      </c>
      <c r="J27" s="142">
        <v>1414</v>
      </c>
      <c r="K27" s="142">
        <v>2043</v>
      </c>
      <c r="L27" s="142">
        <v>6188</v>
      </c>
      <c r="M27" s="142">
        <v>9243</v>
      </c>
      <c r="N27" s="142">
        <v>12286</v>
      </c>
      <c r="O27" s="143">
        <v>14881</v>
      </c>
      <c r="P27" s="143">
        <v>16599</v>
      </c>
      <c r="Q27" s="143">
        <v>19309</v>
      </c>
      <c r="R27" s="143">
        <v>22091</v>
      </c>
      <c r="S27" s="143">
        <v>18775</v>
      </c>
      <c r="T27" s="143">
        <v>26422</v>
      </c>
    </row>
    <row r="28" spans="1:20" ht="14.25" customHeight="1">
      <c r="B28" s="16"/>
      <c r="C28" s="16"/>
      <c r="D28" s="16"/>
      <c r="E28" s="16"/>
      <c r="F28" s="16"/>
      <c r="G28" s="16"/>
      <c r="H28" s="16"/>
      <c r="I28" s="16"/>
      <c r="J28" s="16"/>
      <c r="K28" s="16"/>
      <c r="L28" s="16"/>
      <c r="M28" s="16"/>
      <c r="N28" s="16"/>
      <c r="O28" s="17"/>
      <c r="P28" s="17"/>
      <c r="Q28" s="17"/>
      <c r="R28" s="17"/>
      <c r="S28" s="17"/>
      <c r="T28" s="31"/>
    </row>
    <row r="29" spans="1:20" ht="14.25" customHeight="1">
      <c r="A29" t="s">
        <v>106</v>
      </c>
      <c r="B29" s="16"/>
      <c r="C29" s="16"/>
      <c r="D29" s="16"/>
      <c r="E29" s="16"/>
      <c r="F29" s="16"/>
      <c r="G29" s="16"/>
      <c r="H29" s="16"/>
      <c r="I29" s="16"/>
      <c r="J29" s="16"/>
      <c r="K29" s="16"/>
      <c r="L29" s="16"/>
      <c r="M29" s="16"/>
      <c r="N29" s="16"/>
      <c r="O29" s="17"/>
      <c r="P29" s="17"/>
      <c r="Q29" s="17"/>
      <c r="R29" s="17"/>
      <c r="S29" s="17"/>
      <c r="T29" s="31"/>
    </row>
    <row r="30" spans="1:20" ht="14.25" customHeight="1">
      <c r="A30" t="s">
        <v>107</v>
      </c>
      <c r="B30" s="127">
        <v>5.8999999999999997E-2</v>
      </c>
      <c r="C30" s="127">
        <v>7.6999999999999999E-2</v>
      </c>
      <c r="D30" s="127">
        <v>9.5000000000000001E-2</v>
      </c>
      <c r="E30" s="127">
        <v>9.9000000000000005E-2</v>
      </c>
      <c r="F30" s="127">
        <v>0.12</v>
      </c>
      <c r="G30" s="127">
        <v>6.5000000000000002E-2</v>
      </c>
      <c r="H30" s="127">
        <v>2.6000000000000002E-2</v>
      </c>
      <c r="I30" s="127">
        <v>2.7000000000000003E-2</v>
      </c>
      <c r="J30" s="127">
        <v>5.7999999999999996E-2</v>
      </c>
      <c r="K30" s="127">
        <v>8.299999999999999E-2</v>
      </c>
      <c r="L30" s="127">
        <v>2.5000000000000001E-2</v>
      </c>
      <c r="M30" s="127">
        <v>3.6999999999999998E-2</v>
      </c>
      <c r="N30" s="127">
        <v>0.497</v>
      </c>
      <c r="O30" s="116">
        <v>0.6</v>
      </c>
      <c r="P30" s="116">
        <v>0.68</v>
      </c>
      <c r="Q30" s="116">
        <v>0.79</v>
      </c>
      <c r="R30" s="116">
        <v>0.9</v>
      </c>
      <c r="S30" s="116">
        <v>0.77</v>
      </c>
      <c r="T30" s="116">
        <v>1.08</v>
      </c>
    </row>
    <row r="31" spans="1:20" ht="14.25" customHeight="1">
      <c r="A31" t="s">
        <v>108</v>
      </c>
      <c r="B31" s="127">
        <v>5.8000000000000003E-2</v>
      </c>
      <c r="C31" s="127">
        <v>7.5999999999999998E-2</v>
      </c>
      <c r="D31" s="127">
        <v>9.4E-2</v>
      </c>
      <c r="E31" s="127">
        <v>9.7000000000000003E-2</v>
      </c>
      <c r="F31" s="127">
        <v>0.11799999999999999</v>
      </c>
      <c r="G31" s="127">
        <v>6.4000000000000001E-2</v>
      </c>
      <c r="H31" s="127">
        <v>2.6000000000000002E-2</v>
      </c>
      <c r="I31" s="127">
        <v>2.7000000000000003E-2</v>
      </c>
      <c r="J31" s="127">
        <v>5.6999999999999995E-2</v>
      </c>
      <c r="K31" s="127">
        <v>8.199999999999999E-2</v>
      </c>
      <c r="L31" s="127">
        <v>2.5000000000000001E-2</v>
      </c>
      <c r="M31" s="127">
        <v>3.6999999999999998E-2</v>
      </c>
      <c r="N31" s="127">
        <v>0.49199999999999999</v>
      </c>
      <c r="O31" s="116">
        <v>0.6</v>
      </c>
      <c r="P31" s="116">
        <v>0.67</v>
      </c>
      <c r="Q31" s="116">
        <v>0.78</v>
      </c>
      <c r="R31" s="116">
        <v>0.89</v>
      </c>
      <c r="S31" s="116">
        <v>0.76</v>
      </c>
      <c r="T31" s="116">
        <v>1.08</v>
      </c>
    </row>
    <row r="32" spans="1:20" ht="14.25" customHeight="1">
      <c r="B32" s="16"/>
      <c r="C32" s="16"/>
      <c r="D32" s="16"/>
      <c r="E32" s="16"/>
      <c r="F32" s="16"/>
      <c r="G32" s="16"/>
      <c r="H32" s="16"/>
      <c r="I32" s="16"/>
      <c r="J32" s="16"/>
      <c r="K32" s="16"/>
      <c r="L32" s="16"/>
      <c r="M32" s="16"/>
      <c r="N32" s="16"/>
      <c r="O32" s="17"/>
      <c r="P32" s="17"/>
      <c r="Q32" s="17"/>
      <c r="R32" s="17"/>
      <c r="S32" s="17"/>
      <c r="T32" s="31"/>
    </row>
    <row r="33" spans="1:20" ht="14.25" customHeight="1">
      <c r="A33" t="s">
        <v>109</v>
      </c>
      <c r="B33" s="16"/>
      <c r="C33" s="16"/>
      <c r="D33" s="16"/>
      <c r="E33" s="16"/>
      <c r="F33" s="16"/>
      <c r="G33" s="16"/>
      <c r="H33" s="16"/>
      <c r="I33" s="16"/>
      <c r="J33" s="16"/>
      <c r="K33" s="16"/>
      <c r="L33" s="16"/>
      <c r="M33" s="16"/>
      <c r="N33" s="16"/>
      <c r="O33" s="17"/>
      <c r="P33" s="17"/>
      <c r="Q33" s="17"/>
      <c r="R33" s="17"/>
      <c r="S33" s="17"/>
      <c r="T33" s="31"/>
    </row>
    <row r="34" spans="1:20" ht="14.25" customHeight="1">
      <c r="A34" t="s">
        <v>107</v>
      </c>
      <c r="B34" s="16">
        <v>24680</v>
      </c>
      <c r="C34" s="16">
        <v>24840</v>
      </c>
      <c r="D34" s="16">
        <v>24930</v>
      </c>
      <c r="E34" s="16">
        <v>24990</v>
      </c>
      <c r="F34" s="16">
        <v>24960</v>
      </c>
      <c r="G34" s="16">
        <v>25060</v>
      </c>
      <c r="H34" s="16">
        <v>24950</v>
      </c>
      <c r="I34" s="16">
        <v>24830</v>
      </c>
      <c r="J34" s="16">
        <v>24870</v>
      </c>
      <c r="K34" s="16">
        <v>24700</v>
      </c>
      <c r="L34" s="16">
        <v>24730</v>
      </c>
      <c r="M34" s="16">
        <v>24680</v>
      </c>
      <c r="N34" s="16">
        <v>24690</v>
      </c>
      <c r="O34" s="17">
        <v>24620</v>
      </c>
      <c r="P34" s="17">
        <v>24578</v>
      </c>
      <c r="Q34" s="17">
        <v>24533</v>
      </c>
      <c r="R34" s="17">
        <v>24489</v>
      </c>
      <c r="S34" s="17">
        <v>24441</v>
      </c>
      <c r="T34" s="17">
        <v>24366</v>
      </c>
    </row>
    <row r="35" spans="1:20" ht="14.25" customHeight="1">
      <c r="A35" t="s">
        <v>108</v>
      </c>
      <c r="B35" s="16">
        <v>25120</v>
      </c>
      <c r="C35" s="16">
        <v>25280</v>
      </c>
      <c r="D35" s="16">
        <v>25320</v>
      </c>
      <c r="E35" s="16">
        <v>25380</v>
      </c>
      <c r="F35" s="16">
        <v>25350</v>
      </c>
      <c r="G35" s="16">
        <v>25370</v>
      </c>
      <c r="H35" s="16">
        <v>25160</v>
      </c>
      <c r="I35" s="16">
        <v>24990</v>
      </c>
      <c r="J35" s="16">
        <v>25070</v>
      </c>
      <c r="K35" s="16">
        <v>24900</v>
      </c>
      <c r="L35" s="16">
        <v>24990</v>
      </c>
      <c r="M35" s="16">
        <v>24940</v>
      </c>
      <c r="N35" s="16">
        <v>24940</v>
      </c>
      <c r="O35" s="17">
        <v>24890</v>
      </c>
      <c r="P35" s="17">
        <v>24848</v>
      </c>
      <c r="Q35" s="17">
        <v>24774</v>
      </c>
      <c r="R35" s="17">
        <v>24704</v>
      </c>
      <c r="S35" s="17">
        <v>24611</v>
      </c>
      <c r="T35" s="17">
        <v>24532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44"/>
  <sheetViews>
    <sheetView showGridLines="0" workbookViewId="0"/>
  </sheetViews>
  <sheetFormatPr defaultColWidth="8.7109375" defaultRowHeight="14.25"/>
  <cols>
    <col min="1" max="1" width="49.28515625" customWidth="1"/>
    <col min="2" max="20" width="10.5703125" customWidth="1"/>
  </cols>
  <sheetData>
    <row r="1" spans="1:20" ht="3.75" customHeight="1"/>
    <row r="2" spans="1:20" ht="22.5" customHeight="1">
      <c r="A2" s="14" t="s">
        <v>30</v>
      </c>
      <c r="L2" s="16"/>
      <c r="M2" s="16"/>
      <c r="N2" s="16"/>
      <c r="O2" s="17"/>
      <c r="P2" s="17"/>
      <c r="Q2" s="17"/>
      <c r="R2" s="17"/>
      <c r="S2" s="17"/>
    </row>
    <row r="3" spans="1:20" ht="14.25" customHeight="1">
      <c r="A3" s="27" t="s">
        <v>83</v>
      </c>
      <c r="L3" s="16"/>
      <c r="M3" s="16"/>
      <c r="N3" s="16"/>
      <c r="O3" s="17"/>
      <c r="P3" s="17"/>
      <c r="Q3" s="17"/>
      <c r="R3" s="17"/>
      <c r="S3" s="17"/>
    </row>
    <row r="5" spans="1:20" ht="14.25" customHeight="1">
      <c r="A5" s="139"/>
      <c r="B5" s="28"/>
      <c r="C5" s="28"/>
      <c r="D5" s="28"/>
      <c r="E5" s="28"/>
      <c r="F5" s="28"/>
      <c r="H5" s="28"/>
      <c r="I5" s="28"/>
      <c r="J5" s="28"/>
    </row>
    <row r="6" spans="1:20" ht="14.25" customHeight="1">
      <c r="A6" t="s">
        <v>84</v>
      </c>
      <c r="B6" s="137" t="s">
        <v>58</v>
      </c>
      <c r="C6" s="137" t="s">
        <v>59</v>
      </c>
      <c r="D6" s="137" t="s">
        <v>60</v>
      </c>
      <c r="E6" s="137" t="s">
        <v>61</v>
      </c>
      <c r="F6" s="137" t="s">
        <v>62</v>
      </c>
      <c r="G6" s="140" t="s">
        <v>63</v>
      </c>
      <c r="H6" s="137" t="s">
        <v>64</v>
      </c>
      <c r="I6" s="137" t="s">
        <v>65</v>
      </c>
      <c r="J6" s="137" t="s">
        <v>66</v>
      </c>
      <c r="K6" s="140" t="s">
        <v>67</v>
      </c>
      <c r="L6" s="140" t="s">
        <v>68</v>
      </c>
      <c r="M6" s="140" t="s">
        <v>69</v>
      </c>
      <c r="N6" s="140" t="s">
        <v>70</v>
      </c>
      <c r="O6" s="140" t="s">
        <v>77</v>
      </c>
      <c r="P6" s="140" t="s">
        <v>78</v>
      </c>
      <c r="Q6" s="140" t="s">
        <v>79</v>
      </c>
      <c r="R6" s="140" t="s">
        <v>85</v>
      </c>
      <c r="S6" s="140" t="s">
        <v>86</v>
      </c>
      <c r="T6" s="140" t="s">
        <v>87</v>
      </c>
    </row>
    <row r="7" spans="1:20" ht="14.25" customHeight="1">
      <c r="A7" s="29" t="s">
        <v>88</v>
      </c>
      <c r="B7" s="30">
        <v>44227</v>
      </c>
      <c r="C7" s="30">
        <v>44318</v>
      </c>
      <c r="D7" s="30">
        <v>44409</v>
      </c>
      <c r="E7" s="30">
        <v>44500</v>
      </c>
      <c r="F7" s="30">
        <v>44591</v>
      </c>
      <c r="G7" s="30">
        <v>44682</v>
      </c>
      <c r="H7" s="30">
        <v>44773</v>
      </c>
      <c r="I7" s="30">
        <v>44864</v>
      </c>
      <c r="J7" s="30">
        <v>44955</v>
      </c>
      <c r="K7" s="30">
        <v>45046</v>
      </c>
      <c r="L7" s="30">
        <v>45137</v>
      </c>
      <c r="M7" s="30">
        <v>45228</v>
      </c>
      <c r="N7" s="30">
        <v>45319</v>
      </c>
      <c r="O7" s="30">
        <v>45410</v>
      </c>
      <c r="P7" s="30">
        <v>45501</v>
      </c>
      <c r="Q7" s="30">
        <v>45592</v>
      </c>
      <c r="R7" s="30">
        <v>45683</v>
      </c>
      <c r="S7" s="30">
        <v>45774</v>
      </c>
      <c r="T7" s="30">
        <v>45865</v>
      </c>
    </row>
    <row r="9" spans="1:20" ht="14.25" customHeight="1">
      <c r="A9" t="s">
        <v>110</v>
      </c>
      <c r="Q9" s="19"/>
      <c r="R9" s="19"/>
      <c r="S9" s="19"/>
      <c r="T9" s="19"/>
    </row>
    <row r="10" spans="1:20" ht="14.25" customHeight="1">
      <c r="A10" t="s">
        <v>111</v>
      </c>
    </row>
    <row r="11" spans="1:20" ht="14.25" customHeight="1">
      <c r="A11" t="s">
        <v>112</v>
      </c>
      <c r="B11" s="32">
        <v>847</v>
      </c>
      <c r="C11" s="32">
        <v>978</v>
      </c>
      <c r="D11" s="32">
        <v>5628</v>
      </c>
      <c r="E11" s="32">
        <v>1288</v>
      </c>
      <c r="F11" s="32">
        <v>1990</v>
      </c>
      <c r="G11" s="32">
        <v>3887</v>
      </c>
      <c r="H11" s="32">
        <v>3013</v>
      </c>
      <c r="I11" s="32">
        <v>2800</v>
      </c>
      <c r="J11" s="33">
        <v>3389</v>
      </c>
      <c r="K11" s="33">
        <v>5079</v>
      </c>
      <c r="L11" s="33">
        <v>5783</v>
      </c>
      <c r="M11" s="32">
        <v>5519</v>
      </c>
      <c r="N11" s="32">
        <v>7280</v>
      </c>
      <c r="O11" s="34">
        <v>7587</v>
      </c>
      <c r="P11" s="34">
        <v>8571</v>
      </c>
      <c r="Q11" s="34">
        <v>9107</v>
      </c>
      <c r="R11" s="34">
        <v>8589</v>
      </c>
      <c r="S11" s="34">
        <v>15234</v>
      </c>
      <c r="T11" s="34">
        <v>11639</v>
      </c>
    </row>
    <row r="12" spans="1:20" ht="14.25" customHeight="1">
      <c r="A12" t="s">
        <v>113</v>
      </c>
      <c r="B12" s="32">
        <v>10714</v>
      </c>
      <c r="C12" s="32">
        <v>11689</v>
      </c>
      <c r="D12" s="32">
        <v>14026</v>
      </c>
      <c r="E12" s="32">
        <v>18010</v>
      </c>
      <c r="F12" s="32">
        <v>19218</v>
      </c>
      <c r="G12" s="32">
        <v>16451</v>
      </c>
      <c r="H12" s="32">
        <v>14024</v>
      </c>
      <c r="I12" s="32">
        <v>10343</v>
      </c>
      <c r="J12" s="33">
        <v>9907</v>
      </c>
      <c r="K12" s="33">
        <v>10241</v>
      </c>
      <c r="L12" s="33">
        <v>10240</v>
      </c>
      <c r="M12" s="32">
        <v>12762</v>
      </c>
      <c r="N12" s="32">
        <v>18704</v>
      </c>
      <c r="O12" s="33">
        <v>23851</v>
      </c>
      <c r="P12" s="33">
        <v>26229</v>
      </c>
      <c r="Q12" s="19">
        <v>29380</v>
      </c>
      <c r="R12" s="19">
        <v>34621</v>
      </c>
      <c r="S12" s="19">
        <v>38457</v>
      </c>
      <c r="T12" s="19">
        <v>45152</v>
      </c>
    </row>
    <row r="13" spans="1:20" ht="14.25" customHeight="1">
      <c r="A13" t="s">
        <v>114</v>
      </c>
      <c r="B13" s="32">
        <v>2429</v>
      </c>
      <c r="C13" s="32">
        <v>3024</v>
      </c>
      <c r="D13" s="32">
        <v>3586</v>
      </c>
      <c r="E13" s="32">
        <v>3954</v>
      </c>
      <c r="F13" s="32">
        <v>4650</v>
      </c>
      <c r="G13" s="32">
        <v>5438</v>
      </c>
      <c r="H13" s="32">
        <v>5317</v>
      </c>
      <c r="I13" s="32">
        <v>4908</v>
      </c>
      <c r="J13" s="33">
        <v>3827</v>
      </c>
      <c r="K13" s="33">
        <v>4080</v>
      </c>
      <c r="L13" s="33">
        <v>7066</v>
      </c>
      <c r="M13" s="32">
        <v>8309</v>
      </c>
      <c r="N13" s="32">
        <v>9999</v>
      </c>
      <c r="O13" s="33">
        <v>12365</v>
      </c>
      <c r="P13" s="33">
        <v>14132</v>
      </c>
      <c r="Q13" s="33">
        <v>17693</v>
      </c>
      <c r="R13" s="33">
        <v>23065</v>
      </c>
      <c r="S13" s="33">
        <v>22132</v>
      </c>
      <c r="T13" s="33">
        <v>27808</v>
      </c>
    </row>
    <row r="14" spans="1:20" ht="14.25" customHeight="1">
      <c r="A14" t="s">
        <v>115</v>
      </c>
      <c r="B14" s="32">
        <v>1826</v>
      </c>
      <c r="C14" s="32">
        <v>1992</v>
      </c>
      <c r="D14" s="32">
        <v>2114</v>
      </c>
      <c r="E14" s="32">
        <v>2233</v>
      </c>
      <c r="F14" s="32">
        <v>2605</v>
      </c>
      <c r="G14" s="32">
        <v>3163</v>
      </c>
      <c r="H14" s="32">
        <v>3889</v>
      </c>
      <c r="I14" s="32">
        <v>4454</v>
      </c>
      <c r="J14" s="33">
        <v>5159</v>
      </c>
      <c r="K14" s="33">
        <v>4611</v>
      </c>
      <c r="L14" s="33">
        <v>4319</v>
      </c>
      <c r="M14" s="32">
        <v>4779</v>
      </c>
      <c r="N14" s="32">
        <v>5282</v>
      </c>
      <c r="O14" s="33">
        <v>5864</v>
      </c>
      <c r="P14" s="33">
        <v>6675</v>
      </c>
      <c r="Q14" s="33">
        <v>7654</v>
      </c>
      <c r="R14" s="33">
        <v>10080</v>
      </c>
      <c r="S14" s="33">
        <v>11333</v>
      </c>
      <c r="T14" s="33">
        <v>14962</v>
      </c>
    </row>
    <row r="15" spans="1:20" ht="14.25" customHeight="1">
      <c r="A15" t="s">
        <v>116</v>
      </c>
      <c r="B15" s="32">
        <v>239</v>
      </c>
      <c r="C15" s="32">
        <v>444</v>
      </c>
      <c r="D15" s="32">
        <v>452</v>
      </c>
      <c r="E15" s="32">
        <v>321</v>
      </c>
      <c r="F15" s="32">
        <v>366</v>
      </c>
      <c r="G15" s="32">
        <v>636</v>
      </c>
      <c r="H15" s="32">
        <v>1175</v>
      </c>
      <c r="I15" s="32">
        <v>718</v>
      </c>
      <c r="J15" s="33">
        <v>791</v>
      </c>
      <c r="K15" s="33">
        <v>872</v>
      </c>
      <c r="L15" s="33">
        <v>1389</v>
      </c>
      <c r="M15" s="32">
        <v>1289</v>
      </c>
      <c r="N15" s="32">
        <v>3080</v>
      </c>
      <c r="O15" s="19">
        <v>4062</v>
      </c>
      <c r="P15" s="19">
        <v>4026</v>
      </c>
      <c r="Q15" s="19">
        <v>3806</v>
      </c>
      <c r="R15" s="19">
        <v>3771</v>
      </c>
      <c r="S15" s="19">
        <v>2779</v>
      </c>
      <c r="T15" s="19">
        <v>2658</v>
      </c>
    </row>
    <row r="16" spans="1:20" ht="14.25" customHeight="1">
      <c r="A16" s="141" t="s">
        <v>117</v>
      </c>
      <c r="B16" s="35">
        <v>16055</v>
      </c>
      <c r="C16" s="35">
        <v>18127</v>
      </c>
      <c r="D16" s="35">
        <v>25806</v>
      </c>
      <c r="E16" s="35">
        <v>25806</v>
      </c>
      <c r="F16" s="35">
        <v>28829</v>
      </c>
      <c r="G16" s="35">
        <v>29575</v>
      </c>
      <c r="H16" s="35">
        <v>27418</v>
      </c>
      <c r="I16" s="35">
        <v>23223</v>
      </c>
      <c r="J16" s="36">
        <v>23073</v>
      </c>
      <c r="K16" s="36">
        <v>24883</v>
      </c>
      <c r="L16" s="36">
        <v>28797</v>
      </c>
      <c r="M16" s="35">
        <v>32658</v>
      </c>
      <c r="N16" s="35">
        <v>44345</v>
      </c>
      <c r="O16" s="144">
        <v>53729</v>
      </c>
      <c r="P16" s="144">
        <v>59633</v>
      </c>
      <c r="Q16" s="144">
        <v>67640</v>
      </c>
      <c r="R16" s="144">
        <v>80126</v>
      </c>
      <c r="S16" s="144">
        <v>89935</v>
      </c>
      <c r="T16" s="144">
        <v>102219</v>
      </c>
    </row>
    <row r="17" spans="1:20" ht="14.25" customHeight="1">
      <c r="A17" t="s">
        <v>118</v>
      </c>
      <c r="B17" s="32">
        <v>2149</v>
      </c>
      <c r="C17" s="32">
        <v>2268</v>
      </c>
      <c r="D17" s="32">
        <v>2364</v>
      </c>
      <c r="E17" s="32">
        <v>2509</v>
      </c>
      <c r="F17" s="32">
        <v>2778</v>
      </c>
      <c r="G17" s="32">
        <v>2916</v>
      </c>
      <c r="H17" s="32">
        <v>3233</v>
      </c>
      <c r="I17" s="32">
        <v>3774</v>
      </c>
      <c r="J17" s="33">
        <v>3807</v>
      </c>
      <c r="K17" s="33">
        <v>3740</v>
      </c>
      <c r="L17" s="33">
        <v>3799</v>
      </c>
      <c r="M17" s="32">
        <v>3844</v>
      </c>
      <c r="N17" s="32">
        <v>3914</v>
      </c>
      <c r="O17" s="33">
        <v>4006</v>
      </c>
      <c r="P17" s="33">
        <v>4885</v>
      </c>
      <c r="Q17" s="33">
        <v>5343</v>
      </c>
      <c r="R17" s="33">
        <v>6283</v>
      </c>
      <c r="S17" s="33">
        <v>7136</v>
      </c>
      <c r="T17" s="33">
        <v>9141</v>
      </c>
    </row>
    <row r="18" spans="1:20" ht="14.25" customHeight="1">
      <c r="A18" t="s">
        <v>119</v>
      </c>
      <c r="B18" s="32">
        <v>707</v>
      </c>
      <c r="C18" s="32">
        <v>727</v>
      </c>
      <c r="D18" s="32">
        <v>801</v>
      </c>
      <c r="E18" s="32">
        <v>830</v>
      </c>
      <c r="F18" s="32">
        <v>829</v>
      </c>
      <c r="G18" s="32">
        <v>856</v>
      </c>
      <c r="H18" s="32">
        <v>852</v>
      </c>
      <c r="I18" s="32">
        <v>927</v>
      </c>
      <c r="J18" s="33">
        <v>1038</v>
      </c>
      <c r="K18" s="33">
        <v>1094</v>
      </c>
      <c r="L18" s="33">
        <v>1235</v>
      </c>
      <c r="M18" s="32">
        <v>1316</v>
      </c>
      <c r="N18" s="32">
        <v>1346</v>
      </c>
      <c r="O18" s="33">
        <v>1532</v>
      </c>
      <c r="P18" s="33">
        <v>1556</v>
      </c>
      <c r="Q18" s="33">
        <v>1755</v>
      </c>
      <c r="R18" s="33">
        <v>1793</v>
      </c>
      <c r="S18" s="33">
        <v>1810</v>
      </c>
      <c r="T18" s="33">
        <v>2084</v>
      </c>
    </row>
    <row r="19" spans="1:20" ht="14.25" customHeight="1">
      <c r="A19" t="s">
        <v>120</v>
      </c>
      <c r="B19" s="32">
        <v>4193</v>
      </c>
      <c r="C19" s="32">
        <v>4193</v>
      </c>
      <c r="D19" s="32">
        <v>4193</v>
      </c>
      <c r="E19" s="32">
        <v>4302</v>
      </c>
      <c r="F19" s="32">
        <v>4349</v>
      </c>
      <c r="G19" s="32">
        <v>4365</v>
      </c>
      <c r="H19" s="32">
        <v>4372</v>
      </c>
      <c r="I19" s="32">
        <v>4372</v>
      </c>
      <c r="J19" s="33">
        <v>4372</v>
      </c>
      <c r="K19" s="33">
        <v>4430</v>
      </c>
      <c r="L19" s="33">
        <v>4430</v>
      </c>
      <c r="M19" s="32">
        <v>4430</v>
      </c>
      <c r="N19" s="32">
        <v>4430</v>
      </c>
      <c r="O19" s="33">
        <v>4453</v>
      </c>
      <c r="P19" s="33">
        <v>4622</v>
      </c>
      <c r="Q19" s="33">
        <v>4724</v>
      </c>
      <c r="R19" s="33">
        <v>5188</v>
      </c>
      <c r="S19" s="33">
        <v>5498</v>
      </c>
      <c r="T19" s="33">
        <v>5755</v>
      </c>
    </row>
    <row r="20" spans="1:20" ht="14.25" customHeight="1">
      <c r="A20" t="s">
        <v>121</v>
      </c>
      <c r="B20" s="32">
        <v>2737</v>
      </c>
      <c r="C20" s="32">
        <v>2613</v>
      </c>
      <c r="D20" s="32">
        <v>2478</v>
      </c>
      <c r="E20" s="32">
        <v>2454</v>
      </c>
      <c r="F20" s="32">
        <v>2339</v>
      </c>
      <c r="G20" s="32">
        <v>2211</v>
      </c>
      <c r="H20" s="32">
        <v>2036</v>
      </c>
      <c r="I20" s="32">
        <v>1850</v>
      </c>
      <c r="J20" s="33">
        <v>1676</v>
      </c>
      <c r="K20" s="33">
        <v>1541</v>
      </c>
      <c r="L20" s="33">
        <v>1395</v>
      </c>
      <c r="M20" s="32">
        <v>1251</v>
      </c>
      <c r="N20" s="32">
        <v>1112</v>
      </c>
      <c r="O20" s="33">
        <v>986</v>
      </c>
      <c r="P20" s="33">
        <v>952</v>
      </c>
      <c r="Q20" s="33">
        <v>838</v>
      </c>
      <c r="R20" s="33">
        <v>807</v>
      </c>
      <c r="S20" s="33">
        <v>769</v>
      </c>
      <c r="T20" s="33">
        <v>755</v>
      </c>
    </row>
    <row r="21" spans="1:20" ht="14.25" customHeight="1">
      <c r="A21" t="s">
        <v>122</v>
      </c>
      <c r="B21" s="32">
        <v>806</v>
      </c>
      <c r="C21" s="32">
        <v>778</v>
      </c>
      <c r="D21" s="32">
        <v>958</v>
      </c>
      <c r="E21" s="32">
        <v>970</v>
      </c>
      <c r="F21" s="32">
        <v>1222</v>
      </c>
      <c r="G21" s="32">
        <v>1784</v>
      </c>
      <c r="H21" s="32">
        <v>2225</v>
      </c>
      <c r="I21" s="32">
        <v>2762</v>
      </c>
      <c r="J21" s="33">
        <v>3396</v>
      </c>
      <c r="K21" s="33">
        <v>4568</v>
      </c>
      <c r="L21" s="33">
        <v>5398</v>
      </c>
      <c r="M21" s="32">
        <v>5982</v>
      </c>
      <c r="N21" s="32">
        <v>6081</v>
      </c>
      <c r="O21" s="33">
        <v>7798</v>
      </c>
      <c r="P21" s="33">
        <v>9578</v>
      </c>
      <c r="Q21" s="33">
        <v>10276</v>
      </c>
      <c r="R21" s="33">
        <v>10979</v>
      </c>
      <c r="S21" s="33">
        <v>13318</v>
      </c>
      <c r="T21" s="33">
        <v>13570</v>
      </c>
    </row>
    <row r="22" spans="1:20" ht="14.25" customHeight="1">
      <c r="A22" t="s">
        <v>123</v>
      </c>
      <c r="B22" s="32">
        <v>2144</v>
      </c>
      <c r="C22" s="32">
        <v>2090</v>
      </c>
      <c r="D22" s="32">
        <v>2050</v>
      </c>
      <c r="E22" s="32">
        <v>3761</v>
      </c>
      <c r="F22" s="32">
        <v>3841</v>
      </c>
      <c r="G22" s="32">
        <v>3505</v>
      </c>
      <c r="H22" s="32">
        <v>3340</v>
      </c>
      <c r="I22" s="32">
        <v>3580</v>
      </c>
      <c r="J22" s="33">
        <v>3820</v>
      </c>
      <c r="K22" s="33">
        <v>4204</v>
      </c>
      <c r="L22" s="33">
        <v>4501</v>
      </c>
      <c r="M22" s="32">
        <v>4667</v>
      </c>
      <c r="N22" s="32">
        <v>4500</v>
      </c>
      <c r="O22" s="19">
        <v>4568</v>
      </c>
      <c r="P22" s="19">
        <v>4001</v>
      </c>
      <c r="Q22" s="19">
        <v>5437</v>
      </c>
      <c r="R22" s="19">
        <v>6425</v>
      </c>
      <c r="S22" s="19">
        <v>6788</v>
      </c>
      <c r="T22" s="33">
        <v>7216</v>
      </c>
    </row>
    <row r="23" spans="1:20" ht="14.25" customHeight="1">
      <c r="A23" s="141" t="s">
        <v>124</v>
      </c>
      <c r="B23" s="35">
        <v>28791</v>
      </c>
      <c r="C23" s="35">
        <v>30796</v>
      </c>
      <c r="D23" s="35">
        <v>38650</v>
      </c>
      <c r="E23" s="35">
        <v>40632</v>
      </c>
      <c r="F23" s="35">
        <v>44187</v>
      </c>
      <c r="G23" s="35">
        <v>45212</v>
      </c>
      <c r="H23" s="35">
        <v>43476</v>
      </c>
      <c r="I23" s="35">
        <v>40488</v>
      </c>
      <c r="J23" s="36">
        <v>41182</v>
      </c>
      <c r="K23" s="36">
        <v>44460</v>
      </c>
      <c r="L23" s="36">
        <v>49555</v>
      </c>
      <c r="M23" s="35">
        <v>54148</v>
      </c>
      <c r="N23" s="35">
        <v>65728</v>
      </c>
      <c r="O23" s="144">
        <v>77072</v>
      </c>
      <c r="P23" s="144">
        <v>85227</v>
      </c>
      <c r="Q23" s="144">
        <v>96013</v>
      </c>
      <c r="R23" s="144">
        <v>111601</v>
      </c>
      <c r="S23" s="144">
        <v>125254</v>
      </c>
      <c r="T23" s="36">
        <v>140740</v>
      </c>
    </row>
    <row r="24" spans="1:20" ht="14.25" customHeight="1">
      <c r="B24" s="19"/>
      <c r="C24" s="34"/>
      <c r="D24" s="34"/>
      <c r="E24" s="34"/>
      <c r="F24" s="34"/>
      <c r="G24" s="34"/>
      <c r="H24" s="34"/>
      <c r="I24" s="34"/>
      <c r="J24" s="37"/>
      <c r="K24" s="37"/>
      <c r="L24" s="37"/>
      <c r="M24" s="37"/>
      <c r="N24" s="37"/>
      <c r="O24" s="19"/>
      <c r="P24" s="19"/>
      <c r="Q24" s="19"/>
      <c r="R24" s="19"/>
      <c r="S24" s="19"/>
      <c r="T24" s="19"/>
    </row>
    <row r="25" spans="1:20" ht="14.25" customHeight="1">
      <c r="A25" t="s">
        <v>125</v>
      </c>
      <c r="B25" s="32"/>
      <c r="C25" s="34"/>
      <c r="D25" s="34"/>
      <c r="E25" s="34"/>
      <c r="F25" s="34"/>
      <c r="G25" s="34"/>
      <c r="H25" s="34"/>
      <c r="I25" s="34"/>
      <c r="J25" s="37"/>
      <c r="K25" s="37"/>
      <c r="L25" s="37"/>
      <c r="M25" s="32"/>
      <c r="N25" s="32"/>
      <c r="O25" s="19"/>
      <c r="P25" s="19"/>
      <c r="Q25" s="19"/>
      <c r="R25" s="19"/>
      <c r="S25" s="19"/>
      <c r="T25" s="19"/>
    </row>
    <row r="26" spans="1:20" ht="14.25" customHeight="1">
      <c r="A26" t="s">
        <v>126</v>
      </c>
      <c r="B26" s="32"/>
      <c r="C26" s="34"/>
      <c r="D26" s="34"/>
      <c r="E26" s="34"/>
      <c r="F26" s="34"/>
      <c r="G26" s="34"/>
      <c r="H26" s="34"/>
      <c r="I26" s="34"/>
      <c r="J26" s="37"/>
      <c r="K26" s="37"/>
      <c r="L26" s="37"/>
      <c r="M26" s="32"/>
      <c r="N26" s="32"/>
      <c r="O26" s="19"/>
      <c r="P26" s="19"/>
      <c r="Q26" s="19"/>
      <c r="R26" s="19"/>
      <c r="S26" s="19"/>
      <c r="T26" s="19"/>
    </row>
    <row r="27" spans="1:20" ht="14.25" customHeight="1">
      <c r="A27" t="s">
        <v>127</v>
      </c>
      <c r="B27" s="32">
        <v>1201</v>
      </c>
      <c r="C27" s="32">
        <v>1218</v>
      </c>
      <c r="D27" s="32">
        <v>1474</v>
      </c>
      <c r="E27" s="32">
        <v>1664</v>
      </c>
      <c r="F27" s="32">
        <v>1783</v>
      </c>
      <c r="G27" s="32">
        <v>1999</v>
      </c>
      <c r="H27" s="32">
        <v>2421</v>
      </c>
      <c r="I27" s="32">
        <v>1491</v>
      </c>
      <c r="J27" s="33">
        <v>1193</v>
      </c>
      <c r="K27" s="33">
        <v>1141</v>
      </c>
      <c r="L27" s="33">
        <v>1929</v>
      </c>
      <c r="M27" s="32">
        <v>2380</v>
      </c>
      <c r="N27" s="32">
        <v>2699</v>
      </c>
      <c r="O27" s="33">
        <v>2715</v>
      </c>
      <c r="P27" s="33">
        <v>3680</v>
      </c>
      <c r="Q27" s="33">
        <v>5353</v>
      </c>
      <c r="R27" s="33">
        <v>6310</v>
      </c>
      <c r="S27" s="33">
        <v>7331</v>
      </c>
      <c r="T27" s="33">
        <v>9064</v>
      </c>
    </row>
    <row r="28" spans="1:20" ht="14.25" customHeight="1">
      <c r="A28" t="s">
        <v>128</v>
      </c>
      <c r="B28" s="32">
        <v>1725</v>
      </c>
      <c r="C28" s="32">
        <v>1787</v>
      </c>
      <c r="D28" s="32">
        <v>1974</v>
      </c>
      <c r="E28" s="32">
        <v>1948</v>
      </c>
      <c r="F28" s="32">
        <v>2552</v>
      </c>
      <c r="G28" s="32">
        <v>3563</v>
      </c>
      <c r="H28" s="32">
        <v>3903</v>
      </c>
      <c r="I28" s="32">
        <v>4115</v>
      </c>
      <c r="J28" s="33">
        <v>4120</v>
      </c>
      <c r="K28" s="33">
        <v>4869</v>
      </c>
      <c r="L28" s="33">
        <v>7156</v>
      </c>
      <c r="M28" s="32">
        <v>5472</v>
      </c>
      <c r="N28" s="32">
        <v>6682</v>
      </c>
      <c r="O28" s="33">
        <v>11258</v>
      </c>
      <c r="P28" s="33">
        <v>10289</v>
      </c>
      <c r="Q28" s="33">
        <v>11126</v>
      </c>
      <c r="R28" s="33">
        <v>11737</v>
      </c>
      <c r="S28" s="33">
        <v>19211</v>
      </c>
      <c r="T28" s="33">
        <v>15193</v>
      </c>
    </row>
    <row r="29" spans="1:20" ht="14.25" customHeight="1">
      <c r="A29" t="s">
        <v>129</v>
      </c>
      <c r="B29" s="32">
        <v>999</v>
      </c>
      <c r="C29" s="32">
        <v>999</v>
      </c>
      <c r="D29" s="32">
        <v>1000</v>
      </c>
      <c r="E29" s="33">
        <v>0</v>
      </c>
      <c r="F29" s="33">
        <v>0</v>
      </c>
      <c r="G29" s="33">
        <v>0</v>
      </c>
      <c r="H29" s="32">
        <v>1249</v>
      </c>
      <c r="I29" s="32">
        <v>1249</v>
      </c>
      <c r="J29" s="33">
        <v>1250</v>
      </c>
      <c r="K29" s="33">
        <v>1250</v>
      </c>
      <c r="L29" s="33">
        <v>1249</v>
      </c>
      <c r="M29" s="32">
        <v>1249</v>
      </c>
      <c r="N29" s="32">
        <v>1250</v>
      </c>
      <c r="O29" s="33">
        <v>1250</v>
      </c>
      <c r="P29" s="33">
        <v>0</v>
      </c>
      <c r="Q29" s="33">
        <v>0</v>
      </c>
      <c r="R29" s="33">
        <v>0</v>
      </c>
      <c r="S29" s="33">
        <v>0</v>
      </c>
      <c r="T29" s="33">
        <v>0</v>
      </c>
    </row>
    <row r="30" spans="1:20" ht="14.25" customHeight="1">
      <c r="A30" s="141" t="s">
        <v>130</v>
      </c>
      <c r="B30" s="35">
        <v>3925</v>
      </c>
      <c r="C30" s="35">
        <v>4004</v>
      </c>
      <c r="D30" s="35">
        <v>4448</v>
      </c>
      <c r="E30" s="35">
        <v>3612</v>
      </c>
      <c r="F30" s="35">
        <v>4335</v>
      </c>
      <c r="G30" s="35">
        <v>5562</v>
      </c>
      <c r="H30" s="35">
        <v>7573</v>
      </c>
      <c r="I30" s="35">
        <v>6855</v>
      </c>
      <c r="J30" s="36">
        <v>6563</v>
      </c>
      <c r="K30" s="36">
        <v>7260</v>
      </c>
      <c r="L30" s="36">
        <v>10334</v>
      </c>
      <c r="M30" s="35">
        <v>9101</v>
      </c>
      <c r="N30" s="35">
        <v>10631</v>
      </c>
      <c r="O30" s="36">
        <v>15223</v>
      </c>
      <c r="P30" s="144">
        <v>13969</v>
      </c>
      <c r="Q30" s="144">
        <v>16479</v>
      </c>
      <c r="R30" s="144">
        <v>18047</v>
      </c>
      <c r="S30" s="144">
        <v>26542</v>
      </c>
      <c r="T30" s="144">
        <v>24257</v>
      </c>
    </row>
    <row r="31" spans="1:20" ht="14.25" customHeight="1">
      <c r="A31" t="s">
        <v>131</v>
      </c>
      <c r="B31" s="32">
        <v>5964</v>
      </c>
      <c r="C31" s="32">
        <v>5964</v>
      </c>
      <c r="D31" s="32">
        <v>10943</v>
      </c>
      <c r="E31" s="32">
        <v>10944</v>
      </c>
      <c r="F31" s="32">
        <v>10946</v>
      </c>
      <c r="G31" s="32">
        <v>10947</v>
      </c>
      <c r="H31" s="32">
        <v>9700</v>
      </c>
      <c r="I31" s="32">
        <v>9701</v>
      </c>
      <c r="J31" s="33">
        <v>9703</v>
      </c>
      <c r="K31" s="33">
        <v>9704</v>
      </c>
      <c r="L31" s="33">
        <v>8456</v>
      </c>
      <c r="M31" s="32">
        <v>8457</v>
      </c>
      <c r="N31" s="32">
        <v>8459</v>
      </c>
      <c r="O31" s="33">
        <v>8460</v>
      </c>
      <c r="P31" s="33">
        <v>8461</v>
      </c>
      <c r="Q31" s="33">
        <v>8462</v>
      </c>
      <c r="R31" s="33">
        <v>8463</v>
      </c>
      <c r="S31" s="33">
        <v>8464</v>
      </c>
      <c r="T31" s="33">
        <v>8466</v>
      </c>
    </row>
    <row r="32" spans="1:20" ht="14.25" customHeight="1">
      <c r="A32" t="s">
        <v>132</v>
      </c>
      <c r="B32" s="32">
        <v>634</v>
      </c>
      <c r="C32" s="32">
        <v>640</v>
      </c>
      <c r="D32" s="32">
        <v>716</v>
      </c>
      <c r="E32" s="32">
        <v>743</v>
      </c>
      <c r="F32" s="32">
        <v>741</v>
      </c>
      <c r="G32" s="32">
        <v>752</v>
      </c>
      <c r="H32" s="32">
        <v>743</v>
      </c>
      <c r="I32" s="32">
        <v>798</v>
      </c>
      <c r="J32" s="33">
        <v>902</v>
      </c>
      <c r="K32" s="33">
        <v>939</v>
      </c>
      <c r="L32" s="33">
        <v>1041</v>
      </c>
      <c r="M32" s="32">
        <v>1091</v>
      </c>
      <c r="N32" s="32">
        <v>1119</v>
      </c>
      <c r="O32" s="33">
        <v>1281</v>
      </c>
      <c r="P32" s="33">
        <v>1304</v>
      </c>
      <c r="Q32" s="33">
        <v>1490</v>
      </c>
      <c r="R32" s="33">
        <v>1519</v>
      </c>
      <c r="S32" s="33">
        <v>1521</v>
      </c>
      <c r="T32" s="33">
        <v>1831</v>
      </c>
    </row>
    <row r="33" spans="1:20" ht="14.25" customHeight="1">
      <c r="A33" t="s">
        <v>133</v>
      </c>
      <c r="B33" s="32">
        <v>1375</v>
      </c>
      <c r="C33" s="32">
        <v>1414</v>
      </c>
      <c r="D33" s="32">
        <v>1396</v>
      </c>
      <c r="E33" s="32">
        <v>1535</v>
      </c>
      <c r="F33" s="32">
        <v>1553</v>
      </c>
      <c r="G33" s="32">
        <v>1631</v>
      </c>
      <c r="H33" s="32">
        <v>1609</v>
      </c>
      <c r="I33" s="32">
        <v>1785</v>
      </c>
      <c r="J33" s="33">
        <v>1913</v>
      </c>
      <c r="K33" s="33">
        <v>2037</v>
      </c>
      <c r="L33" s="33">
        <v>2223</v>
      </c>
      <c r="M33" s="32">
        <v>2234</v>
      </c>
      <c r="N33" s="32">
        <v>2541</v>
      </c>
      <c r="O33" s="19">
        <v>2966</v>
      </c>
      <c r="P33" s="19">
        <v>3336</v>
      </c>
      <c r="Q33" s="19">
        <v>3683</v>
      </c>
      <c r="R33" s="19">
        <v>4245</v>
      </c>
      <c r="S33" s="19">
        <v>4884</v>
      </c>
      <c r="T33" s="19">
        <v>6055</v>
      </c>
    </row>
    <row r="34" spans="1:20" ht="14.25" customHeight="1">
      <c r="A34" s="141" t="s">
        <v>134</v>
      </c>
      <c r="B34" s="35">
        <v>11898</v>
      </c>
      <c r="C34" s="35">
        <v>12022</v>
      </c>
      <c r="D34" s="35">
        <v>17503</v>
      </c>
      <c r="E34" s="35">
        <v>16834</v>
      </c>
      <c r="F34" s="35">
        <v>17575</v>
      </c>
      <c r="G34" s="35">
        <v>18892</v>
      </c>
      <c r="H34" s="35">
        <v>19625</v>
      </c>
      <c r="I34" s="35">
        <v>19139</v>
      </c>
      <c r="J34" s="36">
        <v>19081</v>
      </c>
      <c r="K34" s="36">
        <v>19940</v>
      </c>
      <c r="L34" s="36">
        <v>22054</v>
      </c>
      <c r="M34" s="35">
        <v>20883</v>
      </c>
      <c r="N34" s="35">
        <v>22750</v>
      </c>
      <c r="O34" s="144">
        <v>27930</v>
      </c>
      <c r="P34" s="144">
        <v>27070</v>
      </c>
      <c r="Q34" s="144">
        <v>30114</v>
      </c>
      <c r="R34" s="144">
        <v>32274</v>
      </c>
      <c r="S34" s="144">
        <v>41411</v>
      </c>
      <c r="T34" s="144">
        <v>40609</v>
      </c>
    </row>
    <row r="35" spans="1:20" ht="14.25" customHeight="1">
      <c r="B35" s="19"/>
      <c r="C35" s="19"/>
      <c r="D35" s="19"/>
      <c r="E35" s="19"/>
      <c r="F35" s="19"/>
      <c r="G35" s="19"/>
      <c r="H35" s="19"/>
      <c r="I35" s="19"/>
      <c r="J35" s="19"/>
      <c r="K35" s="19"/>
      <c r="L35" s="19"/>
      <c r="M35" s="19"/>
      <c r="N35" s="19"/>
      <c r="O35" s="19"/>
      <c r="P35" s="19"/>
      <c r="Q35" s="19"/>
      <c r="R35" s="19"/>
      <c r="S35" s="19"/>
      <c r="T35" s="19"/>
    </row>
    <row r="36" spans="1:20" ht="14.25" customHeight="1">
      <c r="A36" t="s">
        <v>135</v>
      </c>
      <c r="B36" s="32"/>
      <c r="C36" s="34"/>
      <c r="D36" s="19"/>
      <c r="E36" s="34"/>
      <c r="F36" s="34"/>
      <c r="G36" s="34"/>
      <c r="H36" s="34"/>
      <c r="I36" s="34"/>
      <c r="J36" s="37"/>
      <c r="K36" s="37"/>
      <c r="L36" s="37"/>
      <c r="M36" s="32"/>
      <c r="N36" s="37"/>
      <c r="O36" s="19"/>
      <c r="P36" s="19"/>
      <c r="Q36" s="19"/>
      <c r="R36" s="19"/>
      <c r="S36" s="19"/>
      <c r="T36" s="19"/>
    </row>
    <row r="37" spans="1:20" ht="14.25" customHeight="1">
      <c r="A37" t="s">
        <v>136</v>
      </c>
      <c r="B37" s="19"/>
      <c r="C37" s="34"/>
      <c r="D37" s="19"/>
      <c r="E37" s="34"/>
      <c r="F37" s="34"/>
      <c r="G37" s="34"/>
      <c r="H37" s="34"/>
      <c r="I37" s="34"/>
      <c r="J37" s="37"/>
      <c r="K37" s="37"/>
      <c r="L37" s="37"/>
      <c r="M37" s="32"/>
      <c r="N37" s="37"/>
      <c r="O37" s="19"/>
      <c r="P37" s="19"/>
      <c r="Q37" s="19"/>
      <c r="R37" s="19"/>
      <c r="S37" s="19"/>
      <c r="T37" s="19"/>
    </row>
    <row r="38" spans="1:20" ht="14.25" customHeight="1">
      <c r="A38" t="s">
        <v>137</v>
      </c>
      <c r="B38" s="33" t="s">
        <v>96</v>
      </c>
      <c r="C38" s="33" t="s">
        <v>96</v>
      </c>
      <c r="D38" s="33" t="s">
        <v>96</v>
      </c>
      <c r="E38" s="33" t="s">
        <v>96</v>
      </c>
      <c r="F38" s="33" t="s">
        <v>96</v>
      </c>
      <c r="G38" s="33" t="s">
        <v>96</v>
      </c>
      <c r="H38" s="33" t="s">
        <v>96</v>
      </c>
      <c r="I38" s="33" t="s">
        <v>96</v>
      </c>
      <c r="J38" s="33" t="s">
        <v>96</v>
      </c>
      <c r="K38" s="33" t="s">
        <v>96</v>
      </c>
      <c r="L38" s="33" t="s">
        <v>96</v>
      </c>
      <c r="M38" s="33" t="s">
        <v>96</v>
      </c>
      <c r="N38" s="33" t="s">
        <v>96</v>
      </c>
      <c r="O38" s="33" t="s">
        <v>96</v>
      </c>
      <c r="P38" s="33" t="s">
        <v>96</v>
      </c>
      <c r="Q38" s="33" t="s">
        <v>96</v>
      </c>
      <c r="R38" s="33" t="s">
        <v>96</v>
      </c>
      <c r="S38" s="33" t="s">
        <v>96</v>
      </c>
      <c r="T38" s="33" t="s">
        <v>96</v>
      </c>
    </row>
    <row r="39" spans="1:20" ht="14.25" customHeight="1">
      <c r="A39" t="s">
        <v>138</v>
      </c>
      <c r="B39" s="32">
        <v>3</v>
      </c>
      <c r="C39" s="32">
        <v>1</v>
      </c>
      <c r="D39" s="32">
        <v>3</v>
      </c>
      <c r="E39" s="32">
        <v>3</v>
      </c>
      <c r="F39" s="32">
        <v>3</v>
      </c>
      <c r="G39" s="32">
        <v>3</v>
      </c>
      <c r="H39" s="32">
        <v>2</v>
      </c>
      <c r="I39" s="32">
        <v>2</v>
      </c>
      <c r="J39" s="33">
        <v>2</v>
      </c>
      <c r="K39" s="33">
        <v>2</v>
      </c>
      <c r="L39" s="33">
        <v>2</v>
      </c>
      <c r="M39" s="32">
        <v>2</v>
      </c>
      <c r="N39" s="32">
        <v>2</v>
      </c>
      <c r="O39" s="19">
        <v>2</v>
      </c>
      <c r="P39" s="19">
        <v>25</v>
      </c>
      <c r="Q39" s="19">
        <v>25</v>
      </c>
      <c r="R39" s="19">
        <v>24</v>
      </c>
      <c r="S39" s="19">
        <v>24</v>
      </c>
      <c r="T39" s="19">
        <v>24</v>
      </c>
    </row>
    <row r="40" spans="1:20" ht="14.25" customHeight="1">
      <c r="A40" t="s">
        <v>139</v>
      </c>
      <c r="B40" s="32">
        <v>8719</v>
      </c>
      <c r="C40" s="32">
        <v>9280</v>
      </c>
      <c r="D40" s="32">
        <v>9745</v>
      </c>
      <c r="E40" s="32">
        <v>10465</v>
      </c>
      <c r="F40" s="32">
        <v>10385</v>
      </c>
      <c r="G40" s="32">
        <v>10623</v>
      </c>
      <c r="H40" s="32">
        <v>10968</v>
      </c>
      <c r="I40" s="32">
        <v>11565</v>
      </c>
      <c r="J40" s="33">
        <v>11971</v>
      </c>
      <c r="K40" s="33">
        <v>12453</v>
      </c>
      <c r="L40" s="33">
        <v>12629</v>
      </c>
      <c r="M40" s="32">
        <v>12991</v>
      </c>
      <c r="N40" s="32">
        <v>13132</v>
      </c>
      <c r="O40" s="19">
        <v>12651</v>
      </c>
      <c r="P40" s="19">
        <v>12115</v>
      </c>
      <c r="Q40" s="19">
        <v>11821</v>
      </c>
      <c r="R40" s="19">
        <v>11237</v>
      </c>
      <c r="S40" s="19">
        <v>11475</v>
      </c>
      <c r="T40" s="19">
        <v>11200</v>
      </c>
    </row>
    <row r="41" spans="1:20" ht="14.25" customHeight="1">
      <c r="A41" t="s">
        <v>140</v>
      </c>
      <c r="B41" s="32">
        <v>19</v>
      </c>
      <c r="C41" s="32">
        <v>14</v>
      </c>
      <c r="D41" s="32">
        <v>8</v>
      </c>
      <c r="E41" s="32">
        <v>9</v>
      </c>
      <c r="F41" s="32">
        <v>-11</v>
      </c>
      <c r="G41" s="32">
        <v>-64</v>
      </c>
      <c r="H41" s="32">
        <v>-90</v>
      </c>
      <c r="I41" s="32">
        <v>-123</v>
      </c>
      <c r="J41" s="33">
        <v>-43</v>
      </c>
      <c r="K41" s="33">
        <v>-50</v>
      </c>
      <c r="L41" s="33">
        <v>-51</v>
      </c>
      <c r="M41" s="32">
        <v>-88</v>
      </c>
      <c r="N41" s="32">
        <v>27</v>
      </c>
      <c r="O41" s="19">
        <v>-109</v>
      </c>
      <c r="P41" s="19">
        <v>56</v>
      </c>
      <c r="Q41" s="19">
        <v>103</v>
      </c>
      <c r="R41" s="19">
        <v>28</v>
      </c>
      <c r="S41" s="19">
        <v>186</v>
      </c>
      <c r="T41" s="19">
        <v>170</v>
      </c>
    </row>
    <row r="42" spans="1:20" ht="14.25" customHeight="1">
      <c r="A42" t="s">
        <v>141</v>
      </c>
      <c r="B42" s="32">
        <v>18908</v>
      </c>
      <c r="C42" s="32">
        <v>20721</v>
      </c>
      <c r="D42" s="32">
        <v>22995</v>
      </c>
      <c r="E42" s="32">
        <v>25359</v>
      </c>
      <c r="F42" s="32">
        <v>16235</v>
      </c>
      <c r="G42" s="32">
        <v>15758</v>
      </c>
      <c r="H42" s="32">
        <v>12971</v>
      </c>
      <c r="I42" s="32">
        <v>9905</v>
      </c>
      <c r="J42" s="33">
        <v>10171</v>
      </c>
      <c r="K42" s="33">
        <v>12115</v>
      </c>
      <c r="L42" s="33">
        <v>14921</v>
      </c>
      <c r="M42" s="32">
        <v>20360</v>
      </c>
      <c r="N42" s="32">
        <v>29817</v>
      </c>
      <c r="O42" s="19">
        <v>36598</v>
      </c>
      <c r="P42" s="19">
        <v>45961</v>
      </c>
      <c r="Q42" s="19">
        <v>53950</v>
      </c>
      <c r="R42" s="19">
        <v>68038</v>
      </c>
      <c r="S42" s="19">
        <v>72158</v>
      </c>
      <c r="T42" s="19">
        <v>88737</v>
      </c>
    </row>
    <row r="43" spans="1:20" ht="14.25" customHeight="1">
      <c r="A43" t="s">
        <v>142</v>
      </c>
      <c r="B43" s="32">
        <v>16893</v>
      </c>
      <c r="C43" s="32">
        <v>18774</v>
      </c>
      <c r="D43" s="32">
        <v>21147</v>
      </c>
      <c r="E43" s="32">
        <v>23798</v>
      </c>
      <c r="F43" s="32">
        <v>26612</v>
      </c>
      <c r="G43" s="32">
        <v>26320</v>
      </c>
      <c r="H43" s="32">
        <v>23851</v>
      </c>
      <c r="I43" s="32">
        <v>21349</v>
      </c>
      <c r="J43" s="33">
        <v>22101</v>
      </c>
      <c r="K43" s="33">
        <v>24520</v>
      </c>
      <c r="L43" s="33">
        <v>27501</v>
      </c>
      <c r="M43" s="32">
        <v>33265</v>
      </c>
      <c r="N43" s="32">
        <v>42978</v>
      </c>
      <c r="O43" s="19">
        <v>49142</v>
      </c>
      <c r="P43" s="19">
        <v>58157</v>
      </c>
      <c r="Q43" s="19">
        <v>65899</v>
      </c>
      <c r="R43" s="19">
        <v>79327</v>
      </c>
      <c r="S43" s="19">
        <v>83843</v>
      </c>
      <c r="T43" s="19">
        <v>100131</v>
      </c>
    </row>
    <row r="44" spans="1:20" ht="14.25" customHeight="1">
      <c r="A44" s="141" t="s">
        <v>143</v>
      </c>
      <c r="B44" s="35">
        <v>28791</v>
      </c>
      <c r="C44" s="35">
        <v>30796</v>
      </c>
      <c r="D44" s="35">
        <v>38650</v>
      </c>
      <c r="E44" s="35">
        <v>40632</v>
      </c>
      <c r="F44" s="35">
        <v>44187</v>
      </c>
      <c r="G44" s="35">
        <v>45212</v>
      </c>
      <c r="H44" s="35">
        <v>43476</v>
      </c>
      <c r="I44" s="35">
        <v>40488</v>
      </c>
      <c r="J44" s="36">
        <v>41182</v>
      </c>
      <c r="K44" s="36">
        <v>44460</v>
      </c>
      <c r="L44" s="36">
        <v>49555</v>
      </c>
      <c r="M44" s="35">
        <v>54148</v>
      </c>
      <c r="N44" s="35">
        <v>65728</v>
      </c>
      <c r="O44" s="144">
        <v>77072</v>
      </c>
      <c r="P44" s="144">
        <v>85227</v>
      </c>
      <c r="Q44" s="144">
        <v>96013</v>
      </c>
      <c r="R44" s="144">
        <v>111601</v>
      </c>
      <c r="S44" s="144">
        <v>125254</v>
      </c>
      <c r="T44" s="144">
        <v>140740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5"/>
  <sheetViews>
    <sheetView showGridLines="0" workbookViewId="0"/>
  </sheetViews>
  <sheetFormatPr defaultColWidth="8.7109375" defaultRowHeight="14.25"/>
  <cols>
    <col min="1" max="1" width="50.7109375" customWidth="1"/>
    <col min="2" max="19" width="11" customWidth="1"/>
  </cols>
  <sheetData>
    <row r="1" spans="1:19" ht="4.5" customHeight="1">
      <c r="S1" s="38"/>
    </row>
    <row r="2" spans="1:19" ht="21.75" customHeight="1">
      <c r="A2" s="14" t="s">
        <v>32</v>
      </c>
      <c r="L2" s="16"/>
      <c r="M2" s="16"/>
      <c r="N2" s="16"/>
      <c r="O2" s="17"/>
      <c r="P2" s="17"/>
      <c r="Q2" s="17"/>
      <c r="R2" s="17"/>
      <c r="S2" s="17"/>
    </row>
    <row r="3" spans="1:19" ht="14.25" customHeight="1">
      <c r="A3" s="27" t="s">
        <v>83</v>
      </c>
      <c r="L3" s="16"/>
      <c r="M3" s="16"/>
      <c r="N3" s="16"/>
      <c r="O3" s="17"/>
      <c r="P3" s="17"/>
      <c r="Q3" s="17"/>
      <c r="R3" s="17"/>
      <c r="S3" s="17"/>
    </row>
    <row r="5" spans="1:19" ht="14.25" customHeight="1">
      <c r="A5" s="139"/>
      <c r="B5" s="28"/>
      <c r="C5" s="28"/>
      <c r="D5" s="28"/>
      <c r="E5" s="28"/>
      <c r="F5" s="28"/>
      <c r="H5" s="28"/>
      <c r="I5" s="28"/>
      <c r="J5" s="28"/>
    </row>
    <row r="6" spans="1:19" ht="14.25" customHeight="1">
      <c r="A6" t="s">
        <v>84</v>
      </c>
      <c r="B6" s="137" t="s">
        <v>59</v>
      </c>
      <c r="C6" s="137" t="s">
        <v>60</v>
      </c>
      <c r="D6" s="137" t="s">
        <v>61</v>
      </c>
      <c r="E6" s="137" t="s">
        <v>62</v>
      </c>
      <c r="F6" s="140" t="s">
        <v>63</v>
      </c>
      <c r="G6" s="140" t="s">
        <v>64</v>
      </c>
      <c r="H6" s="137" t="s">
        <v>65</v>
      </c>
      <c r="I6" s="137" t="s">
        <v>66</v>
      </c>
      <c r="J6" s="140" t="s">
        <v>67</v>
      </c>
      <c r="K6" s="140" t="s">
        <v>68</v>
      </c>
      <c r="L6" s="140" t="s">
        <v>69</v>
      </c>
      <c r="M6" s="140" t="s">
        <v>70</v>
      </c>
      <c r="N6" s="140" t="s">
        <v>77</v>
      </c>
      <c r="O6" s="140" t="s">
        <v>78</v>
      </c>
      <c r="P6" s="140" t="s">
        <v>79</v>
      </c>
      <c r="Q6" s="140" t="s">
        <v>85</v>
      </c>
      <c r="R6" s="140" t="s">
        <v>86</v>
      </c>
      <c r="S6" s="140" t="s">
        <v>87</v>
      </c>
    </row>
    <row r="7" spans="1:19" ht="14.25" customHeight="1">
      <c r="A7" s="29" t="s">
        <v>88</v>
      </c>
      <c r="B7" s="30">
        <v>44318</v>
      </c>
      <c r="C7" s="30">
        <v>44409</v>
      </c>
      <c r="D7" s="30">
        <v>44500</v>
      </c>
      <c r="E7" s="30">
        <v>44591</v>
      </c>
      <c r="F7" s="30">
        <v>44682</v>
      </c>
      <c r="G7" s="30">
        <v>44773</v>
      </c>
      <c r="H7" s="30">
        <v>44864</v>
      </c>
      <c r="I7" s="30">
        <v>44955</v>
      </c>
      <c r="J7" s="30">
        <v>45046</v>
      </c>
      <c r="K7" s="30">
        <v>45137</v>
      </c>
      <c r="L7" s="30">
        <v>45228</v>
      </c>
      <c r="M7" s="30">
        <v>45319</v>
      </c>
      <c r="N7" s="30">
        <v>45410</v>
      </c>
      <c r="O7" s="30">
        <v>45501</v>
      </c>
      <c r="P7" s="30">
        <v>45592</v>
      </c>
      <c r="Q7" s="30">
        <v>45683</v>
      </c>
      <c r="R7" s="30">
        <v>45774</v>
      </c>
      <c r="S7" s="30">
        <v>45865</v>
      </c>
    </row>
    <row r="9" spans="1:19" ht="14.25" customHeight="1">
      <c r="A9" t="s">
        <v>144</v>
      </c>
    </row>
    <row r="10" spans="1:19" ht="14.25" customHeight="1">
      <c r="A10" t="s">
        <v>105</v>
      </c>
      <c r="B10" s="19">
        <v>1912</v>
      </c>
      <c r="C10" s="19">
        <v>4285</v>
      </c>
      <c r="D10" s="19">
        <v>6749</v>
      </c>
      <c r="E10" s="19">
        <v>9752</v>
      </c>
      <c r="F10" s="19">
        <v>1618</v>
      </c>
      <c r="G10" s="19">
        <v>2274</v>
      </c>
      <c r="H10" s="19">
        <v>2954</v>
      </c>
      <c r="I10" s="19">
        <v>4368</v>
      </c>
      <c r="J10" s="19">
        <v>2043</v>
      </c>
      <c r="K10" s="19">
        <v>8232</v>
      </c>
      <c r="L10" s="19">
        <v>17475</v>
      </c>
      <c r="M10" s="19">
        <v>29760</v>
      </c>
      <c r="N10" s="19">
        <v>14881</v>
      </c>
      <c r="O10" s="19">
        <v>31480</v>
      </c>
      <c r="P10" s="19">
        <v>50789</v>
      </c>
      <c r="Q10" s="19">
        <v>72880</v>
      </c>
      <c r="R10" s="19">
        <v>18775</v>
      </c>
      <c r="S10" s="19">
        <v>45197</v>
      </c>
    </row>
    <row r="11" spans="1:19" ht="28.5" customHeight="1">
      <c r="A11" s="13" t="s">
        <v>145</v>
      </c>
      <c r="B11" s="19"/>
      <c r="C11" s="19"/>
      <c r="D11" s="19"/>
      <c r="E11" s="19"/>
      <c r="F11" s="19"/>
      <c r="G11" s="19"/>
      <c r="H11" s="19"/>
      <c r="I11" s="19"/>
      <c r="J11" s="19"/>
      <c r="K11" s="19"/>
      <c r="L11" s="19"/>
      <c r="M11" s="19"/>
      <c r="N11" s="19"/>
      <c r="O11" s="19"/>
      <c r="P11" s="19"/>
      <c r="Q11" s="19"/>
      <c r="R11" s="19"/>
      <c r="S11" s="19"/>
    </row>
    <row r="12" spans="1:19" ht="14.25" customHeight="1">
      <c r="A12" t="s">
        <v>95</v>
      </c>
      <c r="B12" s="39" t="s">
        <v>96</v>
      </c>
      <c r="C12" s="39" t="s">
        <v>96</v>
      </c>
      <c r="D12" s="39" t="s">
        <v>96</v>
      </c>
      <c r="E12" s="39" t="s">
        <v>96</v>
      </c>
      <c r="F12" s="19">
        <v>1353</v>
      </c>
      <c r="G12" s="19">
        <v>1353</v>
      </c>
      <c r="H12" s="19">
        <v>1353</v>
      </c>
      <c r="I12" s="19">
        <v>1353</v>
      </c>
      <c r="J12" s="39" t="s">
        <v>96</v>
      </c>
      <c r="K12" s="39" t="s">
        <v>96</v>
      </c>
      <c r="L12" s="39" t="s">
        <v>96</v>
      </c>
      <c r="M12" s="39" t="s">
        <v>96</v>
      </c>
      <c r="N12" s="39" t="s">
        <v>96</v>
      </c>
      <c r="O12" s="39" t="s">
        <v>96</v>
      </c>
      <c r="P12" s="39" t="s">
        <v>96</v>
      </c>
      <c r="Q12" s="39" t="s">
        <v>96</v>
      </c>
      <c r="R12" s="39" t="s">
        <v>96</v>
      </c>
      <c r="S12" s="39" t="s">
        <v>96</v>
      </c>
    </row>
    <row r="13" spans="1:19" ht="14.25" customHeight="1">
      <c r="A13" t="s">
        <v>146</v>
      </c>
      <c r="B13" s="19">
        <v>429</v>
      </c>
      <c r="C13" s="19">
        <v>894</v>
      </c>
      <c r="D13" s="19">
        <v>1453</v>
      </c>
      <c r="E13" s="19">
        <v>2004</v>
      </c>
      <c r="F13" s="19">
        <v>578</v>
      </c>
      <c r="G13" s="19">
        <v>1226</v>
      </c>
      <c r="H13" s="19">
        <v>1971</v>
      </c>
      <c r="I13" s="19">
        <v>2709</v>
      </c>
      <c r="J13" s="19">
        <v>735</v>
      </c>
      <c r="K13" s="19">
        <v>1576</v>
      </c>
      <c r="L13" s="19">
        <v>2555</v>
      </c>
      <c r="M13" s="19">
        <v>3549</v>
      </c>
      <c r="N13" s="19">
        <v>1011</v>
      </c>
      <c r="O13" s="19">
        <v>2164</v>
      </c>
      <c r="P13" s="19">
        <v>3416</v>
      </c>
      <c r="Q13" s="19">
        <v>4737</v>
      </c>
      <c r="R13" s="19">
        <v>1474</v>
      </c>
      <c r="S13" s="19">
        <v>3099</v>
      </c>
    </row>
    <row r="14" spans="1:19" ht="14.25" customHeight="1">
      <c r="A14" t="s">
        <v>147</v>
      </c>
      <c r="B14" s="19">
        <v>281</v>
      </c>
      <c r="C14" s="19">
        <v>567</v>
      </c>
      <c r="D14" s="19">
        <v>865</v>
      </c>
      <c r="E14" s="19">
        <v>1174</v>
      </c>
      <c r="F14" s="19">
        <v>334</v>
      </c>
      <c r="G14" s="19">
        <v>712</v>
      </c>
      <c r="H14" s="19">
        <v>1118</v>
      </c>
      <c r="I14" s="19">
        <v>1544</v>
      </c>
      <c r="J14" s="19">
        <v>384</v>
      </c>
      <c r="K14" s="19">
        <v>749</v>
      </c>
      <c r="L14" s="19">
        <v>1121</v>
      </c>
      <c r="M14" s="19">
        <v>1508</v>
      </c>
      <c r="N14" s="19">
        <v>410</v>
      </c>
      <c r="O14" s="19">
        <v>843</v>
      </c>
      <c r="P14" s="19">
        <v>1321</v>
      </c>
      <c r="Q14" s="19">
        <v>1864</v>
      </c>
      <c r="R14" s="19">
        <v>611</v>
      </c>
      <c r="S14" s="19">
        <v>1280</v>
      </c>
    </row>
    <row r="15" spans="1:19" ht="14.25" customHeight="1">
      <c r="A15" t="s">
        <v>148</v>
      </c>
      <c r="B15" s="19">
        <v>24</v>
      </c>
      <c r="C15" s="19">
        <v>-161</v>
      </c>
      <c r="D15" s="19">
        <v>-182</v>
      </c>
      <c r="E15" s="19">
        <v>-406</v>
      </c>
      <c r="F15" s="19">
        <v>-542</v>
      </c>
      <c r="G15" s="19">
        <v>-985</v>
      </c>
      <c r="H15" s="19">
        <v>-1517</v>
      </c>
      <c r="I15" s="19">
        <v>-2164</v>
      </c>
      <c r="J15" s="19">
        <v>-1135</v>
      </c>
      <c r="K15" s="19">
        <v>-1881</v>
      </c>
      <c r="L15" s="19">
        <v>-2411</v>
      </c>
      <c r="M15" s="19">
        <v>-2489</v>
      </c>
      <c r="N15" s="19">
        <v>-1577</v>
      </c>
      <c r="O15" s="19">
        <v>-3276</v>
      </c>
      <c r="P15" s="19">
        <v>-3879</v>
      </c>
      <c r="Q15" s="19">
        <v>-4477</v>
      </c>
      <c r="R15" s="19">
        <v>-2177</v>
      </c>
      <c r="S15" s="19">
        <v>-2160</v>
      </c>
    </row>
    <row r="16" spans="1:19" ht="14.25" customHeight="1">
      <c r="A16" t="s">
        <v>149</v>
      </c>
      <c r="B16" s="19">
        <v>-133</v>
      </c>
      <c r="C16" s="19">
        <v>-133</v>
      </c>
      <c r="D16" s="19">
        <v>-152</v>
      </c>
      <c r="E16" s="19">
        <v>-100</v>
      </c>
      <c r="F16" s="19">
        <v>17</v>
      </c>
      <c r="G16" s="19">
        <v>24</v>
      </c>
      <c r="H16" s="19">
        <v>35</v>
      </c>
      <c r="I16" s="19">
        <v>45</v>
      </c>
      <c r="J16" s="19">
        <v>14</v>
      </c>
      <c r="K16" s="19">
        <v>-45</v>
      </c>
      <c r="L16" s="19">
        <v>24</v>
      </c>
      <c r="M16" s="19">
        <v>-238</v>
      </c>
      <c r="N16" s="19">
        <v>-69</v>
      </c>
      <c r="O16" s="19">
        <v>-264</v>
      </c>
      <c r="P16" s="19">
        <v>-302</v>
      </c>
      <c r="Q16" s="19">
        <v>-1030</v>
      </c>
      <c r="R16" s="19">
        <v>175</v>
      </c>
      <c r="S16" s="19">
        <v>-2073</v>
      </c>
    </row>
    <row r="17" spans="1:19" ht="14.25" customHeight="1">
      <c r="A17" t="s">
        <v>150</v>
      </c>
      <c r="B17" s="19">
        <v>-3</v>
      </c>
      <c r="C17" s="19">
        <v>16</v>
      </c>
      <c r="D17" s="19">
        <v>25</v>
      </c>
      <c r="E17" s="19">
        <v>47</v>
      </c>
      <c r="F17" s="19">
        <v>23</v>
      </c>
      <c r="G17" s="19">
        <v>18</v>
      </c>
      <c r="H17" s="19">
        <v>-27</v>
      </c>
      <c r="I17" s="19">
        <v>-7</v>
      </c>
      <c r="J17" s="19">
        <v>-34</v>
      </c>
      <c r="K17" s="19">
        <v>-102</v>
      </c>
      <c r="L17" s="19">
        <v>-170</v>
      </c>
      <c r="M17" s="19">
        <v>-278</v>
      </c>
      <c r="N17" s="19">
        <v>-145</v>
      </c>
      <c r="O17" s="19">
        <v>-288</v>
      </c>
      <c r="P17" s="19">
        <v>-365</v>
      </c>
      <c r="Q17" s="19">
        <v>-502</v>
      </c>
      <c r="R17" s="19">
        <v>-98</v>
      </c>
      <c r="S17" s="19">
        <v>-196</v>
      </c>
    </row>
    <row r="18" spans="1:19" ht="27.75" customHeight="1">
      <c r="A18" s="13" t="s">
        <v>151</v>
      </c>
      <c r="B18" s="19"/>
      <c r="C18" s="19"/>
      <c r="D18" s="19"/>
      <c r="E18" s="19"/>
      <c r="F18" s="19"/>
      <c r="G18" s="19"/>
      <c r="H18" s="19"/>
      <c r="I18" s="19"/>
      <c r="J18" s="19"/>
      <c r="K18" s="19"/>
      <c r="L18" s="19"/>
      <c r="M18" s="19"/>
      <c r="N18" s="19"/>
      <c r="O18" s="19"/>
      <c r="P18" s="19"/>
      <c r="Q18" s="19"/>
      <c r="R18" s="19"/>
      <c r="S18" s="19"/>
    </row>
    <row r="19" spans="1:19" ht="14.25" customHeight="1">
      <c r="A19" t="s">
        <v>152</v>
      </c>
      <c r="B19" s="19">
        <v>-595</v>
      </c>
      <c r="C19" s="19">
        <v>-1157</v>
      </c>
      <c r="D19" s="19">
        <v>-1523</v>
      </c>
      <c r="E19" s="19">
        <v>-2215</v>
      </c>
      <c r="F19" s="19">
        <v>-788</v>
      </c>
      <c r="G19" s="19">
        <v>-668</v>
      </c>
      <c r="H19" s="19">
        <v>-258</v>
      </c>
      <c r="I19" s="19">
        <v>822</v>
      </c>
      <c r="J19" s="19">
        <v>-252</v>
      </c>
      <c r="K19" s="19">
        <v>-3239</v>
      </c>
      <c r="L19" s="19">
        <v>-4482</v>
      </c>
      <c r="M19" s="19">
        <v>-6172</v>
      </c>
      <c r="N19" s="19">
        <v>-2366</v>
      </c>
      <c r="O19" s="19">
        <v>-4133</v>
      </c>
      <c r="P19" s="19">
        <v>-7694</v>
      </c>
      <c r="Q19" s="19">
        <v>-13063</v>
      </c>
      <c r="R19" s="19">
        <v>933</v>
      </c>
      <c r="S19" s="19">
        <v>-4743</v>
      </c>
    </row>
    <row r="20" spans="1:19" ht="14.25" customHeight="1">
      <c r="A20" t="s">
        <v>115</v>
      </c>
      <c r="B20" s="19">
        <v>-159</v>
      </c>
      <c r="C20" s="19">
        <v>-282</v>
      </c>
      <c r="D20" s="19">
        <v>-400</v>
      </c>
      <c r="E20" s="19">
        <v>-774</v>
      </c>
      <c r="F20" s="19">
        <v>-560</v>
      </c>
      <c r="G20" s="19">
        <v>-1285</v>
      </c>
      <c r="H20" s="19">
        <v>-1848</v>
      </c>
      <c r="I20" s="19">
        <v>-2554</v>
      </c>
      <c r="J20" s="19">
        <v>566</v>
      </c>
      <c r="K20" s="19">
        <v>861</v>
      </c>
      <c r="L20" s="19">
        <v>405</v>
      </c>
      <c r="M20" s="19">
        <v>-98</v>
      </c>
      <c r="N20" s="19">
        <v>-577</v>
      </c>
      <c r="O20" s="19">
        <v>-1380</v>
      </c>
      <c r="P20" s="19">
        <v>-2357</v>
      </c>
      <c r="Q20" s="19">
        <v>-4781</v>
      </c>
      <c r="R20" s="19">
        <v>-1258</v>
      </c>
      <c r="S20" s="19">
        <v>-4880</v>
      </c>
    </row>
    <row r="21" spans="1:19" ht="14.25" customHeight="1">
      <c r="A21" t="s">
        <v>153</v>
      </c>
      <c r="B21" s="19">
        <v>2</v>
      </c>
      <c r="C21" s="19">
        <v>18</v>
      </c>
      <c r="D21" s="19">
        <v>-1557</v>
      </c>
      <c r="E21" s="19">
        <v>-1715</v>
      </c>
      <c r="F21" s="19">
        <v>-1261</v>
      </c>
      <c r="G21" s="19">
        <v>-1554</v>
      </c>
      <c r="H21" s="19">
        <v>-1307</v>
      </c>
      <c r="I21" s="19">
        <v>-1517</v>
      </c>
      <c r="J21" s="19">
        <v>-215</v>
      </c>
      <c r="K21" s="19">
        <v>-592</v>
      </c>
      <c r="L21" s="19">
        <v>-337</v>
      </c>
      <c r="M21" s="19">
        <v>-1522</v>
      </c>
      <c r="N21" s="19">
        <v>-726</v>
      </c>
      <c r="O21" s="19">
        <v>-12</v>
      </c>
      <c r="P21" s="19">
        <v>-726</v>
      </c>
      <c r="Q21" s="19">
        <v>-395</v>
      </c>
      <c r="R21" s="19">
        <v>560</v>
      </c>
      <c r="S21" s="19">
        <v>946</v>
      </c>
    </row>
    <row r="22" spans="1:19" ht="14.25" customHeight="1">
      <c r="A22" t="s">
        <v>127</v>
      </c>
      <c r="B22" s="19">
        <v>36</v>
      </c>
      <c r="C22" s="19">
        <v>245</v>
      </c>
      <c r="D22" s="19">
        <v>474</v>
      </c>
      <c r="E22" s="19">
        <v>568</v>
      </c>
      <c r="F22" s="19">
        <v>255</v>
      </c>
      <c r="G22" s="19">
        <v>559</v>
      </c>
      <c r="H22" s="19">
        <v>-358</v>
      </c>
      <c r="I22" s="19">
        <v>-551</v>
      </c>
      <c r="J22" s="19">
        <v>11</v>
      </c>
      <c r="K22" s="19">
        <v>789</v>
      </c>
      <c r="L22" s="19">
        <v>1250</v>
      </c>
      <c r="M22" s="19">
        <v>1531</v>
      </c>
      <c r="N22" s="19">
        <v>-22</v>
      </c>
      <c r="O22" s="19">
        <v>801</v>
      </c>
      <c r="P22" s="19">
        <v>2490</v>
      </c>
      <c r="Q22" s="19">
        <v>3357</v>
      </c>
      <c r="R22" s="19">
        <v>941</v>
      </c>
      <c r="S22" s="19">
        <v>2255</v>
      </c>
    </row>
    <row r="23" spans="1:19" ht="14.25" customHeight="1">
      <c r="A23" t="s">
        <v>128</v>
      </c>
      <c r="B23" s="19">
        <v>33</v>
      </c>
      <c r="C23" s="19">
        <v>166</v>
      </c>
      <c r="D23" s="19">
        <v>70</v>
      </c>
      <c r="E23" s="19">
        <v>581</v>
      </c>
      <c r="F23" s="19">
        <v>634</v>
      </c>
      <c r="G23" s="19">
        <v>1267</v>
      </c>
      <c r="H23" s="19">
        <v>1175</v>
      </c>
      <c r="I23" s="19">
        <v>1341</v>
      </c>
      <c r="J23" s="19">
        <v>689</v>
      </c>
      <c r="K23" s="19">
        <v>2675</v>
      </c>
      <c r="L23" s="19">
        <v>953</v>
      </c>
      <c r="M23" s="19">
        <v>2025</v>
      </c>
      <c r="N23" s="19">
        <v>4202</v>
      </c>
      <c r="O23" s="19">
        <v>3314</v>
      </c>
      <c r="P23" s="19">
        <v>3918</v>
      </c>
      <c r="Q23" s="19">
        <v>4278</v>
      </c>
      <c r="R23" s="19">
        <v>7128</v>
      </c>
      <c r="S23" s="19">
        <v>3075</v>
      </c>
    </row>
    <row r="24" spans="1:19" ht="14.25" customHeight="1">
      <c r="A24" t="s">
        <v>133</v>
      </c>
      <c r="B24" s="19">
        <v>47</v>
      </c>
      <c r="C24" s="19">
        <v>98</v>
      </c>
      <c r="D24" s="19">
        <v>253</v>
      </c>
      <c r="E24" s="19">
        <v>192</v>
      </c>
      <c r="F24" s="19">
        <v>70</v>
      </c>
      <c r="G24" s="19">
        <v>60</v>
      </c>
      <c r="H24" s="19">
        <v>102</v>
      </c>
      <c r="I24" s="19">
        <v>252</v>
      </c>
      <c r="J24" s="19">
        <v>105</v>
      </c>
      <c r="K24" s="19">
        <v>236</v>
      </c>
      <c r="L24" s="19">
        <v>208</v>
      </c>
      <c r="M24" s="19">
        <v>514</v>
      </c>
      <c r="N24" s="19">
        <v>323</v>
      </c>
      <c r="O24" s="19">
        <v>584</v>
      </c>
      <c r="P24" s="19">
        <v>349</v>
      </c>
      <c r="Q24" s="19">
        <v>1221</v>
      </c>
      <c r="R24" s="19">
        <v>350</v>
      </c>
      <c r="S24" s="19">
        <v>979</v>
      </c>
    </row>
    <row r="25" spans="1:19" ht="14.25" customHeight="1">
      <c r="A25" s="141" t="s">
        <v>154</v>
      </c>
      <c r="B25" s="144">
        <v>1874</v>
      </c>
      <c r="C25" s="144">
        <v>4556</v>
      </c>
      <c r="D25" s="144">
        <v>6075</v>
      </c>
      <c r="E25" s="144">
        <v>9108</v>
      </c>
      <c r="F25" s="144">
        <v>1731</v>
      </c>
      <c r="G25" s="144">
        <v>3001</v>
      </c>
      <c r="H25" s="144">
        <v>3393</v>
      </c>
      <c r="I25" s="144">
        <v>5641</v>
      </c>
      <c r="J25" s="144">
        <v>2911</v>
      </c>
      <c r="K25" s="144">
        <v>9259</v>
      </c>
      <c r="L25" s="144">
        <v>16591</v>
      </c>
      <c r="M25" s="144">
        <v>28090</v>
      </c>
      <c r="N25" s="144">
        <v>15345</v>
      </c>
      <c r="O25" s="144">
        <v>29833</v>
      </c>
      <c r="P25" s="144">
        <v>47460</v>
      </c>
      <c r="Q25" s="144">
        <v>64089</v>
      </c>
      <c r="R25" s="144">
        <v>27414</v>
      </c>
      <c r="S25" s="144">
        <v>42779</v>
      </c>
    </row>
    <row r="27" spans="1:19" ht="14.25" customHeight="1">
      <c r="A27" t="s">
        <v>155</v>
      </c>
      <c r="B27" s="19"/>
      <c r="C27" s="19"/>
      <c r="D27" s="19"/>
      <c r="E27" s="19"/>
      <c r="F27" s="19"/>
      <c r="G27" s="19"/>
      <c r="H27" s="19"/>
      <c r="I27" s="19"/>
      <c r="J27" s="19"/>
      <c r="K27" s="19"/>
      <c r="L27" s="19"/>
      <c r="M27" s="19"/>
      <c r="N27" s="19"/>
      <c r="O27" s="19"/>
      <c r="P27" s="19"/>
      <c r="Q27" s="19"/>
      <c r="R27" s="19"/>
      <c r="S27" s="19"/>
    </row>
    <row r="28" spans="1:19" ht="14.25" customHeight="1">
      <c r="A28" t="s">
        <v>156</v>
      </c>
      <c r="B28" s="19">
        <v>3140</v>
      </c>
      <c r="C28" s="19">
        <v>5236</v>
      </c>
      <c r="D28" s="19">
        <v>7780</v>
      </c>
      <c r="E28" s="19">
        <v>15197</v>
      </c>
      <c r="F28" s="19">
        <v>5947</v>
      </c>
      <c r="G28" s="19">
        <v>10983</v>
      </c>
      <c r="H28" s="19">
        <v>16792</v>
      </c>
      <c r="I28" s="19">
        <v>19425</v>
      </c>
      <c r="J28" s="19">
        <v>2512</v>
      </c>
      <c r="K28" s="19">
        <v>5111</v>
      </c>
      <c r="L28" s="19">
        <v>8001</v>
      </c>
      <c r="M28" s="19">
        <v>9732</v>
      </c>
      <c r="N28" s="19">
        <v>4004</v>
      </c>
      <c r="O28" s="19">
        <v>8098</v>
      </c>
      <c r="P28" s="19">
        <v>9485</v>
      </c>
      <c r="Q28" s="19">
        <v>11195</v>
      </c>
      <c r="R28" s="19">
        <v>3122</v>
      </c>
      <c r="S28" s="19">
        <v>6252</v>
      </c>
    </row>
    <row r="29" spans="1:19" ht="14.25" customHeight="1">
      <c r="A29" t="s">
        <v>157</v>
      </c>
      <c r="B29" s="19">
        <v>358</v>
      </c>
      <c r="C29" s="19">
        <v>705</v>
      </c>
      <c r="D29" s="19">
        <v>916</v>
      </c>
      <c r="E29" s="19">
        <v>1023</v>
      </c>
      <c r="F29" s="19">
        <v>1029</v>
      </c>
      <c r="G29" s="19">
        <v>1731</v>
      </c>
      <c r="H29" s="19">
        <v>1806</v>
      </c>
      <c r="I29" s="19">
        <v>1806</v>
      </c>
      <c r="J29" s="39" t="s">
        <v>96</v>
      </c>
      <c r="K29" s="39" t="s">
        <v>96</v>
      </c>
      <c r="L29" s="39" t="s">
        <v>96</v>
      </c>
      <c r="M29" s="19">
        <v>50</v>
      </c>
      <c r="N29" s="19">
        <v>149</v>
      </c>
      <c r="O29" s="19">
        <v>164</v>
      </c>
      <c r="P29" s="19">
        <v>318</v>
      </c>
      <c r="Q29" s="19">
        <v>495</v>
      </c>
      <c r="R29" s="19">
        <v>467</v>
      </c>
      <c r="S29" s="19">
        <v>487</v>
      </c>
    </row>
    <row r="30" spans="1:19" ht="14.25" customHeight="1">
      <c r="A30" t="s">
        <v>158</v>
      </c>
      <c r="B30" s="19">
        <v>-4470</v>
      </c>
      <c r="C30" s="19">
        <v>-9268</v>
      </c>
      <c r="D30" s="19">
        <v>-16020</v>
      </c>
      <c r="E30" s="19">
        <v>-24787</v>
      </c>
      <c r="F30" s="19">
        <v>-3932</v>
      </c>
      <c r="G30" s="19">
        <v>-7576</v>
      </c>
      <c r="H30" s="19">
        <v>-9764</v>
      </c>
      <c r="I30" s="19">
        <v>-11897</v>
      </c>
      <c r="J30" s="19">
        <v>-2801</v>
      </c>
      <c r="K30" s="19">
        <v>-5343</v>
      </c>
      <c r="L30" s="19">
        <v>-10688</v>
      </c>
      <c r="M30" s="19">
        <v>-18211</v>
      </c>
      <c r="N30" s="19">
        <v>-9303</v>
      </c>
      <c r="O30" s="19">
        <v>-15047</v>
      </c>
      <c r="P30" s="19">
        <v>-19565</v>
      </c>
      <c r="Q30" s="19">
        <v>-26575</v>
      </c>
      <c r="R30" s="19">
        <v>-6546</v>
      </c>
      <c r="S30" s="19">
        <v>-14358</v>
      </c>
    </row>
    <row r="31" spans="1:19" ht="14.25" customHeight="1">
      <c r="A31" t="s">
        <v>159</v>
      </c>
      <c r="B31" s="19">
        <v>-298</v>
      </c>
      <c r="C31" s="19">
        <v>-481</v>
      </c>
      <c r="D31" s="19">
        <v>-703</v>
      </c>
      <c r="E31" s="19">
        <v>-976</v>
      </c>
      <c r="F31" s="19">
        <v>-361</v>
      </c>
      <c r="G31" s="19">
        <v>-794</v>
      </c>
      <c r="H31" s="19">
        <v>-1324</v>
      </c>
      <c r="I31" s="19">
        <v>-1833</v>
      </c>
      <c r="J31" s="19">
        <v>-248</v>
      </c>
      <c r="K31" s="19">
        <v>-537</v>
      </c>
      <c r="L31" s="19">
        <v>-815</v>
      </c>
      <c r="M31" s="19">
        <v>-1069</v>
      </c>
      <c r="N31" s="19">
        <v>-369</v>
      </c>
      <c r="O31" s="19">
        <v>-1346</v>
      </c>
      <c r="P31" s="19">
        <v>-2159</v>
      </c>
      <c r="Q31" s="19">
        <v>-3236</v>
      </c>
      <c r="R31" s="19">
        <v>-1227</v>
      </c>
      <c r="S31" s="19">
        <v>-3122</v>
      </c>
    </row>
    <row r="32" spans="1:19" ht="14.25" customHeight="1">
      <c r="A32" t="s">
        <v>160</v>
      </c>
      <c r="B32" s="19">
        <v>-2</v>
      </c>
      <c r="C32" s="19">
        <v>3</v>
      </c>
      <c r="D32" s="19">
        <v>-203</v>
      </c>
      <c r="E32" s="19">
        <v>-24</v>
      </c>
      <c r="F32" s="19">
        <v>-36</v>
      </c>
      <c r="G32" s="19">
        <v>-49</v>
      </c>
      <c r="H32" s="19">
        <v>-49</v>
      </c>
      <c r="I32" s="19">
        <v>-49</v>
      </c>
      <c r="J32" s="19">
        <v>-221</v>
      </c>
      <c r="K32" s="19">
        <v>-435</v>
      </c>
      <c r="L32" s="19">
        <v>-872</v>
      </c>
      <c r="M32" s="19">
        <v>-985</v>
      </c>
      <c r="N32" s="19">
        <v>-135</v>
      </c>
      <c r="O32" s="19">
        <v>-429</v>
      </c>
      <c r="P32" s="19">
        <v>-837</v>
      </c>
      <c r="Q32" s="19">
        <v>-456</v>
      </c>
      <c r="R32" s="19">
        <v>-649</v>
      </c>
      <c r="S32" s="19">
        <v>-995</v>
      </c>
    </row>
    <row r="33" spans="1:19" ht="14.25" customHeight="1">
      <c r="A33" t="s">
        <v>161</v>
      </c>
      <c r="B33" s="39" t="s">
        <v>96</v>
      </c>
      <c r="C33" s="39" t="s">
        <v>96</v>
      </c>
      <c r="D33" s="19">
        <v>-14</v>
      </c>
      <c r="E33" s="19">
        <v>-263</v>
      </c>
      <c r="F33" s="19">
        <v>-35</v>
      </c>
      <c r="G33" s="19">
        <v>-65</v>
      </c>
      <c r="H33" s="19">
        <v>-83</v>
      </c>
      <c r="I33" s="19">
        <v>-77</v>
      </c>
      <c r="J33" s="19">
        <v>-83</v>
      </c>
      <c r="K33" s="19">
        <v>-83</v>
      </c>
      <c r="L33" s="19">
        <v>-83</v>
      </c>
      <c r="M33" s="19">
        <v>-83</v>
      </c>
      <c r="N33" s="19">
        <v>-39</v>
      </c>
      <c r="O33" s="19">
        <v>-317</v>
      </c>
      <c r="P33" s="19">
        <v>-465</v>
      </c>
      <c r="Q33" s="19">
        <v>-1007</v>
      </c>
      <c r="R33" s="19">
        <v>-383</v>
      </c>
      <c r="S33" s="19">
        <v>-677</v>
      </c>
    </row>
    <row r="34" spans="1:19" ht="14.25" customHeight="1">
      <c r="A34" s="141" t="s">
        <v>162</v>
      </c>
      <c r="B34" s="144">
        <v>-1272</v>
      </c>
      <c r="C34" s="144">
        <v>-3805</v>
      </c>
      <c r="D34" s="144">
        <v>-8244</v>
      </c>
      <c r="E34" s="144">
        <v>-9830</v>
      </c>
      <c r="F34" s="144">
        <v>2612</v>
      </c>
      <c r="G34" s="144">
        <v>4230</v>
      </c>
      <c r="H34" s="144">
        <v>7378</v>
      </c>
      <c r="I34" s="144">
        <v>7375</v>
      </c>
      <c r="J34" s="144">
        <v>-841</v>
      </c>
      <c r="K34" s="144">
        <v>-1287</v>
      </c>
      <c r="L34" s="144">
        <v>-4457</v>
      </c>
      <c r="M34" s="144">
        <v>-10566</v>
      </c>
      <c r="N34" s="144">
        <v>-5693</v>
      </c>
      <c r="O34" s="144">
        <v>-8877</v>
      </c>
      <c r="P34" s="144">
        <v>-13223</v>
      </c>
      <c r="Q34" s="144">
        <v>-20421</v>
      </c>
      <c r="R34" s="144">
        <v>-5216</v>
      </c>
      <c r="S34" s="144">
        <v>-12343</v>
      </c>
    </row>
    <row r="36" spans="1:19" ht="14.25" customHeight="1">
      <c r="A36" t="s">
        <v>163</v>
      </c>
      <c r="B36" s="19"/>
      <c r="C36" s="19"/>
      <c r="D36" s="19"/>
      <c r="E36" s="19"/>
      <c r="F36" s="19"/>
      <c r="G36" s="19"/>
      <c r="H36" s="19"/>
      <c r="I36" s="19"/>
      <c r="J36" s="19"/>
      <c r="K36" s="19"/>
      <c r="L36" s="19"/>
      <c r="M36" s="19"/>
      <c r="N36" s="19"/>
      <c r="O36" s="19"/>
      <c r="P36" s="19"/>
      <c r="Q36" s="19"/>
      <c r="R36" s="19"/>
      <c r="S36" s="19"/>
    </row>
    <row r="37" spans="1:19" ht="14.25" customHeight="1">
      <c r="A37" t="s">
        <v>164</v>
      </c>
      <c r="B37" s="39" t="s">
        <v>96</v>
      </c>
      <c r="C37" s="19">
        <v>4985</v>
      </c>
      <c r="D37" s="19">
        <v>4977</v>
      </c>
      <c r="E37" s="19">
        <v>4977</v>
      </c>
      <c r="F37" s="39" t="s">
        <v>96</v>
      </c>
      <c r="G37" s="39" t="s">
        <v>96</v>
      </c>
      <c r="H37" s="39" t="s">
        <v>96</v>
      </c>
      <c r="I37" s="39" t="s">
        <v>96</v>
      </c>
      <c r="J37" s="39" t="s">
        <v>96</v>
      </c>
      <c r="K37" s="39" t="s">
        <v>96</v>
      </c>
      <c r="L37" s="39" t="s">
        <v>96</v>
      </c>
      <c r="M37" s="39" t="s">
        <v>96</v>
      </c>
      <c r="N37" s="39" t="s">
        <v>96</v>
      </c>
      <c r="O37" s="39" t="s">
        <v>96</v>
      </c>
      <c r="P37" s="39" t="s">
        <v>96</v>
      </c>
      <c r="Q37" s="39" t="s">
        <v>96</v>
      </c>
      <c r="R37" s="39" t="s">
        <v>96</v>
      </c>
      <c r="S37" s="39" t="s">
        <v>96</v>
      </c>
    </row>
    <row r="38" spans="1:19" ht="14.25" customHeight="1">
      <c r="A38" t="s">
        <v>165</v>
      </c>
      <c r="B38" s="19">
        <v>126</v>
      </c>
      <c r="C38" s="19">
        <v>128</v>
      </c>
      <c r="D38" s="19">
        <v>277</v>
      </c>
      <c r="E38" s="19">
        <v>281</v>
      </c>
      <c r="F38" s="19">
        <v>204</v>
      </c>
      <c r="G38" s="19">
        <v>205</v>
      </c>
      <c r="H38" s="19">
        <v>349</v>
      </c>
      <c r="I38" s="19">
        <v>355</v>
      </c>
      <c r="J38" s="19">
        <v>246</v>
      </c>
      <c r="K38" s="19">
        <v>247</v>
      </c>
      <c r="L38" s="19">
        <v>403</v>
      </c>
      <c r="M38" s="19">
        <v>403</v>
      </c>
      <c r="N38" s="19">
        <v>285</v>
      </c>
      <c r="O38" s="19">
        <v>285</v>
      </c>
      <c r="P38" s="19">
        <v>489</v>
      </c>
      <c r="Q38" s="19">
        <v>490</v>
      </c>
      <c r="R38" s="19">
        <v>370</v>
      </c>
      <c r="S38" s="19">
        <v>370</v>
      </c>
    </row>
    <row r="39" spans="1:19" ht="14.25" customHeight="1">
      <c r="A39" t="s">
        <v>166</v>
      </c>
      <c r="B39" s="39" t="s">
        <v>96</v>
      </c>
      <c r="C39" s="39" t="s">
        <v>96</v>
      </c>
      <c r="D39" s="39" t="s">
        <v>96</v>
      </c>
      <c r="E39" s="39" t="s">
        <v>96</v>
      </c>
      <c r="F39" s="19">
        <v>-1996</v>
      </c>
      <c r="G39" s="19">
        <v>-5341</v>
      </c>
      <c r="H39" s="19">
        <v>-8826</v>
      </c>
      <c r="I39" s="19">
        <v>-10039</v>
      </c>
      <c r="J39" s="39" t="s">
        <v>96</v>
      </c>
      <c r="K39" s="19">
        <v>-3067</v>
      </c>
      <c r="L39" s="19">
        <v>-6874</v>
      </c>
      <c r="M39" s="19">
        <v>-9533</v>
      </c>
      <c r="N39" s="19">
        <v>-7740</v>
      </c>
      <c r="O39" s="19">
        <v>-14898</v>
      </c>
      <c r="P39" s="19">
        <v>-25895</v>
      </c>
      <c r="Q39" s="19">
        <v>-33706</v>
      </c>
      <c r="R39" s="19">
        <v>-14095</v>
      </c>
      <c r="S39" s="19">
        <v>-23815</v>
      </c>
    </row>
    <row r="40" spans="1:19" ht="14.25" customHeight="1">
      <c r="A40" t="s">
        <v>167</v>
      </c>
      <c r="B40" s="19">
        <v>-477</v>
      </c>
      <c r="C40" s="19">
        <v>-843</v>
      </c>
      <c r="D40" s="19">
        <v>-1282</v>
      </c>
      <c r="E40" s="19">
        <v>-1904</v>
      </c>
      <c r="F40" s="19">
        <v>-532</v>
      </c>
      <c r="G40" s="19">
        <v>-837</v>
      </c>
      <c r="H40" s="19">
        <v>-1131</v>
      </c>
      <c r="I40" s="19">
        <v>-1475</v>
      </c>
      <c r="J40" s="19">
        <v>-507</v>
      </c>
      <c r="K40" s="19">
        <v>-1179</v>
      </c>
      <c r="L40" s="19">
        <v>-1942</v>
      </c>
      <c r="M40" s="19">
        <v>-2783</v>
      </c>
      <c r="N40" s="19">
        <v>-1752</v>
      </c>
      <c r="O40" s="19">
        <v>-3389</v>
      </c>
      <c r="P40" s="19">
        <v>-5068</v>
      </c>
      <c r="Q40" s="19">
        <v>-6930</v>
      </c>
      <c r="R40" s="19">
        <v>-1532</v>
      </c>
      <c r="S40" s="19">
        <v>-3380</v>
      </c>
    </row>
    <row r="41" spans="1:19" ht="14.25" customHeight="1">
      <c r="A41" t="s">
        <v>168</v>
      </c>
      <c r="B41" s="19">
        <v>-99</v>
      </c>
      <c r="C41" s="19">
        <v>-198</v>
      </c>
      <c r="D41" s="19">
        <v>-298</v>
      </c>
      <c r="E41" s="19">
        <v>-399</v>
      </c>
      <c r="F41" s="19">
        <v>-100</v>
      </c>
      <c r="G41" s="19">
        <v>-200</v>
      </c>
      <c r="H41" s="19">
        <v>-300</v>
      </c>
      <c r="I41" s="19">
        <v>-398</v>
      </c>
      <c r="J41" s="19">
        <v>-99</v>
      </c>
      <c r="K41" s="19">
        <v>-199</v>
      </c>
      <c r="L41" s="19">
        <v>-296</v>
      </c>
      <c r="M41" s="19">
        <v>-395</v>
      </c>
      <c r="N41" s="19">
        <v>-98</v>
      </c>
      <c r="O41" s="19">
        <v>-344</v>
      </c>
      <c r="P41" s="19">
        <v>-589</v>
      </c>
      <c r="Q41" s="19">
        <v>-834</v>
      </c>
      <c r="R41" s="19">
        <v>-244</v>
      </c>
      <c r="S41" s="19">
        <v>-488</v>
      </c>
    </row>
    <row r="42" spans="1:19" ht="14.25" customHeight="1">
      <c r="A42" t="s">
        <v>169</v>
      </c>
      <c r="B42" s="19">
        <v>-19</v>
      </c>
      <c r="C42" s="19">
        <v>-40</v>
      </c>
      <c r="D42" s="19">
        <v>-62</v>
      </c>
      <c r="E42" s="19"/>
      <c r="F42" s="19">
        <v>-22</v>
      </c>
      <c r="G42" s="19">
        <v>-36</v>
      </c>
      <c r="H42" s="19">
        <v>-54</v>
      </c>
      <c r="I42" s="19">
        <v>-58</v>
      </c>
      <c r="J42" s="19">
        <v>-20</v>
      </c>
      <c r="K42" s="19">
        <v>-31</v>
      </c>
      <c r="L42" s="19">
        <v>-44</v>
      </c>
      <c r="M42" s="19">
        <v>-74</v>
      </c>
      <c r="N42" s="19">
        <v>-40</v>
      </c>
      <c r="O42" s="19">
        <v>-69</v>
      </c>
      <c r="P42" s="19">
        <v>-97</v>
      </c>
      <c r="Q42" s="19">
        <v>-129</v>
      </c>
      <c r="R42" s="19">
        <v>-52</v>
      </c>
      <c r="S42" s="19">
        <v>-73</v>
      </c>
    </row>
    <row r="43" spans="1:19" ht="14.25" customHeight="1">
      <c r="A43" t="s">
        <v>170</v>
      </c>
      <c r="B43" s="39" t="s">
        <v>96</v>
      </c>
      <c r="C43" s="39" t="s">
        <v>96</v>
      </c>
      <c r="D43" s="19">
        <v>-1000</v>
      </c>
      <c r="E43" s="19">
        <v>-1000</v>
      </c>
      <c r="F43" s="39" t="s">
        <v>96</v>
      </c>
      <c r="G43" s="39" t="s">
        <v>96</v>
      </c>
      <c r="H43" s="39" t="s">
        <v>96</v>
      </c>
      <c r="I43" s="39" t="s">
        <v>96</v>
      </c>
      <c r="J43" s="39" t="s">
        <v>96</v>
      </c>
      <c r="K43" s="19">
        <v>-1250</v>
      </c>
      <c r="L43" s="19">
        <v>-1250</v>
      </c>
      <c r="M43" s="19">
        <v>-1250</v>
      </c>
      <c r="N43" s="39" t="s">
        <v>96</v>
      </c>
      <c r="O43" s="19">
        <v>-1250</v>
      </c>
      <c r="P43" s="39" t="s">
        <v>96</v>
      </c>
      <c r="Q43" s="19">
        <v>-1250</v>
      </c>
      <c r="R43" s="39" t="s">
        <v>96</v>
      </c>
      <c r="S43" s="39" t="s">
        <v>96</v>
      </c>
    </row>
    <row r="44" spans="1:19" ht="14.25" customHeight="1">
      <c r="A44" t="s">
        <v>150</v>
      </c>
      <c r="B44" s="19">
        <v>-2</v>
      </c>
      <c r="C44" s="19">
        <v>-2</v>
      </c>
      <c r="D44" s="19">
        <v>-2</v>
      </c>
      <c r="E44" s="19">
        <v>-7</v>
      </c>
      <c r="F44" s="39" t="s">
        <v>96</v>
      </c>
      <c r="G44" s="19">
        <v>1</v>
      </c>
      <c r="H44" s="19">
        <v>1</v>
      </c>
      <c r="I44" s="19">
        <v>-2</v>
      </c>
      <c r="J44" s="39" t="s">
        <v>96</v>
      </c>
      <c r="K44" s="39" t="s">
        <v>96</v>
      </c>
      <c r="L44" s="19">
        <v>-1</v>
      </c>
      <c r="M44" s="19">
        <v>-1</v>
      </c>
      <c r="N44" s="39" t="s">
        <v>96</v>
      </c>
      <c r="O44" s="39" t="s">
        <v>96</v>
      </c>
      <c r="P44" s="39" t="s">
        <v>96</v>
      </c>
      <c r="Q44" s="39" t="s">
        <v>96</v>
      </c>
      <c r="R44" s="39" t="s">
        <v>96</v>
      </c>
      <c r="S44" s="39" t="s">
        <v>96</v>
      </c>
    </row>
    <row r="45" spans="1:19" ht="14.25" customHeight="1">
      <c r="A45" s="141" t="s">
        <v>171</v>
      </c>
      <c r="B45" s="144">
        <v>-471</v>
      </c>
      <c r="C45" s="144">
        <v>4030</v>
      </c>
      <c r="D45" s="144">
        <v>2610</v>
      </c>
      <c r="E45" s="144">
        <v>1865</v>
      </c>
      <c r="F45" s="144">
        <v>-2446</v>
      </c>
      <c r="G45" s="144">
        <v>-6208</v>
      </c>
      <c r="H45" s="144">
        <v>-9961</v>
      </c>
      <c r="I45" s="144">
        <v>-11617</v>
      </c>
      <c r="J45" s="144">
        <v>-380</v>
      </c>
      <c r="K45" s="144">
        <v>-5479</v>
      </c>
      <c r="L45" s="144">
        <v>-10004</v>
      </c>
      <c r="M45" s="144">
        <v>-13633</v>
      </c>
      <c r="N45" s="144">
        <v>-9345</v>
      </c>
      <c r="O45" s="144">
        <v>-19665</v>
      </c>
      <c r="P45" s="144">
        <v>-32410</v>
      </c>
      <c r="Q45" s="144">
        <v>-42359</v>
      </c>
      <c r="R45" s="144">
        <v>-15553</v>
      </c>
      <c r="S45" s="144">
        <v>-27386</v>
      </c>
    </row>
    <row r="47" spans="1:19" ht="14.25" customHeight="1">
      <c r="A47" t="s">
        <v>172</v>
      </c>
      <c r="B47" s="19">
        <v>131</v>
      </c>
      <c r="C47" s="19">
        <v>4781</v>
      </c>
      <c r="D47" s="19">
        <v>441</v>
      </c>
      <c r="E47" s="19">
        <v>1143</v>
      </c>
      <c r="F47" s="19">
        <v>1897</v>
      </c>
      <c r="G47" s="19">
        <v>1023</v>
      </c>
      <c r="H47" s="19">
        <v>810</v>
      </c>
      <c r="I47" s="19">
        <v>1399</v>
      </c>
      <c r="J47" s="19">
        <v>1690</v>
      </c>
      <c r="K47" s="19">
        <v>2493</v>
      </c>
      <c r="L47" s="19">
        <v>2130</v>
      </c>
      <c r="M47" s="19">
        <v>3891</v>
      </c>
      <c r="N47" s="19">
        <v>307</v>
      </c>
      <c r="O47" s="19">
        <v>1291</v>
      </c>
      <c r="P47" s="19">
        <v>1827</v>
      </c>
      <c r="Q47" s="19">
        <v>1309</v>
      </c>
      <c r="R47" s="19">
        <v>6645</v>
      </c>
      <c r="S47" s="19">
        <v>3050</v>
      </c>
    </row>
    <row r="48" spans="1:19" ht="14.25" customHeight="1">
      <c r="A48" t="s">
        <v>173</v>
      </c>
      <c r="B48" s="19">
        <v>847</v>
      </c>
      <c r="C48" s="19">
        <v>847</v>
      </c>
      <c r="D48" s="19">
        <v>847</v>
      </c>
      <c r="E48" s="19">
        <v>847</v>
      </c>
      <c r="F48" s="19">
        <v>1990</v>
      </c>
      <c r="G48" s="19">
        <v>1990</v>
      </c>
      <c r="H48" s="19">
        <v>1990</v>
      </c>
      <c r="I48" s="19">
        <v>1990</v>
      </c>
      <c r="J48" s="19">
        <v>3389</v>
      </c>
      <c r="K48" s="19">
        <v>3389</v>
      </c>
      <c r="L48" s="19">
        <v>3389</v>
      </c>
      <c r="M48" s="19">
        <v>3389</v>
      </c>
      <c r="N48" s="19">
        <v>7280</v>
      </c>
      <c r="O48" s="19">
        <v>7280</v>
      </c>
      <c r="P48" s="19">
        <v>7280</v>
      </c>
      <c r="Q48" s="19">
        <v>7280</v>
      </c>
      <c r="R48" s="19">
        <v>8589</v>
      </c>
      <c r="S48" s="19">
        <v>8589</v>
      </c>
    </row>
    <row r="49" spans="1:19" ht="14.25" customHeight="1">
      <c r="A49" s="141" t="s">
        <v>174</v>
      </c>
      <c r="B49" s="144">
        <v>978</v>
      </c>
      <c r="C49" s="144">
        <v>5628</v>
      </c>
      <c r="D49" s="144">
        <v>1288</v>
      </c>
      <c r="E49" s="144">
        <v>1990</v>
      </c>
      <c r="F49" s="144">
        <v>3887</v>
      </c>
      <c r="G49" s="144">
        <v>3013</v>
      </c>
      <c r="H49" s="144">
        <v>2800</v>
      </c>
      <c r="I49" s="144">
        <v>3389</v>
      </c>
      <c r="J49" s="144">
        <v>5079</v>
      </c>
      <c r="K49" s="144">
        <v>5882</v>
      </c>
      <c r="L49" s="144">
        <v>5519</v>
      </c>
      <c r="M49" s="144">
        <v>7280</v>
      </c>
      <c r="N49" s="144">
        <v>7587</v>
      </c>
      <c r="O49" s="144">
        <v>8571</v>
      </c>
      <c r="P49" s="144">
        <v>9107</v>
      </c>
      <c r="Q49" s="144">
        <v>8589</v>
      </c>
      <c r="R49" s="144">
        <v>15234</v>
      </c>
      <c r="S49" s="144">
        <v>11639</v>
      </c>
    </row>
    <row r="50" spans="1:19" ht="14.25" customHeight="1">
      <c r="B50" s="19"/>
      <c r="C50" s="19"/>
      <c r="D50" s="19"/>
      <c r="E50" s="19"/>
      <c r="F50" s="19"/>
      <c r="G50" s="19"/>
      <c r="H50" s="19"/>
      <c r="I50" s="19"/>
      <c r="J50" s="19"/>
      <c r="K50" s="19"/>
      <c r="L50" s="19"/>
      <c r="M50" s="19"/>
      <c r="N50" s="19"/>
      <c r="O50" s="19"/>
      <c r="P50" s="19"/>
      <c r="Q50" s="19"/>
      <c r="R50" s="19"/>
      <c r="S50" s="19"/>
    </row>
    <row r="51" spans="1:19" ht="14.25" customHeight="1">
      <c r="A51" s="2" t="s">
        <v>175</v>
      </c>
      <c r="B51" s="19"/>
      <c r="C51" s="19"/>
      <c r="D51" s="19"/>
      <c r="E51" s="19"/>
      <c r="F51" s="19"/>
      <c r="G51" s="19"/>
      <c r="H51" s="19"/>
      <c r="I51" s="19"/>
      <c r="J51" s="19"/>
      <c r="K51" s="19"/>
      <c r="L51" s="19"/>
      <c r="M51" s="19"/>
      <c r="N51" s="19"/>
      <c r="O51" s="19"/>
      <c r="P51" s="19"/>
      <c r="Q51" s="19"/>
      <c r="R51" s="19"/>
      <c r="S51" s="19"/>
    </row>
    <row r="52" spans="1:19" ht="14.25" customHeight="1">
      <c r="A52" t="s">
        <v>176</v>
      </c>
      <c r="B52" s="39" t="s">
        <v>96</v>
      </c>
      <c r="C52" s="19">
        <v>241</v>
      </c>
      <c r="D52" s="19">
        <v>313</v>
      </c>
      <c r="E52" s="19">
        <v>396</v>
      </c>
      <c r="F52" s="39" t="s">
        <v>96</v>
      </c>
      <c r="G52" s="19">
        <v>1108</v>
      </c>
      <c r="H52" s="19">
        <v>1372</v>
      </c>
      <c r="I52" s="19">
        <v>1404</v>
      </c>
      <c r="J52" s="39" t="s">
        <v>96</v>
      </c>
      <c r="K52" s="19">
        <v>328</v>
      </c>
      <c r="L52" s="19">
        <v>4676</v>
      </c>
      <c r="M52" s="19">
        <v>6549</v>
      </c>
      <c r="N52" s="39" t="s">
        <v>96</v>
      </c>
      <c r="O52" s="19">
        <v>7449</v>
      </c>
      <c r="P52" s="19">
        <v>10989</v>
      </c>
      <c r="Q52" s="19">
        <v>15118</v>
      </c>
      <c r="R52" s="39" t="s">
        <v>96</v>
      </c>
      <c r="S52" s="19">
        <v>8451</v>
      </c>
    </row>
    <row r="53" spans="1:19" ht="14.25" customHeight="1">
      <c r="A53" t="s">
        <v>177</v>
      </c>
      <c r="B53" s="39" t="s">
        <v>96</v>
      </c>
      <c r="C53" s="39" t="s">
        <v>96</v>
      </c>
      <c r="D53" s="39" t="s">
        <v>96</v>
      </c>
      <c r="E53" s="19">
        <v>246</v>
      </c>
      <c r="F53" s="39" t="s">
        <v>96</v>
      </c>
      <c r="G53" s="39" t="s">
        <v>96</v>
      </c>
      <c r="H53" s="39" t="s">
        <v>96</v>
      </c>
      <c r="I53" s="19">
        <v>254</v>
      </c>
      <c r="J53" s="39" t="s">
        <v>96</v>
      </c>
      <c r="K53" s="39" t="s">
        <v>96</v>
      </c>
      <c r="L53" s="39" t="s">
        <v>96</v>
      </c>
      <c r="M53" s="19">
        <v>252</v>
      </c>
      <c r="N53" s="39" t="s">
        <v>96</v>
      </c>
      <c r="O53" s="39" t="s">
        <v>96</v>
      </c>
      <c r="P53" s="39" t="s">
        <v>96</v>
      </c>
      <c r="Q53" s="19">
        <v>246</v>
      </c>
      <c r="R53" s="39" t="s">
        <v>96</v>
      </c>
      <c r="S53" s="39" t="s">
        <v>96</v>
      </c>
    </row>
    <row r="54" spans="1:19" ht="14.25" customHeight="1">
      <c r="A54" s="4" t="s">
        <v>178</v>
      </c>
      <c r="B54" s="19">
        <v>137</v>
      </c>
      <c r="C54" s="19">
        <v>138</v>
      </c>
      <c r="D54" s="19">
        <v>143</v>
      </c>
      <c r="E54" s="19">
        <v>145</v>
      </c>
      <c r="F54" s="19">
        <v>155</v>
      </c>
      <c r="G54" s="19">
        <v>182</v>
      </c>
      <c r="H54" s="19">
        <v>181</v>
      </c>
      <c r="I54" s="19">
        <v>181</v>
      </c>
      <c r="J54" s="19">
        <v>181</v>
      </c>
      <c r="K54" s="19">
        <v>146</v>
      </c>
      <c r="L54" s="19">
        <v>144</v>
      </c>
      <c r="M54" s="19">
        <v>143</v>
      </c>
      <c r="N54" s="19">
        <v>181</v>
      </c>
      <c r="O54" s="19">
        <v>181</v>
      </c>
      <c r="P54" s="19">
        <v>181</v>
      </c>
      <c r="Q54" s="19">
        <v>146</v>
      </c>
      <c r="R54" s="19">
        <v>144</v>
      </c>
      <c r="S54" s="19">
        <v>143</v>
      </c>
    </row>
    <row r="55" spans="1:19" ht="14.25" customHeight="1">
      <c r="A55" s="40" t="s">
        <v>179</v>
      </c>
      <c r="B55" s="19">
        <f>B54</f>
        <v>137</v>
      </c>
      <c r="C55" s="19">
        <f>C54+B55</f>
        <v>275</v>
      </c>
      <c r="D55" s="19">
        <f>D54+C55</f>
        <v>418</v>
      </c>
      <c r="E55" s="19">
        <f>E54+D55</f>
        <v>563</v>
      </c>
      <c r="F55" s="19">
        <f>F54</f>
        <v>155</v>
      </c>
      <c r="G55" s="19">
        <f>G54+F55</f>
        <v>337</v>
      </c>
      <c r="H55" s="19">
        <f>H54+G55</f>
        <v>518</v>
      </c>
      <c r="I55" s="19">
        <f>I54+H55</f>
        <v>699</v>
      </c>
      <c r="J55" s="19">
        <f>J54</f>
        <v>181</v>
      </c>
      <c r="K55" s="19">
        <f>K54+J55</f>
        <v>327</v>
      </c>
      <c r="L55" s="19">
        <f>L54+K55</f>
        <v>471</v>
      </c>
      <c r="M55" s="19">
        <f>M54+L55</f>
        <v>614</v>
      </c>
      <c r="N55" s="19">
        <v>795</v>
      </c>
      <c r="O55" s="19">
        <v>976</v>
      </c>
      <c r="P55" s="19">
        <v>1157</v>
      </c>
      <c r="Q55" s="19">
        <v>1303</v>
      </c>
      <c r="R55" s="19">
        <v>1447</v>
      </c>
      <c r="S55" s="19">
        <v>1590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6"/>
  <sheetViews>
    <sheetView showGridLines="0" workbookViewId="0"/>
  </sheetViews>
  <sheetFormatPr defaultColWidth="8.7109375" defaultRowHeight="14.25"/>
  <cols>
    <col min="1" max="1" width="41.85546875" customWidth="1"/>
    <col min="2" max="2" width="1.28515625" customWidth="1"/>
    <col min="3" max="3" width="8.5703125" hidden="1"/>
    <col min="4" max="4" width="8.5703125"/>
    <col min="5" max="9" width="8" customWidth="1"/>
    <col min="10" max="10" width="8.140625" customWidth="1"/>
    <col min="11" max="12" width="8.28515625" customWidth="1"/>
    <col min="13" max="14" width="8.140625" customWidth="1"/>
    <col min="15" max="29" width="8.28515625" customWidth="1"/>
    <col min="30" max="33" width="9.42578125" customWidth="1"/>
  </cols>
  <sheetData>
    <row r="1" spans="1:32" ht="9" customHeight="1">
      <c r="S1" s="38"/>
    </row>
    <row r="2" spans="1:32" ht="26.25" customHeight="1">
      <c r="A2" s="41" t="s">
        <v>180</v>
      </c>
      <c r="L2" s="16"/>
      <c r="M2" s="16"/>
      <c r="N2" s="16"/>
      <c r="O2" s="17"/>
      <c r="P2" s="17"/>
      <c r="Q2" s="17"/>
      <c r="R2" s="17"/>
      <c r="S2" s="17"/>
    </row>
    <row r="4" spans="1:32" ht="14.25" customHeight="1">
      <c r="A4" s="2"/>
      <c r="D4" s="145" t="s">
        <v>181</v>
      </c>
      <c r="E4" s="145"/>
      <c r="F4" s="145"/>
      <c r="G4" s="145"/>
      <c r="H4" s="145"/>
      <c r="I4" s="145"/>
      <c r="J4" s="145"/>
      <c r="K4" s="145"/>
      <c r="L4" s="145"/>
      <c r="M4" s="145"/>
      <c r="N4" s="145"/>
      <c r="O4" s="145"/>
      <c r="P4" s="145"/>
      <c r="Q4" s="145"/>
      <c r="R4" s="145"/>
      <c r="S4" s="145"/>
      <c r="T4" s="145"/>
      <c r="U4" s="145"/>
      <c r="V4" s="145"/>
      <c r="W4" s="145" t="s">
        <v>182</v>
      </c>
      <c r="X4" s="145"/>
      <c r="Y4" s="145"/>
      <c r="Z4" s="145"/>
      <c r="AA4" s="145"/>
      <c r="AB4" s="145"/>
      <c r="AC4" s="145"/>
      <c r="AD4" s="145"/>
      <c r="AE4" s="145"/>
      <c r="AF4" s="145"/>
    </row>
    <row r="5" spans="1:32" ht="14.25" customHeight="1">
      <c r="A5" s="2" t="s">
        <v>183</v>
      </c>
      <c r="D5" s="42" t="s">
        <v>58</v>
      </c>
      <c r="E5" s="42" t="s">
        <v>59</v>
      </c>
      <c r="F5" s="42" t="str">
        <f t="shared" ref="F5:AF5" si="0">IF(MID(E5,2,1)="4","Q1 "&amp;RIGHT(E5,4)+1, "Q"&amp;MID(E5,2,1)+1&amp;" "&amp;RIGHT(E5,4))</f>
        <v>Q2 2022</v>
      </c>
      <c r="G5" s="42" t="str">
        <f t="shared" si="0"/>
        <v>Q3 2022</v>
      </c>
      <c r="H5" s="42" t="str">
        <f t="shared" si="0"/>
        <v>Q4 2022</v>
      </c>
      <c r="I5" s="42" t="str">
        <f t="shared" si="0"/>
        <v>Q1 2023</v>
      </c>
      <c r="J5" s="42" t="str">
        <f t="shared" si="0"/>
        <v>Q2 2023</v>
      </c>
      <c r="K5" s="42" t="str">
        <f t="shared" si="0"/>
        <v>Q3 2023</v>
      </c>
      <c r="L5" s="42" t="str">
        <f t="shared" si="0"/>
        <v>Q4 2023</v>
      </c>
      <c r="M5" s="42" t="str">
        <f t="shared" si="0"/>
        <v>Q1 2024</v>
      </c>
      <c r="N5" s="42" t="str">
        <f t="shared" si="0"/>
        <v>Q2 2024</v>
      </c>
      <c r="O5" s="42" t="str">
        <f t="shared" si="0"/>
        <v>Q3 2024</v>
      </c>
      <c r="P5" s="42" t="str">
        <f t="shared" si="0"/>
        <v>Q4 2024</v>
      </c>
      <c r="Q5" s="42" t="str">
        <f t="shared" si="0"/>
        <v>Q1 2025</v>
      </c>
      <c r="R5" s="42" t="str">
        <f t="shared" si="0"/>
        <v>Q2 2025</v>
      </c>
      <c r="S5" s="42" t="str">
        <f t="shared" si="0"/>
        <v>Q3 2025</v>
      </c>
      <c r="T5" s="42" t="str">
        <f t="shared" si="0"/>
        <v>Q4 2025</v>
      </c>
      <c r="U5" s="42" t="str">
        <f t="shared" si="0"/>
        <v>Q1 2026</v>
      </c>
      <c r="V5" s="42" t="str">
        <f t="shared" si="0"/>
        <v>Q2 2026</v>
      </c>
      <c r="W5" s="43" t="str">
        <f t="shared" si="0"/>
        <v>Q3 2026</v>
      </c>
      <c r="X5" s="43" t="str">
        <f t="shared" si="0"/>
        <v>Q4 2026</v>
      </c>
      <c r="Y5" s="43" t="str">
        <f t="shared" si="0"/>
        <v>Q1 2027</v>
      </c>
      <c r="Z5" s="43" t="str">
        <f t="shared" si="0"/>
        <v>Q2 2027</v>
      </c>
      <c r="AA5" s="43" t="str">
        <f t="shared" si="0"/>
        <v>Q3 2027</v>
      </c>
      <c r="AB5" s="43" t="str">
        <f t="shared" si="0"/>
        <v>Q4 2027</v>
      </c>
      <c r="AC5" s="43" t="str">
        <f t="shared" si="0"/>
        <v>Q1 2028</v>
      </c>
      <c r="AD5" s="43" t="str">
        <f t="shared" si="0"/>
        <v>Q2 2028</v>
      </c>
      <c r="AE5" s="43" t="str">
        <f t="shared" si="0"/>
        <v>Q3 2028</v>
      </c>
      <c r="AF5" s="43" t="str">
        <f t="shared" si="0"/>
        <v>Q4 2028</v>
      </c>
    </row>
    <row r="6" spans="1:32" ht="14.25" customHeight="1">
      <c r="A6" s="2" t="s">
        <v>184</v>
      </c>
      <c r="E6" s="1"/>
      <c r="F6" s="1"/>
      <c r="G6" s="1"/>
      <c r="H6" s="1"/>
      <c r="I6" s="1"/>
      <c r="J6" s="1"/>
      <c r="K6" s="1"/>
      <c r="L6" s="1"/>
      <c r="M6" s="1"/>
      <c r="N6" s="1"/>
      <c r="O6" s="1"/>
      <c r="P6" s="1"/>
      <c r="W6" s="1"/>
      <c r="X6" s="1"/>
      <c r="Y6" s="1"/>
      <c r="Z6" s="1"/>
      <c r="AA6" s="1"/>
      <c r="AB6" s="1"/>
      <c r="AC6" s="1"/>
      <c r="AD6" s="1"/>
    </row>
    <row r="7" spans="1:32" ht="14.25" customHeight="1">
      <c r="A7" t="s">
        <v>185</v>
      </c>
      <c r="D7" s="17">
        <f>'Balance Sheet'!B13</f>
        <v>2429</v>
      </c>
      <c r="E7" s="17">
        <f>'Balance Sheet'!C13</f>
        <v>3024</v>
      </c>
      <c r="F7" s="17">
        <f>'Balance Sheet'!D13</f>
        <v>3586</v>
      </c>
      <c r="G7" s="17">
        <f>'Balance Sheet'!E13</f>
        <v>3954</v>
      </c>
      <c r="H7" s="17">
        <f>'Balance Sheet'!F13</f>
        <v>4650</v>
      </c>
      <c r="I7" s="17">
        <f>'Balance Sheet'!G13</f>
        <v>5438</v>
      </c>
      <c r="J7" s="17">
        <f>'Balance Sheet'!H13</f>
        <v>5317</v>
      </c>
      <c r="K7" s="17">
        <f>'Balance Sheet'!I13</f>
        <v>4908</v>
      </c>
      <c r="L7" s="17">
        <f>'Balance Sheet'!J13</f>
        <v>3827</v>
      </c>
      <c r="M7" s="17">
        <f>'Balance Sheet'!K13</f>
        <v>4080</v>
      </c>
      <c r="N7" s="17">
        <f>'Balance Sheet'!L13</f>
        <v>7066</v>
      </c>
      <c r="O7" s="17">
        <f>'Balance Sheet'!M13</f>
        <v>8309</v>
      </c>
      <c r="P7" s="17">
        <f>'Balance Sheet'!N13</f>
        <v>9999</v>
      </c>
      <c r="Q7" s="17">
        <f>'Balance Sheet'!O13</f>
        <v>12365</v>
      </c>
      <c r="R7" s="17">
        <f>'Balance Sheet'!P13</f>
        <v>14132</v>
      </c>
      <c r="S7" s="17">
        <f>'Balance Sheet'!Q13</f>
        <v>17693</v>
      </c>
      <c r="T7" s="17">
        <f>'Balance Sheet'!R13</f>
        <v>23065</v>
      </c>
      <c r="U7" s="17">
        <f>'Balance Sheet'!S13</f>
        <v>22132</v>
      </c>
      <c r="V7" s="17">
        <f>'Balance Sheet'!T13</f>
        <v>27808</v>
      </c>
      <c r="W7" s="44">
        <f>(W20/90)*'DCF Valuation'!X$10</f>
        <v>24497.772397580047</v>
      </c>
      <c r="X7" s="44">
        <f>(X20/90)*'DCF Valuation'!Y$10</f>
        <v>26479.142733127894</v>
      </c>
      <c r="Y7" s="44">
        <f>(Y20/90)*'DCF Valuation'!Z$10</f>
        <v>28898.788534603369</v>
      </c>
      <c r="Z7" s="44">
        <f>(Z20/90)*'DCF Valuation'!AA$10</f>
        <v>30933.928776850669</v>
      </c>
      <c r="AA7" s="44">
        <f>(AA20/90)*'DCF Valuation'!AB$10</f>
        <v>30578.844487325965</v>
      </c>
      <c r="AB7" s="44">
        <f>(AB20/90)*'DCF Valuation'!AC$10</f>
        <v>32995.78488469078</v>
      </c>
      <c r="AC7" s="44">
        <f>(AC20/90)*'DCF Valuation'!AD$10</f>
        <v>34010.311426189932</v>
      </c>
      <c r="AD7" s="44">
        <f>(AD20/90)*'DCF Valuation'!AE$10</f>
        <v>35024.837967689076</v>
      </c>
      <c r="AE7" s="44">
        <f>(AE20/90)*'DCF Valuation'!AF$10</f>
        <v>39704.427063233605</v>
      </c>
      <c r="AF7" s="44">
        <f>(AF20/90)*'DCF Valuation'!AG$10</f>
        <v>44677.42832435426</v>
      </c>
    </row>
    <row r="8" spans="1:32" ht="14.25" customHeight="1">
      <c r="A8" t="s">
        <v>186</v>
      </c>
      <c r="D8" s="17">
        <f>'Balance Sheet'!B14</f>
        <v>1826</v>
      </c>
      <c r="E8" s="17">
        <f>'Balance Sheet'!C14</f>
        <v>1992</v>
      </c>
      <c r="F8" s="17">
        <f>'Balance Sheet'!D14</f>
        <v>2114</v>
      </c>
      <c r="G8" s="17">
        <f>'Balance Sheet'!E14</f>
        <v>2233</v>
      </c>
      <c r="H8" s="17">
        <f>'Balance Sheet'!F14</f>
        <v>2605</v>
      </c>
      <c r="I8" s="17">
        <f>'Balance Sheet'!G14</f>
        <v>3163</v>
      </c>
      <c r="J8" s="17">
        <f>'Balance Sheet'!H14</f>
        <v>3889</v>
      </c>
      <c r="K8" s="17">
        <f>'Balance Sheet'!I14</f>
        <v>4454</v>
      </c>
      <c r="L8" s="17">
        <f>'Balance Sheet'!J14</f>
        <v>5159</v>
      </c>
      <c r="M8" s="17">
        <f>'Balance Sheet'!K14</f>
        <v>4611</v>
      </c>
      <c r="N8" s="17">
        <f>'Balance Sheet'!L14</f>
        <v>4319</v>
      </c>
      <c r="O8" s="17">
        <f>'Balance Sheet'!M14</f>
        <v>4779</v>
      </c>
      <c r="P8" s="17">
        <f>'Balance Sheet'!N14</f>
        <v>5282</v>
      </c>
      <c r="Q8" s="17">
        <f>'Balance Sheet'!O14</f>
        <v>5864</v>
      </c>
      <c r="R8" s="17">
        <f>'Balance Sheet'!P14</f>
        <v>6675</v>
      </c>
      <c r="S8" s="17">
        <f>'Balance Sheet'!Q14</f>
        <v>7654</v>
      </c>
      <c r="T8" s="17">
        <f>'Balance Sheet'!R14</f>
        <v>10080</v>
      </c>
      <c r="U8" s="17">
        <f>'Balance Sheet'!S14</f>
        <v>11333</v>
      </c>
      <c r="V8" s="17">
        <f>'Balance Sheet'!T14</f>
        <v>14962</v>
      </c>
      <c r="W8" s="44">
        <f>(W21/90)*('DCF Valuation'!X$10-'DCF Valuation'!X$13)</f>
        <v>11544.872245654527</v>
      </c>
      <c r="X8" s="44">
        <f>(X21/90)*('DCF Valuation'!Y$10-'DCF Valuation'!Y$13)</f>
        <v>15725.539103962603</v>
      </c>
      <c r="Y8" s="44">
        <f>(Y21/90)*('DCF Valuation'!Z$10-'DCF Valuation'!Z$13)</f>
        <v>16912.094290725156</v>
      </c>
      <c r="Z8" s="44">
        <f>(Z21/90)*('DCF Valuation'!AA$10-'DCF Valuation'!AA$13)</f>
        <v>18548.373075543226</v>
      </c>
      <c r="AA8" s="44">
        <f>(AA21/90)*('DCF Valuation'!AB$10-'DCF Valuation'!AB$13)</f>
        <v>16808.464415241986</v>
      </c>
      <c r="AB8" s="44">
        <f>(AB21/90)*('DCF Valuation'!AC$10-'DCF Valuation'!AC$13)</f>
        <v>18559.937732713755</v>
      </c>
      <c r="AC8" s="44">
        <f>(AC21/90)*('DCF Valuation'!AD$10-'DCF Valuation'!AD$13)</f>
        <v>19797.325203262208</v>
      </c>
      <c r="AD8" s="44">
        <f>(AD21/90)*('DCF Valuation'!AE$10-'DCF Valuation'!AE$13)</f>
        <v>20113.023201208733</v>
      </c>
      <c r="AE8" s="44">
        <f>(AE21/90)*('DCF Valuation'!AF$10-'DCF Valuation'!AF$13)</f>
        <v>22769.305426876927</v>
      </c>
      <c r="AF8" s="44">
        <f>(AF21/90)*('DCF Valuation'!AG$10-'DCF Valuation'!AG$13)</f>
        <v>25337.892808969809</v>
      </c>
    </row>
    <row r="9" spans="1:32" ht="14.25" customHeight="1">
      <c r="A9" t="s">
        <v>187</v>
      </c>
      <c r="D9" s="17">
        <f>'Balance Sheet'!B15</f>
        <v>239</v>
      </c>
      <c r="E9" s="17">
        <f>'Balance Sheet'!C15</f>
        <v>444</v>
      </c>
      <c r="F9" s="17">
        <f>'Balance Sheet'!D15</f>
        <v>452</v>
      </c>
      <c r="G9" s="17">
        <f>'Balance Sheet'!E15</f>
        <v>321</v>
      </c>
      <c r="H9" s="17">
        <f>'Balance Sheet'!F15</f>
        <v>366</v>
      </c>
      <c r="I9" s="17">
        <f>'Balance Sheet'!G15</f>
        <v>636</v>
      </c>
      <c r="J9" s="17">
        <f>'Balance Sheet'!H15</f>
        <v>1175</v>
      </c>
      <c r="K9" s="17">
        <f>'Balance Sheet'!I15</f>
        <v>718</v>
      </c>
      <c r="L9" s="17">
        <f>'Balance Sheet'!J15</f>
        <v>791</v>
      </c>
      <c r="M9" s="17">
        <f>'Balance Sheet'!K15</f>
        <v>872</v>
      </c>
      <c r="N9" s="17">
        <f>'Balance Sheet'!L15</f>
        <v>1389</v>
      </c>
      <c r="O9" s="17">
        <f>'Balance Sheet'!M15</f>
        <v>1289</v>
      </c>
      <c r="P9" s="17">
        <f>'Balance Sheet'!N15</f>
        <v>3080</v>
      </c>
      <c r="Q9" s="17">
        <f>'Balance Sheet'!O15</f>
        <v>4062</v>
      </c>
      <c r="R9" s="17">
        <f>'Balance Sheet'!P15</f>
        <v>4026</v>
      </c>
      <c r="S9" s="17">
        <f>'Balance Sheet'!Q15</f>
        <v>3806</v>
      </c>
      <c r="T9" s="17">
        <f>'Balance Sheet'!R15</f>
        <v>3771</v>
      </c>
      <c r="U9" s="17">
        <f>'Balance Sheet'!S15</f>
        <v>2779</v>
      </c>
      <c r="V9" s="17">
        <f>'Balance Sheet'!T15</f>
        <v>2658</v>
      </c>
      <c r="W9" s="44">
        <f>W22*'DCF Valuation'!X$10</f>
        <v>4356.7983802385234</v>
      </c>
      <c r="X9" s="44">
        <f>X22*'DCF Valuation'!Y$10</f>
        <v>4709.1745444247917</v>
      </c>
      <c r="Y9" s="44">
        <f>Y22*'DCF Valuation'!Z$10</f>
        <v>5139.4956665877462</v>
      </c>
      <c r="Z9" s="44">
        <f>Z22*'DCF Valuation'!AA$10</f>
        <v>5501.4345223776372</v>
      </c>
      <c r="AA9" s="44">
        <f>AA22*'DCF Valuation'!AB$10</f>
        <v>5438.284672165044</v>
      </c>
      <c r="AB9" s="44">
        <f>AB22*'DCF Valuation'!AC$10</f>
        <v>5868.1246526120931</v>
      </c>
      <c r="AC9" s="44">
        <f>AC22*'DCF Valuation'!AD$10</f>
        <v>6048.552796076644</v>
      </c>
      <c r="AD9" s="44">
        <f>AD22*'DCF Valuation'!AE$10</f>
        <v>6228.9809395411949</v>
      </c>
      <c r="AE9" s="44">
        <f>AE22*'DCF Valuation'!AF$10</f>
        <v>7061.2209432757472</v>
      </c>
      <c r="AF9" s="44">
        <f>AF22*'DCF Valuation'!AG$10</f>
        <v>7945.6427383576092</v>
      </c>
    </row>
    <row r="10" spans="1:32" ht="14.25" customHeight="1">
      <c r="A10" s="141" t="s">
        <v>117</v>
      </c>
      <c r="B10" s="38"/>
      <c r="C10" s="38"/>
      <c r="D10" s="143">
        <f t="shared" ref="D10:AF10" si="1">D7+D8+D9</f>
        <v>4494</v>
      </c>
      <c r="E10" s="143">
        <f t="shared" si="1"/>
        <v>5460</v>
      </c>
      <c r="F10" s="143">
        <f t="shared" si="1"/>
        <v>6152</v>
      </c>
      <c r="G10" s="143">
        <f t="shared" si="1"/>
        <v>6508</v>
      </c>
      <c r="H10" s="143">
        <f t="shared" si="1"/>
        <v>7621</v>
      </c>
      <c r="I10" s="143">
        <f t="shared" si="1"/>
        <v>9237</v>
      </c>
      <c r="J10" s="143">
        <f t="shared" si="1"/>
        <v>10381</v>
      </c>
      <c r="K10" s="143">
        <f t="shared" si="1"/>
        <v>10080</v>
      </c>
      <c r="L10" s="143">
        <f t="shared" si="1"/>
        <v>9777</v>
      </c>
      <c r="M10" s="143">
        <f t="shared" si="1"/>
        <v>9563</v>
      </c>
      <c r="N10" s="143">
        <f t="shared" si="1"/>
        <v>12774</v>
      </c>
      <c r="O10" s="143">
        <f t="shared" si="1"/>
        <v>14377</v>
      </c>
      <c r="P10" s="143">
        <f t="shared" si="1"/>
        <v>18361</v>
      </c>
      <c r="Q10" s="143">
        <f t="shared" si="1"/>
        <v>22291</v>
      </c>
      <c r="R10" s="143">
        <f t="shared" si="1"/>
        <v>24833</v>
      </c>
      <c r="S10" s="143">
        <f t="shared" si="1"/>
        <v>29153</v>
      </c>
      <c r="T10" s="143">
        <f t="shared" si="1"/>
        <v>36916</v>
      </c>
      <c r="U10" s="143">
        <f t="shared" si="1"/>
        <v>36244</v>
      </c>
      <c r="V10" s="143">
        <f t="shared" si="1"/>
        <v>45428</v>
      </c>
      <c r="W10" s="146">
        <f t="shared" si="1"/>
        <v>40399.443023473097</v>
      </c>
      <c r="X10" s="146">
        <f t="shared" si="1"/>
        <v>46913.856381515288</v>
      </c>
      <c r="Y10" s="146">
        <f t="shared" si="1"/>
        <v>50950.378491916272</v>
      </c>
      <c r="Z10" s="146">
        <f t="shared" si="1"/>
        <v>54983.736374771535</v>
      </c>
      <c r="AA10" s="146">
        <f t="shared" si="1"/>
        <v>52825.593574732993</v>
      </c>
      <c r="AB10" s="146">
        <f t="shared" si="1"/>
        <v>57423.847270016631</v>
      </c>
      <c r="AC10" s="146">
        <f t="shared" si="1"/>
        <v>59856.189425528784</v>
      </c>
      <c r="AD10" s="146">
        <f t="shared" si="1"/>
        <v>61366.842108439007</v>
      </c>
      <c r="AE10" s="146">
        <f t="shared" si="1"/>
        <v>69534.953433386283</v>
      </c>
      <c r="AF10" s="146">
        <f t="shared" si="1"/>
        <v>77960.96387168167</v>
      </c>
    </row>
    <row r="11" spans="1:32" ht="14.25" customHeight="1">
      <c r="E11" s="17"/>
      <c r="F11" s="17"/>
      <c r="G11" s="17"/>
      <c r="H11" s="17"/>
      <c r="I11" s="17"/>
      <c r="J11" s="17"/>
      <c r="K11" s="17"/>
      <c r="L11" s="17"/>
      <c r="M11" s="17"/>
      <c r="N11" s="17"/>
      <c r="O11" s="17"/>
      <c r="P11" s="17"/>
      <c r="W11" s="17"/>
      <c r="X11" s="17"/>
      <c r="Y11" s="17"/>
      <c r="Z11" s="17"/>
      <c r="AA11" s="17"/>
      <c r="AB11" s="17"/>
      <c r="AC11" s="17"/>
      <c r="AD11" s="17"/>
      <c r="AE11" s="17"/>
      <c r="AF11" s="17"/>
    </row>
    <row r="12" spans="1:32" ht="14.25" customHeight="1">
      <c r="A12" s="2" t="s">
        <v>188</v>
      </c>
      <c r="E12" s="17"/>
      <c r="F12" s="17"/>
      <c r="G12" s="17"/>
      <c r="H12" s="17"/>
      <c r="I12" s="17"/>
      <c r="J12" s="17"/>
      <c r="K12" s="17"/>
      <c r="L12" s="17"/>
      <c r="M12" s="17"/>
      <c r="N12" s="17"/>
      <c r="O12" s="17"/>
      <c r="P12" s="17"/>
      <c r="W12" s="17"/>
      <c r="X12" s="17"/>
      <c r="Y12" s="17"/>
      <c r="Z12" s="17"/>
      <c r="AA12" s="17"/>
      <c r="AB12" s="17"/>
      <c r="AC12" s="17"/>
      <c r="AD12" s="17"/>
      <c r="AE12" s="17"/>
      <c r="AF12" s="17"/>
    </row>
    <row r="13" spans="1:32" ht="14.25" customHeight="1">
      <c r="A13" t="s">
        <v>189</v>
      </c>
      <c r="D13" s="17">
        <f>'Balance Sheet'!B27</f>
        <v>1201</v>
      </c>
      <c r="E13" s="17">
        <f>'Balance Sheet'!C27</f>
        <v>1218</v>
      </c>
      <c r="F13" s="17">
        <f>'Balance Sheet'!D27</f>
        <v>1474</v>
      </c>
      <c r="G13" s="17">
        <f>'Balance Sheet'!E27</f>
        <v>1664</v>
      </c>
      <c r="H13" s="17">
        <f>'Balance Sheet'!F27</f>
        <v>1783</v>
      </c>
      <c r="I13" s="17">
        <f>'Balance Sheet'!G27</f>
        <v>1999</v>
      </c>
      <c r="J13" s="17">
        <f>'Balance Sheet'!H27</f>
        <v>2421</v>
      </c>
      <c r="K13" s="17">
        <f>'Balance Sheet'!I27</f>
        <v>1491</v>
      </c>
      <c r="L13" s="17">
        <f>'Balance Sheet'!J27</f>
        <v>1193</v>
      </c>
      <c r="M13" s="17">
        <f>'Balance Sheet'!K27</f>
        <v>1141</v>
      </c>
      <c r="N13" s="17">
        <f>'Balance Sheet'!L27</f>
        <v>1929</v>
      </c>
      <c r="O13" s="17">
        <f>'Balance Sheet'!M27</f>
        <v>2380</v>
      </c>
      <c r="P13" s="17">
        <f>'Balance Sheet'!N27</f>
        <v>2699</v>
      </c>
      <c r="Q13" s="17">
        <f>'Balance Sheet'!O27</f>
        <v>2715</v>
      </c>
      <c r="R13" s="17">
        <f>'Balance Sheet'!P27</f>
        <v>3680</v>
      </c>
      <c r="S13" s="17">
        <f>'Balance Sheet'!Q27</f>
        <v>5353</v>
      </c>
      <c r="T13" s="17">
        <f>'Balance Sheet'!R27</f>
        <v>6310</v>
      </c>
      <c r="U13" s="17">
        <f>'Balance Sheet'!S27</f>
        <v>7331</v>
      </c>
      <c r="V13" s="17">
        <f>'Balance Sheet'!T27</f>
        <v>9064</v>
      </c>
      <c r="W13" s="44">
        <f>(W23/90)*('DCF Valuation'!X$10-'DCF Valuation'!X$13)</f>
        <v>5771.0134409754819</v>
      </c>
      <c r="X13" s="44">
        <f>(X23/90)*('DCF Valuation'!Y$10-'DCF Valuation'!Y$13)</f>
        <v>7860.8316839290046</v>
      </c>
      <c r="Y13" s="44">
        <f>(Y23/90)*('DCF Valuation'!Z$10-'DCF Valuation'!Z$13)</f>
        <v>8453.9630573699978</v>
      </c>
      <c r="Z13" s="44">
        <f>(Z23/90)*('DCF Valuation'!AA$10-'DCF Valuation'!AA$13)</f>
        <v>9271.9008101175386</v>
      </c>
      <c r="AA13" s="44">
        <f>(AA23/90)*('DCF Valuation'!AB$10-'DCF Valuation'!AB$13)</f>
        <v>8402.1608900030005</v>
      </c>
      <c r="AB13" s="44">
        <f>(AB23/90)*('DCF Valuation'!AC$10-'DCF Valuation'!AC$13)</f>
        <v>9277.6817135828423</v>
      </c>
      <c r="AC13" s="44">
        <f>(AC23/90)*('DCF Valuation'!AD$10-'DCF Valuation'!AD$13)</f>
        <v>9896.2229648225548</v>
      </c>
      <c r="AD13" s="44">
        <f>(AD23/90)*('DCF Valuation'!AE$10-'DCF Valuation'!AE$13)</f>
        <v>10054.033060133414</v>
      </c>
      <c r="AE13" s="44">
        <f>(AE23/90)*('DCF Valuation'!AF$10-'DCF Valuation'!AF$13)</f>
        <v>11381.846837641899</v>
      </c>
      <c r="AF13" s="44">
        <f>(AF23/90)*('DCF Valuation'!AG$10-'DCF Valuation'!AG$13)</f>
        <v>12665.824000053337</v>
      </c>
    </row>
    <row r="14" spans="1:32" ht="14.25" customHeight="1">
      <c r="A14" t="s">
        <v>190</v>
      </c>
      <c r="D14" s="17">
        <f>'Balance Sheet'!B28</f>
        <v>1725</v>
      </c>
      <c r="E14" s="17">
        <f>'Balance Sheet'!C28</f>
        <v>1787</v>
      </c>
      <c r="F14" s="17">
        <f>'Balance Sheet'!D28</f>
        <v>1974</v>
      </c>
      <c r="G14" s="17">
        <f>'Balance Sheet'!E28</f>
        <v>1948</v>
      </c>
      <c r="H14" s="17">
        <f>'Balance Sheet'!F28</f>
        <v>2552</v>
      </c>
      <c r="I14" s="17">
        <f>'Balance Sheet'!G28</f>
        <v>3563</v>
      </c>
      <c r="J14" s="17">
        <f>'Balance Sheet'!H28</f>
        <v>3903</v>
      </c>
      <c r="K14" s="17">
        <f>'Balance Sheet'!I28</f>
        <v>4115</v>
      </c>
      <c r="L14" s="17">
        <f>'Balance Sheet'!J28</f>
        <v>4120</v>
      </c>
      <c r="M14" s="17">
        <f>'Balance Sheet'!K28</f>
        <v>4869</v>
      </c>
      <c r="N14" s="17">
        <f>'Balance Sheet'!L28</f>
        <v>7156</v>
      </c>
      <c r="O14" s="17">
        <f>'Balance Sheet'!M28</f>
        <v>5472</v>
      </c>
      <c r="P14" s="17">
        <f>'Balance Sheet'!N28</f>
        <v>6682</v>
      </c>
      <c r="Q14" s="17">
        <f>'Balance Sheet'!O28</f>
        <v>11258</v>
      </c>
      <c r="R14" s="17">
        <f>'Balance Sheet'!P28</f>
        <v>10289</v>
      </c>
      <c r="S14" s="17">
        <f>'Balance Sheet'!Q28</f>
        <v>11126</v>
      </c>
      <c r="T14" s="17">
        <f>'Balance Sheet'!R28</f>
        <v>11737</v>
      </c>
      <c r="U14" s="17">
        <f>'Balance Sheet'!S28</f>
        <v>19211</v>
      </c>
      <c r="V14" s="17">
        <f>'Balance Sheet'!T28</f>
        <v>15193</v>
      </c>
      <c r="W14" s="44">
        <f>W24*('DCF Valuation'!X$13-'DCF Valuation'!X$16)</f>
        <v>13013.834734440485</v>
      </c>
      <c r="X14" s="44">
        <f>X24*('DCF Valuation'!Y$13-'DCF Valuation'!Y$16)</f>
        <v>14066.388643264036</v>
      </c>
      <c r="Y14" s="44">
        <f>Y24*('DCF Valuation'!Z$13-'DCF Valuation'!Z$16)</f>
        <v>15351.765536527817</v>
      </c>
      <c r="Z14" s="44">
        <f>Z24*('DCF Valuation'!AA$13-'DCF Valuation'!AA$16)</f>
        <v>16432.883376312791</v>
      </c>
      <c r="AA14" s="44">
        <f>AA24*('DCF Valuation'!AB$13-'DCF Valuation'!AB$16)</f>
        <v>16244.253643548718</v>
      </c>
      <c r="AB14" s="44">
        <f>AB24*('DCF Valuation'!AC$13-'DCF Valuation'!AC$16)</f>
        <v>17528.193357896202</v>
      </c>
      <c r="AC14" s="44">
        <f>AC24*('DCF Valuation'!AD$13-'DCF Valuation'!AD$16)</f>
        <v>18067.135451507838</v>
      </c>
      <c r="AD14" s="44">
        <f>AD24*('DCF Valuation'!AE$13-'DCF Valuation'!AE$16)</f>
        <v>18606.07754511949</v>
      </c>
      <c r="AE14" s="44">
        <f>AE24*('DCF Valuation'!AF$13-'DCF Valuation'!AF$16)</f>
        <v>21091.993330691985</v>
      </c>
      <c r="AF14" s="44">
        <f>AF24*('DCF Valuation'!AG$13-'DCF Valuation'!AG$16)</f>
        <v>23733.777060904999</v>
      </c>
    </row>
    <row r="15" spans="1:32" ht="14.25" customHeight="1">
      <c r="A15" s="141" t="s">
        <v>130</v>
      </c>
      <c r="B15" s="38"/>
      <c r="C15" s="38"/>
      <c r="D15" s="143">
        <f t="shared" ref="D15:AF15" si="2">D13+D14</f>
        <v>2926</v>
      </c>
      <c r="E15" s="143">
        <f t="shared" si="2"/>
        <v>3005</v>
      </c>
      <c r="F15" s="143">
        <f t="shared" si="2"/>
        <v>3448</v>
      </c>
      <c r="G15" s="143">
        <f t="shared" si="2"/>
        <v>3612</v>
      </c>
      <c r="H15" s="143">
        <f t="shared" si="2"/>
        <v>4335</v>
      </c>
      <c r="I15" s="143">
        <f t="shared" si="2"/>
        <v>5562</v>
      </c>
      <c r="J15" s="143">
        <f t="shared" si="2"/>
        <v>6324</v>
      </c>
      <c r="K15" s="143">
        <f t="shared" si="2"/>
        <v>5606</v>
      </c>
      <c r="L15" s="143">
        <f t="shared" si="2"/>
        <v>5313</v>
      </c>
      <c r="M15" s="143">
        <f t="shared" si="2"/>
        <v>6010</v>
      </c>
      <c r="N15" s="143">
        <f t="shared" si="2"/>
        <v>9085</v>
      </c>
      <c r="O15" s="143">
        <f t="shared" si="2"/>
        <v>7852</v>
      </c>
      <c r="P15" s="143">
        <f t="shared" si="2"/>
        <v>9381</v>
      </c>
      <c r="Q15" s="143">
        <f t="shared" si="2"/>
        <v>13973</v>
      </c>
      <c r="R15" s="143">
        <f t="shared" si="2"/>
        <v>13969</v>
      </c>
      <c r="S15" s="143">
        <f t="shared" si="2"/>
        <v>16479</v>
      </c>
      <c r="T15" s="143">
        <f t="shared" si="2"/>
        <v>18047</v>
      </c>
      <c r="U15" s="143">
        <f t="shared" si="2"/>
        <v>26542</v>
      </c>
      <c r="V15" s="143">
        <f t="shared" si="2"/>
        <v>24257</v>
      </c>
      <c r="W15" s="146">
        <f t="shared" si="2"/>
        <v>18784.848175415966</v>
      </c>
      <c r="X15" s="146">
        <f t="shared" si="2"/>
        <v>21927.220327193041</v>
      </c>
      <c r="Y15" s="146">
        <f t="shared" si="2"/>
        <v>23805.728593897817</v>
      </c>
      <c r="Z15" s="146">
        <f t="shared" si="2"/>
        <v>25704.78418643033</v>
      </c>
      <c r="AA15" s="146">
        <f t="shared" si="2"/>
        <v>24646.414533551717</v>
      </c>
      <c r="AB15" s="146">
        <f t="shared" si="2"/>
        <v>26805.875071479044</v>
      </c>
      <c r="AC15" s="146">
        <f t="shared" si="2"/>
        <v>27963.358416330393</v>
      </c>
      <c r="AD15" s="146">
        <f t="shared" si="2"/>
        <v>28660.110605252903</v>
      </c>
      <c r="AE15" s="146">
        <f t="shared" si="2"/>
        <v>32473.840168333882</v>
      </c>
      <c r="AF15" s="146">
        <f t="shared" si="2"/>
        <v>36399.601060958332</v>
      </c>
    </row>
    <row r="16" spans="1:32" ht="14.25" customHeight="1">
      <c r="D16" s="17"/>
      <c r="E16" s="17"/>
      <c r="F16" s="17"/>
      <c r="G16" s="17"/>
      <c r="H16" s="17"/>
      <c r="I16" s="17"/>
      <c r="J16" s="17"/>
      <c r="K16" s="17"/>
      <c r="L16" s="17"/>
      <c r="M16" s="17"/>
      <c r="N16" s="17"/>
      <c r="O16" s="17"/>
      <c r="P16" s="17"/>
      <c r="T16" s="19"/>
      <c r="W16" s="17"/>
      <c r="X16" s="17"/>
      <c r="Y16" s="17"/>
      <c r="Z16" s="17"/>
      <c r="AA16" s="17"/>
      <c r="AB16" s="17"/>
      <c r="AC16" s="17"/>
      <c r="AD16" s="17"/>
      <c r="AE16" s="17"/>
      <c r="AF16" s="17"/>
    </row>
    <row r="17" spans="1:32" ht="14.25" customHeight="1">
      <c r="A17" s="141" t="s">
        <v>191</v>
      </c>
      <c r="B17" s="38"/>
      <c r="C17" s="38"/>
      <c r="D17" s="143">
        <f t="shared" ref="D17:AF17" si="3">D10-D15</f>
        <v>1568</v>
      </c>
      <c r="E17" s="143">
        <f t="shared" si="3"/>
        <v>2455</v>
      </c>
      <c r="F17" s="143">
        <f t="shared" si="3"/>
        <v>2704</v>
      </c>
      <c r="G17" s="143">
        <f t="shared" si="3"/>
        <v>2896</v>
      </c>
      <c r="H17" s="143">
        <f t="shared" si="3"/>
        <v>3286</v>
      </c>
      <c r="I17" s="143">
        <f t="shared" si="3"/>
        <v>3675</v>
      </c>
      <c r="J17" s="143">
        <f t="shared" si="3"/>
        <v>4057</v>
      </c>
      <c r="K17" s="143">
        <f t="shared" si="3"/>
        <v>4474</v>
      </c>
      <c r="L17" s="143">
        <f t="shared" si="3"/>
        <v>4464</v>
      </c>
      <c r="M17" s="143">
        <f t="shared" si="3"/>
        <v>3553</v>
      </c>
      <c r="N17" s="143">
        <f t="shared" si="3"/>
        <v>3689</v>
      </c>
      <c r="O17" s="143">
        <f t="shared" si="3"/>
        <v>6525</v>
      </c>
      <c r="P17" s="143">
        <f t="shared" si="3"/>
        <v>8980</v>
      </c>
      <c r="Q17" s="143">
        <f t="shared" si="3"/>
        <v>8318</v>
      </c>
      <c r="R17" s="143">
        <f t="shared" si="3"/>
        <v>10864</v>
      </c>
      <c r="S17" s="143">
        <f t="shared" si="3"/>
        <v>12674</v>
      </c>
      <c r="T17" s="143">
        <f t="shared" si="3"/>
        <v>18869</v>
      </c>
      <c r="U17" s="143">
        <f t="shared" si="3"/>
        <v>9702</v>
      </c>
      <c r="V17" s="143">
        <f t="shared" si="3"/>
        <v>21171</v>
      </c>
      <c r="W17" s="146">
        <f t="shared" si="3"/>
        <v>21614.594848057131</v>
      </c>
      <c r="X17" s="146">
        <f t="shared" si="3"/>
        <v>24986.636054322247</v>
      </c>
      <c r="Y17" s="146">
        <f t="shared" si="3"/>
        <v>27144.649898018455</v>
      </c>
      <c r="Z17" s="146">
        <f t="shared" si="3"/>
        <v>29278.952188341205</v>
      </c>
      <c r="AA17" s="146">
        <f t="shared" si="3"/>
        <v>28179.179041181276</v>
      </c>
      <c r="AB17" s="146">
        <f t="shared" si="3"/>
        <v>30617.972198537587</v>
      </c>
      <c r="AC17" s="146">
        <f t="shared" si="3"/>
        <v>31892.831009198391</v>
      </c>
      <c r="AD17" s="146">
        <f t="shared" si="3"/>
        <v>32706.731503186104</v>
      </c>
      <c r="AE17" s="146">
        <f t="shared" si="3"/>
        <v>37061.113265052401</v>
      </c>
      <c r="AF17" s="146">
        <f t="shared" si="3"/>
        <v>41561.362810723338</v>
      </c>
    </row>
    <row r="18" spans="1:32" ht="14.25" customHeight="1">
      <c r="A18" s="2" t="s">
        <v>192</v>
      </c>
      <c r="E18" s="17">
        <f t="shared" ref="E18:AF18" si="4">E17-D17</f>
        <v>887</v>
      </c>
      <c r="F18" s="17">
        <f t="shared" si="4"/>
        <v>249</v>
      </c>
      <c r="G18" s="17">
        <f t="shared" si="4"/>
        <v>192</v>
      </c>
      <c r="H18" s="17">
        <f t="shared" si="4"/>
        <v>390</v>
      </c>
      <c r="I18" s="17">
        <f t="shared" si="4"/>
        <v>389</v>
      </c>
      <c r="J18" s="17">
        <f t="shared" si="4"/>
        <v>382</v>
      </c>
      <c r="K18" s="17">
        <f t="shared" si="4"/>
        <v>417</v>
      </c>
      <c r="L18" s="17">
        <f t="shared" si="4"/>
        <v>-10</v>
      </c>
      <c r="M18" s="17">
        <f t="shared" si="4"/>
        <v>-911</v>
      </c>
      <c r="N18" s="17">
        <f t="shared" si="4"/>
        <v>136</v>
      </c>
      <c r="O18" s="17">
        <f t="shared" si="4"/>
        <v>2836</v>
      </c>
      <c r="P18" s="17">
        <f t="shared" si="4"/>
        <v>2455</v>
      </c>
      <c r="Q18" s="17">
        <f t="shared" si="4"/>
        <v>-662</v>
      </c>
      <c r="R18" s="17">
        <f t="shared" si="4"/>
        <v>2546</v>
      </c>
      <c r="S18" s="17">
        <f t="shared" si="4"/>
        <v>1810</v>
      </c>
      <c r="T18" s="17">
        <f t="shared" si="4"/>
        <v>6195</v>
      </c>
      <c r="U18" s="17">
        <f t="shared" si="4"/>
        <v>-9167</v>
      </c>
      <c r="V18" s="17">
        <f t="shared" si="4"/>
        <v>11469</v>
      </c>
      <c r="W18" s="44">
        <f t="shared" si="4"/>
        <v>443.59484805713146</v>
      </c>
      <c r="X18" s="44">
        <f t="shared" si="4"/>
        <v>3372.0412062651158</v>
      </c>
      <c r="Y18" s="44">
        <f t="shared" si="4"/>
        <v>2158.0138436962079</v>
      </c>
      <c r="Z18" s="44">
        <f t="shared" si="4"/>
        <v>2134.3022903227502</v>
      </c>
      <c r="AA18" s="44">
        <f t="shared" si="4"/>
        <v>-1099.7731471599291</v>
      </c>
      <c r="AB18" s="44">
        <f t="shared" si="4"/>
        <v>2438.793157356311</v>
      </c>
      <c r="AC18" s="44">
        <f t="shared" si="4"/>
        <v>1274.858810660804</v>
      </c>
      <c r="AD18" s="44">
        <f t="shared" si="4"/>
        <v>813.90049398771225</v>
      </c>
      <c r="AE18" s="44">
        <f t="shared" si="4"/>
        <v>4354.3817618662979</v>
      </c>
      <c r="AF18" s="44">
        <f t="shared" si="4"/>
        <v>4500.2495456709366</v>
      </c>
    </row>
    <row r="19" spans="1:32" ht="14.25" customHeight="1">
      <c r="E19" s="1"/>
      <c r="G19" s="1"/>
      <c r="H19" s="1"/>
      <c r="I19" s="1"/>
      <c r="J19" s="1"/>
      <c r="K19" s="1"/>
      <c r="L19" s="1"/>
      <c r="M19" s="1"/>
      <c r="N19" s="1"/>
      <c r="O19" s="1"/>
      <c r="P19" s="1"/>
      <c r="W19" s="1"/>
      <c r="X19" s="1"/>
      <c r="Y19" s="1"/>
      <c r="Z19" s="1"/>
      <c r="AA19" s="1"/>
      <c r="AB19" s="1"/>
      <c r="AC19" s="1"/>
      <c r="AD19" s="1"/>
      <c r="AE19" s="1"/>
      <c r="AF19" s="1"/>
    </row>
    <row r="20" spans="1:32" ht="14.25" customHeight="1">
      <c r="A20" t="s">
        <v>193</v>
      </c>
      <c r="E20" s="45">
        <f>(AVERAGE(E7,D7)/'DCF Valuation'!F10)*90</f>
        <v>43.346581875993635</v>
      </c>
      <c r="F20" s="45">
        <f>(AVERAGE(F7,E7)/'DCF Valuation'!G10)*90</f>
        <v>45.712309820193639</v>
      </c>
      <c r="G20" s="45">
        <f>(AVERAGE(G7,F7)/'DCF Valuation'!H10)*90</f>
        <v>47.768548500633528</v>
      </c>
      <c r="H20" s="45">
        <f>(AVERAGE(H7,G7)/'DCF Valuation'!I10)*90</f>
        <v>50.65811853984038</v>
      </c>
      <c r="I20" s="45">
        <f>(AVERAGE(I7,H7)/'DCF Valuation'!J10)*90</f>
        <v>54.77316602316602</v>
      </c>
      <c r="J20" s="45">
        <f>(AVERAGE(J7,I7)/'DCF Valuation'!K10)*90</f>
        <v>72.191974940334134</v>
      </c>
      <c r="K20" s="45">
        <f>(AVERAGE(K7,J7)/'DCF Valuation'!L10)*90</f>
        <v>77.579666160849769</v>
      </c>
      <c r="L20" s="45">
        <f>(AVERAGE(L7,K7)/'DCF Valuation'!M10)*90</f>
        <v>64.960337134357957</v>
      </c>
      <c r="M20" s="45">
        <f>(AVERAGE(M7,L7)/'DCF Valuation'!N10)*90</f>
        <v>49.473720800889879</v>
      </c>
      <c r="N20" s="45">
        <f>(AVERAGE(N7,M7)/'DCF Valuation'!O10)*90</f>
        <v>37.134078625897686</v>
      </c>
      <c r="O20" s="45">
        <f>(AVERAGE(O7,N7)/'DCF Valuation'!P10)*90</f>
        <v>38.182947019867548</v>
      </c>
      <c r="P20" s="45">
        <f>(AVERAGE(P7,O7)/'DCF Valuation'!Q10)*90</f>
        <v>37.273673257023937</v>
      </c>
      <c r="Q20" s="45">
        <f>(AVERAGE(Q7,P7)/'DCF Valuation'!X10)*90</f>
        <v>19.707587190450656</v>
      </c>
      <c r="R20" s="45">
        <f>(AVERAGE(R7,Q7)/'DCF Valuation'!Y10)*90</f>
        <v>21.602467159014036</v>
      </c>
      <c r="S20" s="45">
        <f>(AVERAGE(S7,R7)/'DCF Valuation'!Z10)*90</f>
        <v>23.773840446968283</v>
      </c>
      <c r="T20" s="45">
        <f>(AVERAGE(T7,S7)/'DCF Valuation'!AA10)*90</f>
        <v>28.443848197602797</v>
      </c>
      <c r="U20" s="45">
        <f>(AVERAGE(U7,T7)/'DCF Valuation'!AB10)*90</f>
        <v>31.907965014211783</v>
      </c>
      <c r="V20" s="45">
        <f>(AVERAGE(V7,U7)/'DCF Valuation'!AC10)*90</f>
        <v>32.673874975787513</v>
      </c>
      <c r="W20" s="46">
        <f t="shared" ref="W20:AF24" si="5">AVERAGE($E20:$V20)</f>
        <v>43.175816982393513</v>
      </c>
      <c r="X20" s="46">
        <f t="shared" si="5"/>
        <v>43.175816982393513</v>
      </c>
      <c r="Y20" s="46">
        <f t="shared" si="5"/>
        <v>43.175816982393513</v>
      </c>
      <c r="Z20" s="46">
        <f t="shared" si="5"/>
        <v>43.175816982393513</v>
      </c>
      <c r="AA20" s="46">
        <f t="shared" si="5"/>
        <v>43.175816982393513</v>
      </c>
      <c r="AB20" s="46">
        <f t="shared" si="5"/>
        <v>43.175816982393513</v>
      </c>
      <c r="AC20" s="46">
        <f t="shared" si="5"/>
        <v>43.175816982393513</v>
      </c>
      <c r="AD20" s="46">
        <f t="shared" si="5"/>
        <v>43.175816982393513</v>
      </c>
      <c r="AE20" s="46">
        <f t="shared" si="5"/>
        <v>43.175816982393513</v>
      </c>
      <c r="AF20" s="46">
        <f t="shared" si="5"/>
        <v>43.175816982393513</v>
      </c>
    </row>
    <row r="21" spans="1:32" ht="14.25" customHeight="1">
      <c r="A21" t="s">
        <v>194</v>
      </c>
      <c r="E21" s="47">
        <f>(AVERAGE(E8,D8)/('DCF Valuation'!F10-'DCF Valuation'!F13))*90</f>
        <v>84.552165354330711</v>
      </c>
      <c r="F21" s="47">
        <f>(AVERAGE(F8,E8)/('DCF Valuation'!G10-'DCF Valuation'!G13))*90</f>
        <v>80.6151832460733</v>
      </c>
      <c r="G21" s="47">
        <f>(AVERAGE(G8,F8)/('DCF Valuation'!H10-'DCF Valuation'!H13))*90</f>
        <v>79.132281553398059</v>
      </c>
      <c r="H21" s="47">
        <f>(AVERAGE(H8,G8)/('DCF Valuation'!I10-'DCF Valuation'!I13))*90</f>
        <v>82.372304199772984</v>
      </c>
      <c r="I21" s="47">
        <f>(AVERAGE(I8,H8)/('DCF Valuation'!J10-'DCF Valuation'!J13))*90</f>
        <v>90.85054252712635</v>
      </c>
      <c r="J21" s="47">
        <f>(AVERAGE(J8,I8)/('DCF Valuation'!K10-'DCF Valuation'!K13))*90</f>
        <v>83.75296912114014</v>
      </c>
      <c r="K21" s="47">
        <f>(AVERAGE(K8,J8)/('DCF Valuation'!L10-'DCF Valuation'!L13))*90</f>
        <v>136.3235294117647</v>
      </c>
      <c r="L21" s="47">
        <f>(AVERAGE(L8,K8)/('DCF Valuation'!M10-'DCF Valuation'!M13))*90</f>
        <v>195.03381424706942</v>
      </c>
      <c r="M21" s="47">
        <f>(AVERAGE(M8,L8)/('DCF Valuation'!N10-'DCF Valuation'!N13))*90</f>
        <v>172.8183962264151</v>
      </c>
      <c r="N21" s="47">
        <f>(AVERAGE(N8,M8)/('DCF Valuation'!O10-'DCF Valuation'!O13))*90</f>
        <v>99.34487021013598</v>
      </c>
      <c r="O21" s="47">
        <f>(AVERAGE(O8,N8)/('DCF Valuation'!P10-'DCF Valuation'!P13))*90</f>
        <v>86.73940677966101</v>
      </c>
      <c r="P21" s="47">
        <f>(AVERAGE(P8,O8)/('DCF Valuation'!Q10-'DCF Valuation'!Q13))*90</f>
        <v>85.230609939759034</v>
      </c>
      <c r="Q21" s="47">
        <f>(AVERAGE(Q8,P8)/('DCF Valuation'!X10-'DCF Valuation'!X13))*90</f>
        <v>41.443332077691736</v>
      </c>
      <c r="R21" s="47">
        <f>(AVERAGE(R8,Q8)/('DCF Valuation'!Y10-'DCF Valuation'!Y13))*90</f>
        <v>34.228046866277481</v>
      </c>
      <c r="S21" s="47">
        <f>(AVERAGE(S8,R8)/('DCF Valuation'!Z10-'DCF Valuation'!Z13))*90</f>
        <v>36.369995711009246</v>
      </c>
      <c r="T21" s="47">
        <f>(AVERAGE(T8,S8)/('DCF Valuation'!AA10-'DCF Valuation'!AA13))*90</f>
        <v>41.0417282116941</v>
      </c>
      <c r="U21" s="47">
        <f>(AVERAGE(U8,T8)/('DCF Valuation'!AB10-'DCF Valuation'!AB13))*90</f>
        <v>54.685758021003664</v>
      </c>
      <c r="V21" s="48">
        <f>(AVERAGE(V8,U8)/('DCF Valuation'!AC10-'DCF Valuation'!AC13))*90</f>
        <v>60.816499434268586</v>
      </c>
      <c r="W21" s="46">
        <f t="shared" si="5"/>
        <v>85.852857396588433</v>
      </c>
      <c r="X21" s="46">
        <f t="shared" si="5"/>
        <v>85.852857396588433</v>
      </c>
      <c r="Y21" s="46">
        <f t="shared" si="5"/>
        <v>85.852857396588433</v>
      </c>
      <c r="Z21" s="46">
        <f t="shared" si="5"/>
        <v>85.852857396588433</v>
      </c>
      <c r="AA21" s="46">
        <f t="shared" si="5"/>
        <v>85.852857396588433</v>
      </c>
      <c r="AB21" s="46">
        <f t="shared" si="5"/>
        <v>85.852857396588433</v>
      </c>
      <c r="AC21" s="46">
        <f t="shared" si="5"/>
        <v>85.852857396588433</v>
      </c>
      <c r="AD21" s="46">
        <f t="shared" si="5"/>
        <v>85.852857396588433</v>
      </c>
      <c r="AE21" s="46">
        <f t="shared" si="5"/>
        <v>85.852857396588433</v>
      </c>
      <c r="AF21" s="46">
        <f t="shared" si="5"/>
        <v>85.852857396588433</v>
      </c>
    </row>
    <row r="22" spans="1:32" ht="14.25" customHeight="1">
      <c r="A22" t="s">
        <v>195</v>
      </c>
      <c r="E22" s="49">
        <f>E9/'DCF Valuation'!F10</f>
        <v>7.8431372549019607E-2</v>
      </c>
      <c r="F22" s="49">
        <f>F9/'DCF Valuation'!G10</f>
        <v>6.9463654525895188E-2</v>
      </c>
      <c r="G22" s="49">
        <f>G9/'DCF Valuation'!H10</f>
        <v>4.5192172321554272E-2</v>
      </c>
      <c r="H22" s="49">
        <f>H9/'DCF Valuation'!I10</f>
        <v>4.7886955384011512E-2</v>
      </c>
      <c r="I22" s="49">
        <f>I9/'DCF Valuation'!J10</f>
        <v>7.6737451737451737E-2</v>
      </c>
      <c r="J22" s="49">
        <f>J9/'DCF Valuation'!K10</f>
        <v>0.17526849642004774</v>
      </c>
      <c r="K22" s="49">
        <f>K9/'DCF Valuation'!L10</f>
        <v>0.1210588433653684</v>
      </c>
      <c r="L22" s="49">
        <f>L9/'DCF Valuation'!M10</f>
        <v>0.13072219467856552</v>
      </c>
      <c r="M22" s="49">
        <f>M9/'DCF Valuation'!N10</f>
        <v>0.12124582869855395</v>
      </c>
      <c r="N22" s="49">
        <f>N9/'DCF Valuation'!O10</f>
        <v>0.10283556674317021</v>
      </c>
      <c r="O22" s="49">
        <f>O9/'DCF Valuation'!P10</f>
        <v>7.1136865342163361E-2</v>
      </c>
      <c r="P22" s="49">
        <f>P9/'DCF Valuation'!Q10</f>
        <v>0.13934759987332038</v>
      </c>
      <c r="Q22" s="49">
        <f>Q9/'DCF Valuation'!X10</f>
        <v>7.9544723829577876E-2</v>
      </c>
      <c r="R22" s="49">
        <f>R9/'DCF Valuation'!Y10</f>
        <v>7.2940360361290799E-2</v>
      </c>
      <c r="S22" s="49">
        <f>S9/'DCF Valuation'!Z10</f>
        <v>6.3181102725782506E-2</v>
      </c>
      <c r="T22" s="49">
        <f>T9/'DCF Valuation'!AA10</f>
        <v>5.8481634990900311E-2</v>
      </c>
      <c r="U22" s="49">
        <f>U9/'DCF Valuation'!AB10</f>
        <v>4.359789601300703E-2</v>
      </c>
      <c r="V22" s="49">
        <f>V9/'DCF Valuation'!AC10</f>
        <v>3.8645111772190273E-2</v>
      </c>
      <c r="W22" s="50">
        <f t="shared" si="5"/>
        <v>8.5317657296215044E-2</v>
      </c>
      <c r="X22" s="50">
        <f t="shared" si="5"/>
        <v>8.5317657296215044E-2</v>
      </c>
      <c r="Y22" s="50">
        <f t="shared" si="5"/>
        <v>8.5317657296215044E-2</v>
      </c>
      <c r="Z22" s="50">
        <f t="shared" si="5"/>
        <v>8.5317657296215044E-2</v>
      </c>
      <c r="AA22" s="50">
        <f t="shared" si="5"/>
        <v>8.5317657296215044E-2</v>
      </c>
      <c r="AB22" s="50">
        <f t="shared" si="5"/>
        <v>8.5317657296215044E-2</v>
      </c>
      <c r="AC22" s="50">
        <f t="shared" si="5"/>
        <v>8.5317657296215044E-2</v>
      </c>
      <c r="AD22" s="50">
        <f t="shared" si="5"/>
        <v>8.5317657296215044E-2</v>
      </c>
      <c r="AE22" s="50">
        <f t="shared" si="5"/>
        <v>8.5317657296215044E-2</v>
      </c>
      <c r="AF22" s="50">
        <f t="shared" si="5"/>
        <v>8.5317657296215044E-2</v>
      </c>
    </row>
    <row r="23" spans="1:32" ht="14.25" customHeight="1">
      <c r="A23" t="s">
        <v>196</v>
      </c>
      <c r="E23" s="47">
        <f>(AVERAGE(E13,D13)/('DCF Valuation'!F10-'DCF Valuation'!F13))*90</f>
        <v>53.57037401574803</v>
      </c>
      <c r="F23" s="47">
        <f>(AVERAGE(F13,E13)/('DCF Valuation'!G10-'DCF Valuation'!G13))*90</f>
        <v>52.853403141361262</v>
      </c>
      <c r="G23" s="47">
        <f>(AVERAGE(G13,F13)/('DCF Valuation'!H10-'DCF Valuation'!H13))*90</f>
        <v>57.123786407766993</v>
      </c>
      <c r="H23" s="47">
        <f>(AVERAGE(H13,G13)/('DCF Valuation'!I10-'DCF Valuation'!I13))*90</f>
        <v>58.688989784335988</v>
      </c>
      <c r="I23" s="47">
        <f>(AVERAGE(I13,H13)/('DCF Valuation'!J10-'DCF Valuation'!J13))*90</f>
        <v>59.569478473923695</v>
      </c>
      <c r="J23" s="47">
        <f>(AVERAGE(J13,I13)/('DCF Valuation'!K10-'DCF Valuation'!K13))*90</f>
        <v>52.494061757719713</v>
      </c>
      <c r="K23" s="47">
        <f>(AVERAGE(K13,J13)/('DCF Valuation'!L10-'DCF Valuation'!L13))*90</f>
        <v>63.921568627450981</v>
      </c>
      <c r="L23" s="47">
        <f>(AVERAGE(L13,K13)/('DCF Valuation'!M10-'DCF Valuation'!M13))*90</f>
        <v>54.454463480613164</v>
      </c>
      <c r="M23" s="47">
        <f>(AVERAGE(M13,L13)/('DCF Valuation'!N10-'DCF Valuation'!N13))*90</f>
        <v>41.285377358490571</v>
      </c>
      <c r="N23" s="47">
        <f>(AVERAGE(N13,M13)/('DCF Valuation'!O10-'DCF Valuation'!O13))*90</f>
        <v>34.153275648949318</v>
      </c>
      <c r="O23" s="47">
        <f>(AVERAGE(O13,N13)/('DCF Valuation'!P10-'DCF Valuation'!P13))*90</f>
        <v>41.081567796610166</v>
      </c>
      <c r="P23" s="47">
        <f>(AVERAGE(P13,O13)/('DCF Valuation'!Q10-'DCF Valuation'!Q13))*90</f>
        <v>43.026167168674704</v>
      </c>
      <c r="Q23" s="47">
        <f>(AVERAGE(Q13,P13)/('DCF Valuation'!X10-'DCF Valuation'!X13))*90</f>
        <v>20.130468317658625</v>
      </c>
      <c r="R23" s="47">
        <f>(AVERAGE(R13,Q13)/('DCF Valuation'!Y10-'DCF Valuation'!Y13))*90</f>
        <v>17.456604171771634</v>
      </c>
      <c r="S23" s="47">
        <f>(AVERAGE(S13,R13)/('DCF Valuation'!Z10-'DCF Valuation'!Z13))*90</f>
        <v>22.927641235085943</v>
      </c>
      <c r="T23" s="47">
        <f>(AVERAGE(T13,S13)/('DCF Valuation'!AA10-'DCF Valuation'!AA13))*90</f>
        <v>26.991636186590068</v>
      </c>
      <c r="U23" s="47">
        <f>(AVERAGE(U13,T13)/('DCF Valuation'!AB10-'DCF Valuation'!AB13))*90</f>
        <v>34.837174854738286</v>
      </c>
      <c r="V23" s="47">
        <f>(AVERAGE(V13,U13)/('DCF Valuation'!AC10-'DCF Valuation'!AC13))*90</f>
        <v>37.91924351492046</v>
      </c>
      <c r="W23" s="46">
        <f t="shared" si="5"/>
        <v>42.915848996800534</v>
      </c>
      <c r="X23" s="46">
        <f t="shared" si="5"/>
        <v>42.915848996800534</v>
      </c>
      <c r="Y23" s="46">
        <f t="shared" si="5"/>
        <v>42.915848996800534</v>
      </c>
      <c r="Z23" s="46">
        <f t="shared" si="5"/>
        <v>42.915848996800534</v>
      </c>
      <c r="AA23" s="46">
        <f t="shared" si="5"/>
        <v>42.915848996800534</v>
      </c>
      <c r="AB23" s="46">
        <f t="shared" si="5"/>
        <v>42.915848996800534</v>
      </c>
      <c r="AC23" s="46">
        <f t="shared" si="5"/>
        <v>42.915848996800534</v>
      </c>
      <c r="AD23" s="46">
        <f t="shared" si="5"/>
        <v>42.915848996800534</v>
      </c>
      <c r="AE23" s="46">
        <f t="shared" si="5"/>
        <v>42.915848996800534</v>
      </c>
      <c r="AF23" s="46">
        <f t="shared" si="5"/>
        <v>42.915848996800534</v>
      </c>
    </row>
    <row r="24" spans="1:32" ht="14.25" customHeight="1">
      <c r="A24" t="s">
        <v>190</v>
      </c>
      <c r="E24" s="49">
        <f>E14/'Income Statement'!B17</f>
        <v>1.083030303030303</v>
      </c>
      <c r="F24" s="49">
        <f>F14/'Income Statement'!C17</f>
        <v>1.1799163179916319</v>
      </c>
      <c r="G24" s="49">
        <f>G14/'Income Statement'!D17</f>
        <v>1.0999435347261435</v>
      </c>
      <c r="H24" s="49">
        <f>H14/'Income Statement'!E17</f>
        <v>1.3020408163265307</v>
      </c>
      <c r="I24" s="49">
        <f>I14/'Income Statement'!F17</f>
        <v>1.7551724137931035</v>
      </c>
      <c r="J24" s="49">
        <f>J14/'Income Statement'!G17</f>
        <v>1.0954252034802132</v>
      </c>
      <c r="K24" s="49">
        <f>K14/'Income Statement'!H17</f>
        <v>1.7032284768211921</v>
      </c>
      <c r="L24" s="49">
        <f>L14/'Income Statement'!I17</f>
        <v>1.5993788819875776</v>
      </c>
      <c r="M24" s="49">
        <f>M14/'Income Statement'!J17</f>
        <v>1.8894062863795111</v>
      </c>
      <c r="N24" s="49">
        <f>N14/'Income Statement'!K17</f>
        <v>2.8532695374800636</v>
      </c>
      <c r="O24" s="49">
        <f>O14/'Income Statement'!L17</f>
        <v>2.055597295266717</v>
      </c>
      <c r="P24" s="49">
        <f>P14/'Income Statement'!M17</f>
        <v>2.2400268186389543</v>
      </c>
      <c r="Q24" s="49">
        <f>Q14/'Income Statement'!N17</f>
        <v>3.5447103274559195</v>
      </c>
      <c r="R24" s="49">
        <f>R14/'Income Statement'!O17</f>
        <v>2.942236202459251</v>
      </c>
      <c r="S24" s="49">
        <f>S14/'Income Statement'!P17</f>
        <v>2.8296032553407935</v>
      </c>
      <c r="T24" s="49">
        <f>T14/'Income Statement'!Q17</f>
        <v>2.7378119897364126</v>
      </c>
      <c r="U24" s="49">
        <f>U14/'Income Statement'!R17</f>
        <v>4.09703561526978</v>
      </c>
      <c r="V24" s="49">
        <f>V14/'Income Statement'!S17</f>
        <v>3.0204771371769383</v>
      </c>
      <c r="W24" s="50">
        <f t="shared" si="5"/>
        <v>2.1682394674089469</v>
      </c>
      <c r="X24" s="50">
        <f t="shared" si="5"/>
        <v>2.1682394674089469</v>
      </c>
      <c r="Y24" s="50">
        <f t="shared" si="5"/>
        <v>2.1682394674089469</v>
      </c>
      <c r="Z24" s="50">
        <f t="shared" si="5"/>
        <v>2.1682394674089469</v>
      </c>
      <c r="AA24" s="50">
        <f t="shared" si="5"/>
        <v>2.1682394674089469</v>
      </c>
      <c r="AB24" s="50">
        <f t="shared" si="5"/>
        <v>2.1682394674089469</v>
      </c>
      <c r="AC24" s="50">
        <f t="shared" si="5"/>
        <v>2.1682394674089469</v>
      </c>
      <c r="AD24" s="50">
        <f t="shared" si="5"/>
        <v>2.1682394674089469</v>
      </c>
      <c r="AE24" s="50">
        <f t="shared" si="5"/>
        <v>2.1682394674089469</v>
      </c>
      <c r="AF24" s="50">
        <f t="shared" si="5"/>
        <v>2.1682394674089469</v>
      </c>
    </row>
    <row r="25" spans="1:32" ht="14.25" customHeight="1">
      <c r="A25" t="s">
        <v>197</v>
      </c>
      <c r="W25" s="51"/>
      <c r="X25" s="51"/>
      <c r="Y25" s="51"/>
      <c r="Z25" s="51"/>
      <c r="AA25" s="51"/>
      <c r="AB25" s="51"/>
      <c r="AC25" s="51"/>
      <c r="AD25" s="51"/>
      <c r="AE25" s="51"/>
      <c r="AF25" s="51"/>
    </row>
    <row r="26" spans="1:32" ht="14.25" customHeight="1">
      <c r="A26" t="s">
        <v>198</v>
      </c>
      <c r="E26" s="45">
        <f t="shared" ref="E26:V26" si="6">E21+E20-E23</f>
        <v>74.328373214576317</v>
      </c>
      <c r="F26" s="45">
        <f t="shared" si="6"/>
        <v>73.474089924905684</v>
      </c>
      <c r="G26" s="45">
        <f t="shared" si="6"/>
        <v>69.777043646264588</v>
      </c>
      <c r="H26" s="45">
        <f t="shared" si="6"/>
        <v>74.341432955277369</v>
      </c>
      <c r="I26" s="45">
        <f t="shared" si="6"/>
        <v>86.054230076368682</v>
      </c>
      <c r="J26" s="45">
        <f t="shared" si="6"/>
        <v>103.45088230375455</v>
      </c>
      <c r="K26" s="45">
        <f t="shared" si="6"/>
        <v>149.9816269451635</v>
      </c>
      <c r="L26" s="45">
        <f t="shared" si="6"/>
        <v>205.53968790081424</v>
      </c>
      <c r="M26" s="45">
        <f t="shared" si="6"/>
        <v>181.00673966881442</v>
      </c>
      <c r="N26" s="45">
        <f t="shared" si="6"/>
        <v>102.32567318708436</v>
      </c>
      <c r="O26" s="45">
        <f t="shared" si="6"/>
        <v>83.840786002918406</v>
      </c>
      <c r="P26" s="45">
        <f t="shared" si="6"/>
        <v>79.478116028108275</v>
      </c>
      <c r="Q26" s="45">
        <f t="shared" si="6"/>
        <v>41.020450950483763</v>
      </c>
      <c r="R26" s="45">
        <f t="shared" si="6"/>
        <v>38.373909853519891</v>
      </c>
      <c r="S26" s="45">
        <f t="shared" si="6"/>
        <v>37.216194922891589</v>
      </c>
      <c r="T26" s="45">
        <f t="shared" si="6"/>
        <v>42.493940222706826</v>
      </c>
      <c r="U26" s="45">
        <f t="shared" si="6"/>
        <v>51.756548180477161</v>
      </c>
      <c r="V26" s="45">
        <f t="shared" si="6"/>
        <v>55.571130895135632</v>
      </c>
      <c r="W26" s="46">
        <f t="shared" ref="W26:AF26" si="7">AVERAGE($E26:$V26)</f>
        <v>86.112825382181398</v>
      </c>
      <c r="X26" s="46">
        <f t="shared" si="7"/>
        <v>86.112825382181398</v>
      </c>
      <c r="Y26" s="46">
        <f t="shared" si="7"/>
        <v>86.112825382181398</v>
      </c>
      <c r="Z26" s="46">
        <f t="shared" si="7"/>
        <v>86.112825382181398</v>
      </c>
      <c r="AA26" s="46">
        <f t="shared" si="7"/>
        <v>86.112825382181398</v>
      </c>
      <c r="AB26" s="46">
        <f t="shared" si="7"/>
        <v>86.112825382181398</v>
      </c>
      <c r="AC26" s="46">
        <f t="shared" si="7"/>
        <v>86.112825382181398</v>
      </c>
      <c r="AD26" s="46">
        <f t="shared" si="7"/>
        <v>86.112825382181398</v>
      </c>
      <c r="AE26" s="46">
        <f t="shared" si="7"/>
        <v>86.112825382181398</v>
      </c>
      <c r="AF26" s="46">
        <f t="shared" si="7"/>
        <v>86.112825382181398</v>
      </c>
    </row>
  </sheetData>
  <mergeCells count="2">
    <mergeCell ref="D4:V4"/>
    <mergeCell ref="W4:AF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40"/>
  <sheetViews>
    <sheetView showGridLines="0" workbookViewId="0"/>
  </sheetViews>
  <sheetFormatPr defaultColWidth="8.7109375" defaultRowHeight="14.25"/>
  <cols>
    <col min="2" max="2" width="9.28515625" customWidth="1"/>
    <col min="3" max="3" width="11.5703125" customWidth="1"/>
    <col min="4" max="31" width="8.42578125" customWidth="1"/>
    <col min="32" max="32" width="7.85546875" customWidth="1"/>
  </cols>
  <sheetData>
    <row r="1" spans="1:31" ht="11.25" customHeight="1">
      <c r="S1" s="38"/>
    </row>
    <row r="2" spans="1:31" ht="19.5" customHeight="1">
      <c r="A2" s="14" t="s">
        <v>199</v>
      </c>
      <c r="B2" s="15"/>
      <c r="C2" s="15"/>
      <c r="D2" s="15"/>
      <c r="E2" s="15"/>
      <c r="L2" s="16"/>
      <c r="M2" s="16"/>
      <c r="N2" s="16"/>
      <c r="O2" s="17"/>
      <c r="P2" s="17"/>
      <c r="Q2" s="17"/>
      <c r="R2" s="17"/>
      <c r="S2" s="17"/>
    </row>
    <row r="4" spans="1:31" ht="14.25" customHeight="1">
      <c r="A4" s="2"/>
      <c r="D4" s="145" t="s">
        <v>181</v>
      </c>
      <c r="E4" s="145"/>
      <c r="F4" s="145"/>
      <c r="G4" s="145"/>
      <c r="H4" s="145"/>
      <c r="I4" s="145"/>
      <c r="J4" s="145"/>
      <c r="K4" s="145"/>
      <c r="L4" s="145"/>
      <c r="M4" s="145"/>
      <c r="N4" s="145"/>
      <c r="O4" s="145"/>
      <c r="P4" s="145"/>
      <c r="Q4" s="145"/>
      <c r="R4" s="145"/>
      <c r="S4" s="145"/>
      <c r="T4" s="145"/>
      <c r="U4" s="145"/>
      <c r="V4" s="145" t="s">
        <v>182</v>
      </c>
      <c r="W4" s="145"/>
      <c r="X4" s="145"/>
      <c r="Y4" s="145"/>
      <c r="Z4" s="145"/>
      <c r="AA4" s="145"/>
      <c r="AB4" s="145"/>
      <c r="AC4" s="145"/>
      <c r="AD4" s="145"/>
      <c r="AE4" s="145"/>
    </row>
    <row r="5" spans="1:31" ht="14.25" customHeight="1">
      <c r="A5" s="2" t="s">
        <v>183</v>
      </c>
      <c r="D5" s="42" t="s">
        <v>59</v>
      </c>
      <c r="E5" s="42" t="str">
        <f t="shared" ref="E5:AE5" si="0">IF(MID(D5,2,1)="4","Q1 "&amp;RIGHT(D5,4)+1, "Q"&amp;MID(D5,2,1)+1&amp;" "&amp;RIGHT(D5,4))</f>
        <v>Q2 2022</v>
      </c>
      <c r="F5" s="42" t="str">
        <f t="shared" si="0"/>
        <v>Q3 2022</v>
      </c>
      <c r="G5" s="42" t="str">
        <f t="shared" si="0"/>
        <v>Q4 2022</v>
      </c>
      <c r="H5" s="42" t="str">
        <f t="shared" si="0"/>
        <v>Q1 2023</v>
      </c>
      <c r="I5" s="42" t="str">
        <f t="shared" si="0"/>
        <v>Q2 2023</v>
      </c>
      <c r="J5" s="42" t="str">
        <f t="shared" si="0"/>
        <v>Q3 2023</v>
      </c>
      <c r="K5" s="42" t="str">
        <f t="shared" si="0"/>
        <v>Q4 2023</v>
      </c>
      <c r="L5" s="42" t="str">
        <f t="shared" si="0"/>
        <v>Q1 2024</v>
      </c>
      <c r="M5" s="42" t="str">
        <f t="shared" si="0"/>
        <v>Q2 2024</v>
      </c>
      <c r="N5" s="42" t="str">
        <f t="shared" si="0"/>
        <v>Q3 2024</v>
      </c>
      <c r="O5" s="42" t="str">
        <f t="shared" si="0"/>
        <v>Q4 2024</v>
      </c>
      <c r="P5" s="42" t="str">
        <f t="shared" si="0"/>
        <v>Q1 2025</v>
      </c>
      <c r="Q5" s="42" t="str">
        <f t="shared" si="0"/>
        <v>Q2 2025</v>
      </c>
      <c r="R5" s="42" t="str">
        <f t="shared" si="0"/>
        <v>Q3 2025</v>
      </c>
      <c r="S5" s="42" t="str">
        <f t="shared" si="0"/>
        <v>Q4 2025</v>
      </c>
      <c r="T5" s="42" t="str">
        <f t="shared" si="0"/>
        <v>Q1 2026</v>
      </c>
      <c r="U5" s="42" t="str">
        <f t="shared" si="0"/>
        <v>Q2 2026</v>
      </c>
      <c r="V5" s="43" t="str">
        <f t="shared" si="0"/>
        <v>Q3 2026</v>
      </c>
      <c r="W5" s="43" t="str">
        <f t="shared" si="0"/>
        <v>Q4 2026</v>
      </c>
      <c r="X5" s="43" t="str">
        <f t="shared" si="0"/>
        <v>Q1 2027</v>
      </c>
      <c r="Y5" s="43" t="str">
        <f t="shared" si="0"/>
        <v>Q2 2027</v>
      </c>
      <c r="Z5" s="43" t="str">
        <f t="shared" si="0"/>
        <v>Q3 2027</v>
      </c>
      <c r="AA5" s="43" t="str">
        <f t="shared" si="0"/>
        <v>Q4 2027</v>
      </c>
      <c r="AB5" s="43" t="str">
        <f t="shared" si="0"/>
        <v>Q1 2028</v>
      </c>
      <c r="AC5" s="43" t="str">
        <f t="shared" si="0"/>
        <v>Q2 2028</v>
      </c>
      <c r="AD5" s="43" t="str">
        <f t="shared" si="0"/>
        <v>Q3 2028</v>
      </c>
      <c r="AE5" s="43" t="str">
        <f t="shared" si="0"/>
        <v>Q4 2028</v>
      </c>
    </row>
    <row r="6" spans="1:31" ht="14.25" customHeight="1">
      <c r="A6" t="s">
        <v>200</v>
      </c>
      <c r="D6" s="52">
        <f>'Balance Sheet'!B29+'Balance Sheet'!B31</f>
        <v>6963</v>
      </c>
      <c r="E6" s="52">
        <f>'Balance Sheet'!C29+'Balance Sheet'!C31</f>
        <v>6963</v>
      </c>
      <c r="F6" s="52">
        <f>'Balance Sheet'!D29+'Balance Sheet'!D31</f>
        <v>11943</v>
      </c>
      <c r="G6" s="52">
        <f>'Balance Sheet'!E29+'Balance Sheet'!E31</f>
        <v>10944</v>
      </c>
      <c r="H6" s="53">
        <f>'Balance Sheet'!F29+'Balance Sheet'!F31</f>
        <v>10946</v>
      </c>
      <c r="I6">
        <f>'Balance Sheet'!G29+'Balance Sheet'!G31</f>
        <v>10947</v>
      </c>
      <c r="J6">
        <f>'Balance Sheet'!H29+'Balance Sheet'!H31</f>
        <v>10949</v>
      </c>
      <c r="K6">
        <f>'Balance Sheet'!I29+'Balance Sheet'!I31</f>
        <v>10950</v>
      </c>
      <c r="L6">
        <f>'Balance Sheet'!J29+'Balance Sheet'!J31</f>
        <v>10953</v>
      </c>
      <c r="M6" s="52">
        <f>'Balance Sheet'!K29+'Balance Sheet'!K31</f>
        <v>10954</v>
      </c>
      <c r="N6" s="52">
        <f>'Balance Sheet'!L29+'Balance Sheet'!L31</f>
        <v>9705</v>
      </c>
      <c r="O6" s="52">
        <f>'Balance Sheet'!M29+'Balance Sheet'!M31</f>
        <v>9706</v>
      </c>
      <c r="P6" s="52">
        <f>'Balance Sheet'!N29+'Balance Sheet'!N31</f>
        <v>9709</v>
      </c>
      <c r="Q6" s="52">
        <f>'Balance Sheet'!O29+'Balance Sheet'!O31</f>
        <v>9710</v>
      </c>
      <c r="R6" s="52">
        <f>'Balance Sheet'!P29+'Balance Sheet'!P31</f>
        <v>8461</v>
      </c>
      <c r="S6" s="52">
        <f>'Balance Sheet'!Q29+'Balance Sheet'!Q31</f>
        <v>8462</v>
      </c>
      <c r="T6" s="52">
        <f>'Balance Sheet'!R29+'Balance Sheet'!R31</f>
        <v>8463</v>
      </c>
      <c r="U6" s="52">
        <f>'Balance Sheet'!S29+'Balance Sheet'!S31</f>
        <v>8464</v>
      </c>
      <c r="V6" s="54">
        <f t="shared" ref="V6:AE6" si="1">U8</f>
        <v>8466</v>
      </c>
      <c r="W6" s="54">
        <f t="shared" si="1"/>
        <v>8467</v>
      </c>
      <c r="X6" s="54">
        <f t="shared" si="1"/>
        <v>7467</v>
      </c>
      <c r="Y6" s="54">
        <f t="shared" si="1"/>
        <v>7468</v>
      </c>
      <c r="Z6" s="54">
        <f t="shared" si="1"/>
        <v>7469</v>
      </c>
      <c r="AA6" s="54">
        <f t="shared" si="1"/>
        <v>7470</v>
      </c>
      <c r="AB6" s="54">
        <f t="shared" si="1"/>
        <v>7471</v>
      </c>
      <c r="AC6" s="54">
        <f t="shared" si="1"/>
        <v>7472</v>
      </c>
      <c r="AD6" s="54">
        <f t="shared" si="1"/>
        <v>7473</v>
      </c>
      <c r="AE6" s="54">
        <f t="shared" si="1"/>
        <v>7474</v>
      </c>
    </row>
    <row r="7" spans="1:31" ht="14.25" customHeight="1">
      <c r="A7" s="135" t="s">
        <v>201</v>
      </c>
      <c r="B7" s="135"/>
      <c r="C7" s="135"/>
      <c r="D7" s="52">
        <f t="shared" ref="D7:U7" si="2">D8-D6</f>
        <v>0</v>
      </c>
      <c r="E7" s="52">
        <f t="shared" si="2"/>
        <v>4980</v>
      </c>
      <c r="F7" s="52">
        <f t="shared" si="2"/>
        <v>-999</v>
      </c>
      <c r="G7" s="52">
        <f t="shared" si="2"/>
        <v>2</v>
      </c>
      <c r="H7">
        <f t="shared" si="2"/>
        <v>1</v>
      </c>
      <c r="I7">
        <f t="shared" si="2"/>
        <v>2</v>
      </c>
      <c r="J7">
        <f t="shared" si="2"/>
        <v>1</v>
      </c>
      <c r="K7">
        <f t="shared" si="2"/>
        <v>3</v>
      </c>
      <c r="L7">
        <f t="shared" si="2"/>
        <v>1</v>
      </c>
      <c r="M7" s="52">
        <f t="shared" si="2"/>
        <v>-1249</v>
      </c>
      <c r="N7" s="52">
        <f t="shared" si="2"/>
        <v>1</v>
      </c>
      <c r="O7" s="52">
        <f t="shared" si="2"/>
        <v>3</v>
      </c>
      <c r="P7" s="52">
        <f t="shared" si="2"/>
        <v>1</v>
      </c>
      <c r="Q7" s="52">
        <f t="shared" si="2"/>
        <v>-1249</v>
      </c>
      <c r="R7" s="52">
        <f t="shared" si="2"/>
        <v>1</v>
      </c>
      <c r="S7" s="52">
        <f t="shared" si="2"/>
        <v>1</v>
      </c>
      <c r="T7" s="52">
        <f t="shared" si="2"/>
        <v>1</v>
      </c>
      <c r="U7" s="52">
        <f t="shared" si="2"/>
        <v>2</v>
      </c>
      <c r="V7" s="55">
        <v>1</v>
      </c>
      <c r="W7" s="54">
        <v>-1000</v>
      </c>
      <c r="X7" s="55">
        <v>1</v>
      </c>
      <c r="Y7" s="54">
        <v>1</v>
      </c>
      <c r="Z7" s="55">
        <v>1</v>
      </c>
      <c r="AA7" s="55">
        <v>1</v>
      </c>
      <c r="AB7" s="55">
        <v>1</v>
      </c>
      <c r="AC7" s="55">
        <v>1</v>
      </c>
      <c r="AD7" s="55">
        <v>1</v>
      </c>
      <c r="AE7" s="55">
        <v>1</v>
      </c>
    </row>
    <row r="8" spans="1:31" ht="14.25" customHeight="1">
      <c r="A8" s="141" t="s">
        <v>202</v>
      </c>
      <c r="B8" s="38"/>
      <c r="C8" s="147">
        <f>'Balance Sheet'!B29+'Balance Sheet'!B31</f>
        <v>6963</v>
      </c>
      <c r="D8" s="148">
        <f>'Balance Sheet'!C29+'Balance Sheet'!C31</f>
        <v>6963</v>
      </c>
      <c r="E8" s="148">
        <f>'Balance Sheet'!D29+'Balance Sheet'!D31</f>
        <v>11943</v>
      </c>
      <c r="F8" s="148">
        <f>'Balance Sheet'!E29+'Balance Sheet'!E31</f>
        <v>10944</v>
      </c>
      <c r="G8" s="148">
        <f>'Balance Sheet'!F29+'Balance Sheet'!F31</f>
        <v>10946</v>
      </c>
      <c r="H8">
        <f>'Balance Sheet'!G29+'Balance Sheet'!G31</f>
        <v>10947</v>
      </c>
      <c r="I8">
        <f>'Balance Sheet'!H29+'Balance Sheet'!H31</f>
        <v>10949</v>
      </c>
      <c r="J8">
        <f>'Balance Sheet'!I29+'Balance Sheet'!I31</f>
        <v>10950</v>
      </c>
      <c r="K8">
        <f>'Balance Sheet'!J29+'Balance Sheet'!J31</f>
        <v>10953</v>
      </c>
      <c r="L8">
        <f>'Balance Sheet'!K29+'Balance Sheet'!K31</f>
        <v>10954</v>
      </c>
      <c r="M8" s="148">
        <f>'Balance Sheet'!L29+'Balance Sheet'!L31</f>
        <v>9705</v>
      </c>
      <c r="N8" s="148">
        <f>'Balance Sheet'!M29+'Balance Sheet'!M31</f>
        <v>9706</v>
      </c>
      <c r="O8" s="148">
        <f>'Balance Sheet'!N29+'Balance Sheet'!N31</f>
        <v>9709</v>
      </c>
      <c r="P8" s="148">
        <f>'Balance Sheet'!O29+'Balance Sheet'!O31</f>
        <v>9710</v>
      </c>
      <c r="Q8" s="148">
        <f>'Balance Sheet'!P29+'Balance Sheet'!P31</f>
        <v>8461</v>
      </c>
      <c r="R8" s="148">
        <f>'Balance Sheet'!Q29+'Balance Sheet'!Q31</f>
        <v>8462</v>
      </c>
      <c r="S8" s="148">
        <f>'Balance Sheet'!R29+'Balance Sheet'!R31</f>
        <v>8463</v>
      </c>
      <c r="T8" s="148">
        <f>'Balance Sheet'!S29+'Balance Sheet'!S31</f>
        <v>8464</v>
      </c>
      <c r="U8" s="148">
        <f>'Balance Sheet'!T29+'Balance Sheet'!T31</f>
        <v>8466</v>
      </c>
      <c r="V8" s="149">
        <f t="shared" ref="V8:AE8" si="3">V6+V7</f>
        <v>8467</v>
      </c>
      <c r="W8" s="149">
        <f t="shared" si="3"/>
        <v>7467</v>
      </c>
      <c r="X8" s="149">
        <f t="shared" si="3"/>
        <v>7468</v>
      </c>
      <c r="Y8" s="149">
        <f t="shared" si="3"/>
        <v>7469</v>
      </c>
      <c r="Z8" s="149">
        <f t="shared" si="3"/>
        <v>7470</v>
      </c>
      <c r="AA8" s="149">
        <f t="shared" si="3"/>
        <v>7471</v>
      </c>
      <c r="AB8" s="149">
        <f t="shared" si="3"/>
        <v>7472</v>
      </c>
      <c r="AC8" s="149">
        <f t="shared" si="3"/>
        <v>7473</v>
      </c>
      <c r="AD8" s="149">
        <f t="shared" si="3"/>
        <v>7474</v>
      </c>
      <c r="AE8" s="149">
        <f t="shared" si="3"/>
        <v>7475</v>
      </c>
    </row>
    <row r="10" spans="1:31" ht="14.25" customHeight="1">
      <c r="A10" t="s">
        <v>203</v>
      </c>
      <c r="D10" s="31">
        <f>'Income Statement'!C21</f>
        <v>-53</v>
      </c>
      <c r="E10" s="31">
        <f>'Income Statement'!D21</f>
        <v>-60</v>
      </c>
      <c r="F10" s="31">
        <f>'Income Statement'!E21</f>
        <v>-62</v>
      </c>
      <c r="G10" s="31">
        <f>'Income Statement'!F21</f>
        <v>-61</v>
      </c>
      <c r="H10" s="31">
        <f>'Income Statement'!G21</f>
        <v>-68</v>
      </c>
      <c r="I10" s="31">
        <f>'Income Statement'!H21</f>
        <v>-65</v>
      </c>
      <c r="J10" s="31">
        <f>'Income Statement'!I21</f>
        <v>-65</v>
      </c>
      <c r="K10" s="31">
        <f>'Income Statement'!J21</f>
        <v>-64</v>
      </c>
      <c r="L10" s="31">
        <f>'Income Statement'!K21</f>
        <v>-66</v>
      </c>
      <c r="M10" s="31">
        <f>'Income Statement'!L21</f>
        <v>-65</v>
      </c>
      <c r="N10" s="31">
        <f>'Income Statement'!M21</f>
        <v>-63</v>
      </c>
      <c r="O10" s="31">
        <f>'Income Statement'!N21</f>
        <v>-63</v>
      </c>
      <c r="P10" s="31">
        <f>'Income Statement'!O21</f>
        <v>-64</v>
      </c>
      <c r="Q10" s="31">
        <f>'Income Statement'!P21</f>
        <v>-61</v>
      </c>
      <c r="R10" s="31">
        <f>'Income Statement'!Q21</f>
        <v>-61</v>
      </c>
      <c r="S10" s="31">
        <f>'Income Statement'!R21</f>
        <v>-61</v>
      </c>
      <c r="T10" s="31">
        <f>'Income Statement'!S21</f>
        <v>-63</v>
      </c>
      <c r="U10" s="31">
        <f>'Income Statement'!T21</f>
        <v>-62</v>
      </c>
      <c r="V10" s="56">
        <f t="shared" ref="V10:AE10" si="4">V6*V12</f>
        <v>-55.465806348246488</v>
      </c>
      <c r="W10" s="56">
        <f t="shared" si="4"/>
        <v>-55.472357943610092</v>
      </c>
      <c r="X10" s="56">
        <f t="shared" si="4"/>
        <v>-48.92076258000904</v>
      </c>
      <c r="Y10" s="56">
        <f t="shared" si="4"/>
        <v>-48.927314175372636</v>
      </c>
      <c r="Z10" s="56">
        <f t="shared" si="4"/>
        <v>-48.93386577073624</v>
      </c>
      <c r="AA10" s="56">
        <f t="shared" si="4"/>
        <v>-48.940417366099844</v>
      </c>
      <c r="AB10" s="56">
        <f t="shared" si="4"/>
        <v>-48.94696896146344</v>
      </c>
      <c r="AC10" s="56">
        <f t="shared" si="4"/>
        <v>-48.953520556827044</v>
      </c>
      <c r="AD10" s="56">
        <f t="shared" si="4"/>
        <v>-48.960072152190648</v>
      </c>
      <c r="AE10" s="56">
        <f t="shared" si="4"/>
        <v>-48.966623747554245</v>
      </c>
    </row>
    <row r="11" spans="1:31" ht="14.25" customHeight="1">
      <c r="A11" t="s">
        <v>204</v>
      </c>
      <c r="D11" s="52">
        <f>'Income Statement'!B21+'Income Statement'!$B20</f>
        <v>-45</v>
      </c>
      <c r="E11" s="52">
        <f>'Income Statement'!C21+'Income Statement'!$B20</f>
        <v>-46</v>
      </c>
      <c r="F11" s="52">
        <f>'Income Statement'!D21+'Income Statement'!$B20</f>
        <v>-53</v>
      </c>
      <c r="G11" s="52">
        <f>'Income Statement'!E21+'Income Statement'!$B20</f>
        <v>-55</v>
      </c>
      <c r="H11" s="52">
        <f>'Income Statement'!F21+'Income Statement'!$B20</f>
        <v>-54</v>
      </c>
      <c r="I11" s="52">
        <f>'Income Statement'!G21+'Income Statement'!$B20</f>
        <v>-61</v>
      </c>
      <c r="J11" s="52">
        <f>'Income Statement'!H21+'Income Statement'!$B20</f>
        <v>-58</v>
      </c>
      <c r="K11" s="52">
        <f>'Income Statement'!I21+'Income Statement'!$B20</f>
        <v>-58</v>
      </c>
      <c r="L11" s="52">
        <f>'Income Statement'!J21+'Income Statement'!$B20</f>
        <v>-57</v>
      </c>
      <c r="M11" s="52">
        <f>'Income Statement'!K21+'Income Statement'!$B20</f>
        <v>-59</v>
      </c>
      <c r="N11" s="52">
        <f>'Income Statement'!L21+'Income Statement'!$B20</f>
        <v>-58</v>
      </c>
      <c r="O11" s="52">
        <f>'Income Statement'!M21+'Income Statement'!$B20</f>
        <v>-56</v>
      </c>
      <c r="P11" s="52">
        <f>'Income Statement'!N21+'Income Statement'!$B20</f>
        <v>-56</v>
      </c>
      <c r="Q11" s="52">
        <f>'Income Statement'!O21+'Income Statement'!$B20</f>
        <v>-57</v>
      </c>
      <c r="R11" s="52">
        <f>'Income Statement'!P21+'Income Statement'!$B20</f>
        <v>-54</v>
      </c>
      <c r="S11" s="52">
        <f>'Income Statement'!Q21+'Income Statement'!$B20</f>
        <v>-54</v>
      </c>
      <c r="T11" s="52">
        <f>'Income Statement'!R21+'Income Statement'!$B20</f>
        <v>-54</v>
      </c>
      <c r="U11" s="52">
        <f>'Income Statement'!S21+'Income Statement'!$B20</f>
        <v>-56</v>
      </c>
    </row>
    <row r="12" spans="1:31" ht="14.25" customHeight="1">
      <c r="A12" t="s">
        <v>205</v>
      </c>
      <c r="D12" s="57">
        <f t="shared" ref="D12:U12" si="5">D10/D6</f>
        <v>-7.6116616400976594E-3</v>
      </c>
      <c r="E12" s="57">
        <f t="shared" si="5"/>
        <v>-8.6169754416199913E-3</v>
      </c>
      <c r="F12" s="57">
        <f t="shared" si="5"/>
        <v>-5.1913254626140834E-3</v>
      </c>
      <c r="G12" s="57">
        <f t="shared" si="5"/>
        <v>-5.5738304093567248E-3</v>
      </c>
      <c r="H12" s="57">
        <f t="shared" si="5"/>
        <v>-6.212315000913576E-3</v>
      </c>
      <c r="I12" s="57">
        <f t="shared" si="5"/>
        <v>-5.9376998264364664E-3</v>
      </c>
      <c r="J12" s="57">
        <f t="shared" si="5"/>
        <v>-5.9366152160014616E-3</v>
      </c>
      <c r="K12" s="57">
        <f t="shared" si="5"/>
        <v>-5.8447488584474887E-3</v>
      </c>
      <c r="L12" s="57">
        <f t="shared" si="5"/>
        <v>-6.0257463708572991E-3</v>
      </c>
      <c r="M12" s="57">
        <f t="shared" si="5"/>
        <v>-5.9339054226766478E-3</v>
      </c>
      <c r="N12" s="57">
        <f t="shared" si="5"/>
        <v>-6.4914992272024734E-3</v>
      </c>
      <c r="O12" s="57">
        <f t="shared" si="5"/>
        <v>-6.4908304141767983E-3</v>
      </c>
      <c r="P12" s="57">
        <f t="shared" si="5"/>
        <v>-6.5918220208054379E-3</v>
      </c>
      <c r="Q12" s="57">
        <f t="shared" si="5"/>
        <v>-6.2821833161688977E-3</v>
      </c>
      <c r="R12" s="57">
        <f t="shared" si="5"/>
        <v>-7.2095496986171849E-3</v>
      </c>
      <c r="S12" s="57">
        <f t="shared" si="5"/>
        <v>-7.2086977073977784E-3</v>
      </c>
      <c r="T12" s="57">
        <f t="shared" si="5"/>
        <v>-7.4441687344913151E-3</v>
      </c>
      <c r="U12" s="57">
        <f t="shared" si="5"/>
        <v>-7.3251417769376178E-3</v>
      </c>
      <c r="V12" s="58">
        <f t="shared" ref="V12:AE12" si="6">AVERAGE($D12:$U12)</f>
        <v>-6.5515953636010498E-3</v>
      </c>
      <c r="W12" s="58">
        <f t="shared" si="6"/>
        <v>-6.5515953636010498E-3</v>
      </c>
      <c r="X12" s="58">
        <f t="shared" si="6"/>
        <v>-6.5515953636010498E-3</v>
      </c>
      <c r="Y12" s="58">
        <f t="shared" si="6"/>
        <v>-6.5515953636010498E-3</v>
      </c>
      <c r="Z12" s="58">
        <f t="shared" si="6"/>
        <v>-6.5515953636010498E-3</v>
      </c>
      <c r="AA12" s="58">
        <f t="shared" si="6"/>
        <v>-6.5515953636010498E-3</v>
      </c>
      <c r="AB12" s="58">
        <f t="shared" si="6"/>
        <v>-6.5515953636010498E-3</v>
      </c>
      <c r="AC12" s="58">
        <f t="shared" si="6"/>
        <v>-6.5515953636010498E-3</v>
      </c>
      <c r="AD12" s="58">
        <f t="shared" si="6"/>
        <v>-6.5515953636010498E-3</v>
      </c>
      <c r="AE12" s="58">
        <f t="shared" si="6"/>
        <v>-6.5515953636010498E-3</v>
      </c>
    </row>
    <row r="13" spans="1:31" ht="14.25" customHeight="1">
      <c r="A13" s="59"/>
      <c r="B13" s="59"/>
      <c r="C13" s="59"/>
      <c r="D13" s="59"/>
      <c r="E13" s="59"/>
      <c r="F13" s="59"/>
      <c r="G13" s="59"/>
      <c r="H13" s="59"/>
      <c r="I13" s="59"/>
      <c r="J13" s="59"/>
      <c r="K13" s="59"/>
      <c r="L13" s="59"/>
      <c r="M13" s="59"/>
      <c r="N13" s="59"/>
      <c r="O13" s="59"/>
      <c r="P13" s="59"/>
      <c r="Q13" s="59"/>
      <c r="R13" s="59"/>
      <c r="S13" s="59"/>
    </row>
    <row r="14" spans="1:31" ht="26.25" customHeight="1">
      <c r="A14" s="59"/>
      <c r="B14" s="59"/>
      <c r="C14" s="59"/>
      <c r="D14" s="59"/>
      <c r="E14" s="59"/>
      <c r="F14" s="59"/>
      <c r="G14" s="59"/>
      <c r="H14" s="59"/>
      <c r="I14" s="59"/>
      <c r="J14" s="59"/>
      <c r="K14" s="59"/>
      <c r="L14" s="59"/>
      <c r="M14" s="59"/>
      <c r="N14" s="59"/>
      <c r="O14" s="59"/>
      <c r="P14" s="59"/>
      <c r="Q14" s="59"/>
      <c r="R14" s="59"/>
      <c r="S14" s="59"/>
    </row>
    <row r="15" spans="1:31" ht="14.25" customHeight="1">
      <c r="A15" s="59"/>
      <c r="B15" s="60" t="s">
        <v>206</v>
      </c>
      <c r="C15" s="59"/>
      <c r="D15" s="61"/>
      <c r="E15" s="61"/>
      <c r="F15" s="61"/>
      <c r="G15" s="61"/>
      <c r="H15" s="59"/>
      <c r="I15" s="59"/>
      <c r="J15" s="59"/>
      <c r="K15" s="59"/>
      <c r="L15" s="59"/>
      <c r="M15" s="59"/>
      <c r="N15" s="59"/>
      <c r="O15" s="59"/>
      <c r="P15" s="59"/>
      <c r="Q15" s="59"/>
      <c r="R15" s="59"/>
      <c r="S15" s="59"/>
    </row>
    <row r="16" spans="1:31" ht="14.25" customHeight="1">
      <c r="A16" s="59"/>
      <c r="B16" s="59"/>
      <c r="C16" s="59"/>
      <c r="D16" s="62"/>
      <c r="E16" s="62"/>
      <c r="F16" s="63"/>
      <c r="G16" s="63"/>
      <c r="H16" s="62"/>
      <c r="I16" s="59"/>
      <c r="J16" s="59"/>
      <c r="K16" s="59"/>
      <c r="L16" s="59"/>
      <c r="M16" s="59"/>
      <c r="N16" s="59"/>
      <c r="O16" s="59"/>
      <c r="P16" s="59"/>
      <c r="Q16" s="59"/>
      <c r="R16" s="59"/>
      <c r="S16" s="59"/>
    </row>
    <row r="17" spans="1:19" ht="27" customHeight="1">
      <c r="A17" s="59"/>
      <c r="B17" s="133" t="s">
        <v>207</v>
      </c>
      <c r="C17" s="133"/>
      <c r="D17" s="133"/>
      <c r="E17" s="133"/>
      <c r="F17" s="133"/>
      <c r="G17" s="133"/>
      <c r="H17" s="133"/>
      <c r="I17" s="59"/>
      <c r="J17" s="59"/>
      <c r="K17" s="59"/>
      <c r="L17" s="59"/>
      <c r="M17" s="59"/>
      <c r="N17" s="59"/>
      <c r="O17" s="59"/>
      <c r="P17" s="59"/>
      <c r="Q17" s="59"/>
      <c r="R17" s="59"/>
      <c r="S17" s="59"/>
    </row>
    <row r="18" spans="1:19" ht="27" customHeight="1">
      <c r="A18" s="59"/>
      <c r="B18" s="133"/>
      <c r="C18" s="133"/>
      <c r="D18" s="133"/>
      <c r="E18" s="133"/>
      <c r="F18" s="133"/>
      <c r="G18" s="133"/>
      <c r="H18" s="133"/>
      <c r="I18" s="59"/>
      <c r="J18" s="59"/>
      <c r="K18" s="59"/>
      <c r="L18" s="59"/>
      <c r="M18" s="59"/>
      <c r="N18" s="59"/>
      <c r="O18" s="59"/>
      <c r="P18" s="59"/>
      <c r="Q18" s="59"/>
      <c r="R18" s="59"/>
      <c r="S18" s="59"/>
    </row>
    <row r="19" spans="1:19" ht="27" customHeight="1">
      <c r="A19" s="59"/>
      <c r="B19" s="133"/>
      <c r="C19" s="133"/>
      <c r="D19" s="133"/>
      <c r="E19" s="133"/>
      <c r="F19" s="133"/>
      <c r="G19" s="133"/>
      <c r="H19" s="133"/>
      <c r="I19" s="59"/>
      <c r="J19" s="59"/>
      <c r="K19" s="59"/>
      <c r="L19" s="59"/>
      <c r="M19" s="59"/>
      <c r="N19" s="59"/>
      <c r="O19" s="59"/>
      <c r="P19" s="59"/>
      <c r="Q19" s="59"/>
      <c r="R19" s="59"/>
      <c r="S19" s="59"/>
    </row>
    <row r="20" spans="1:19" ht="27" customHeight="1">
      <c r="A20" s="59"/>
      <c r="B20" s="133"/>
      <c r="C20" s="133"/>
      <c r="D20" s="133"/>
      <c r="E20" s="133"/>
      <c r="F20" s="133"/>
      <c r="G20" s="133"/>
      <c r="H20" s="133"/>
      <c r="I20" s="59"/>
      <c r="J20" s="59"/>
      <c r="K20" s="59"/>
      <c r="L20" s="59"/>
      <c r="M20" s="59"/>
      <c r="N20" s="59"/>
      <c r="O20" s="59"/>
      <c r="P20" s="59"/>
      <c r="Q20" s="59"/>
      <c r="R20" s="59"/>
      <c r="S20" s="59"/>
    </row>
    <row r="21" spans="1:19" ht="14.25" customHeight="1">
      <c r="A21" s="59"/>
      <c r="B21" s="59"/>
      <c r="C21" s="59"/>
      <c r="D21" s="59"/>
      <c r="E21" s="59"/>
      <c r="F21" s="59"/>
      <c r="G21" s="59"/>
      <c r="H21" s="59"/>
      <c r="I21" s="59"/>
      <c r="J21" s="59"/>
      <c r="K21" s="59"/>
      <c r="L21" s="59"/>
      <c r="M21" s="59"/>
      <c r="N21" s="59"/>
      <c r="O21" s="59"/>
      <c r="P21" s="59"/>
      <c r="Q21" s="59"/>
      <c r="R21" s="59"/>
      <c r="S21" s="59"/>
    </row>
    <row r="22" spans="1:19" ht="14.25" customHeight="1">
      <c r="A22" s="59"/>
      <c r="B22" s="59"/>
      <c r="C22" s="59"/>
      <c r="D22" s="59"/>
      <c r="E22" s="59"/>
      <c r="F22" s="59"/>
      <c r="G22" s="59"/>
      <c r="H22" s="59"/>
      <c r="I22" s="59"/>
      <c r="J22" s="59"/>
      <c r="K22" s="59"/>
      <c r="L22" s="59"/>
      <c r="M22" s="59"/>
      <c r="N22" s="59"/>
      <c r="O22" s="59"/>
      <c r="P22" s="59"/>
      <c r="Q22" s="59"/>
      <c r="R22" s="59"/>
      <c r="S22" s="59"/>
    </row>
    <row r="23" spans="1:19" ht="14.25" customHeight="1">
      <c r="A23" s="59"/>
      <c r="B23" s="59"/>
      <c r="C23" s="59"/>
      <c r="D23" s="59"/>
      <c r="E23" s="59"/>
      <c r="F23" s="59"/>
      <c r="G23" s="59"/>
      <c r="H23" s="59"/>
      <c r="I23" s="59"/>
      <c r="J23" s="59"/>
      <c r="K23" s="59"/>
      <c r="L23" s="59"/>
      <c r="M23" s="59"/>
      <c r="N23" s="59"/>
      <c r="O23" s="59"/>
      <c r="P23" s="59"/>
      <c r="Q23" s="59"/>
      <c r="R23" s="59"/>
      <c r="S23" s="59"/>
    </row>
    <row r="24" spans="1:19" ht="14.25" customHeight="1">
      <c r="A24" s="59"/>
      <c r="B24" s="64"/>
      <c r="C24" s="59"/>
      <c r="D24" s="59"/>
      <c r="E24" s="59"/>
      <c r="F24" s="59"/>
      <c r="G24" s="59"/>
      <c r="H24" s="59"/>
      <c r="I24" s="59"/>
      <c r="J24" s="59"/>
      <c r="K24" s="59"/>
      <c r="L24" s="59"/>
      <c r="M24" s="59"/>
      <c r="N24" s="59"/>
      <c r="O24" s="59"/>
      <c r="P24" s="59"/>
      <c r="Q24" s="59"/>
      <c r="R24" s="59"/>
      <c r="S24" s="59"/>
    </row>
    <row r="25" spans="1:19" ht="14.25" customHeight="1">
      <c r="A25" s="59"/>
      <c r="B25" s="59"/>
      <c r="C25" s="59"/>
      <c r="D25" s="59"/>
      <c r="E25" s="59"/>
      <c r="F25" s="59"/>
      <c r="G25" s="59"/>
      <c r="H25" s="59"/>
      <c r="I25" s="59"/>
      <c r="J25" s="59"/>
      <c r="K25" s="59"/>
      <c r="L25" s="59"/>
      <c r="M25" s="59"/>
      <c r="N25" s="59"/>
      <c r="O25" s="59"/>
      <c r="P25" s="59"/>
      <c r="Q25" s="59"/>
      <c r="R25" s="59"/>
      <c r="S25" s="59"/>
    </row>
    <row r="26" spans="1:19" ht="14.25" customHeight="1">
      <c r="A26" s="59"/>
      <c r="B26" s="59"/>
      <c r="C26" s="59"/>
      <c r="D26" s="59"/>
      <c r="E26" s="59"/>
      <c r="F26" s="59"/>
      <c r="G26" s="59"/>
      <c r="H26" s="59"/>
      <c r="I26" s="59"/>
      <c r="J26" s="59"/>
      <c r="K26" s="59"/>
      <c r="L26" s="59"/>
      <c r="M26" s="59"/>
      <c r="N26" s="59"/>
      <c r="O26" s="59"/>
      <c r="P26" s="59"/>
      <c r="Q26" s="59"/>
      <c r="R26" s="59"/>
      <c r="S26" s="59"/>
    </row>
    <row r="27" spans="1:19" ht="14.25" customHeight="1">
      <c r="A27" s="59"/>
      <c r="B27" s="59"/>
      <c r="C27" s="59"/>
      <c r="D27" s="59"/>
      <c r="E27" s="59"/>
      <c r="F27" s="59"/>
      <c r="G27" s="59"/>
      <c r="H27" s="59"/>
      <c r="I27" s="59"/>
      <c r="J27" s="59"/>
      <c r="K27" s="59"/>
      <c r="L27" s="59"/>
      <c r="M27" s="59"/>
      <c r="N27" s="59"/>
      <c r="O27" s="59"/>
      <c r="P27" s="59"/>
      <c r="Q27" s="59"/>
      <c r="R27" s="59"/>
      <c r="S27" s="59"/>
    </row>
    <row r="28" spans="1:19" ht="14.25" customHeight="1">
      <c r="A28" s="59"/>
      <c r="B28" s="59"/>
      <c r="C28" s="59"/>
      <c r="D28" s="59"/>
      <c r="E28" s="59"/>
      <c r="F28" s="59"/>
      <c r="G28" s="59"/>
      <c r="H28" s="59"/>
      <c r="I28" s="59"/>
      <c r="J28" s="59"/>
      <c r="K28" s="59"/>
      <c r="L28" s="59"/>
      <c r="M28" s="59"/>
      <c r="N28" s="59"/>
      <c r="O28" s="59"/>
      <c r="P28" s="59"/>
      <c r="Q28" s="59"/>
      <c r="R28" s="59"/>
      <c r="S28" s="59"/>
    </row>
    <row r="29" spans="1:19" ht="14.25" customHeight="1">
      <c r="A29" s="59"/>
      <c r="B29" s="64"/>
      <c r="C29" s="59"/>
      <c r="D29" s="59"/>
      <c r="E29" s="59"/>
      <c r="F29" s="59"/>
      <c r="G29" s="59"/>
      <c r="H29" s="59"/>
      <c r="I29" s="59"/>
      <c r="J29" s="59"/>
      <c r="K29" s="59"/>
      <c r="L29" s="59"/>
      <c r="M29" s="59"/>
      <c r="N29" s="59"/>
      <c r="O29" s="59"/>
      <c r="P29" s="59"/>
      <c r="Q29" s="59"/>
      <c r="R29" s="59"/>
      <c r="S29" s="59"/>
    </row>
    <row r="30" spans="1:19" ht="14.25" customHeight="1">
      <c r="A30" s="59"/>
      <c r="B30" s="59"/>
      <c r="C30" s="59"/>
      <c r="D30" s="59"/>
      <c r="E30" s="59"/>
      <c r="F30" s="59"/>
      <c r="G30" s="59"/>
      <c r="H30" s="59"/>
      <c r="I30" s="59"/>
      <c r="J30" s="59"/>
      <c r="K30" s="59"/>
      <c r="L30" s="59"/>
      <c r="M30" s="59"/>
      <c r="N30" s="59"/>
      <c r="O30" s="59"/>
      <c r="P30" s="59"/>
      <c r="Q30" s="59"/>
      <c r="R30" s="59"/>
      <c r="S30" s="59"/>
    </row>
    <row r="31" spans="1:19" ht="14.25" customHeight="1">
      <c r="A31" s="59"/>
      <c r="B31" s="59"/>
      <c r="C31" s="59"/>
      <c r="D31" s="59"/>
      <c r="E31" s="59"/>
      <c r="F31" s="59"/>
      <c r="G31" s="59"/>
      <c r="H31" s="59"/>
      <c r="I31" s="59"/>
      <c r="J31" s="59"/>
      <c r="K31" s="59"/>
      <c r="L31" s="59"/>
      <c r="M31" s="59"/>
      <c r="N31" s="59"/>
      <c r="O31" s="59"/>
      <c r="P31" s="59"/>
      <c r="Q31" s="59"/>
      <c r="R31" s="59"/>
      <c r="S31" s="59"/>
    </row>
    <row r="32" spans="1:19" ht="14.25" customHeight="1">
      <c r="A32" s="59"/>
      <c r="B32" s="59"/>
      <c r="C32" s="59"/>
      <c r="D32" s="59"/>
      <c r="E32" s="59"/>
      <c r="F32" s="59"/>
      <c r="G32" s="59"/>
      <c r="H32" s="59"/>
      <c r="I32" s="59"/>
      <c r="J32" s="59"/>
      <c r="K32" s="59"/>
      <c r="L32" s="59"/>
      <c r="M32" s="59"/>
      <c r="N32" s="59"/>
      <c r="O32" s="59"/>
      <c r="P32" s="59"/>
      <c r="Q32" s="59"/>
      <c r="R32" s="59"/>
      <c r="S32" s="59"/>
    </row>
    <row r="33" spans="1:19" ht="14.25" customHeight="1">
      <c r="A33" s="59"/>
      <c r="B33" s="64"/>
      <c r="C33" s="59"/>
      <c r="D33" s="59"/>
      <c r="E33" s="59"/>
      <c r="F33" s="59"/>
      <c r="G33" s="59"/>
      <c r="H33" s="59"/>
      <c r="I33" s="59"/>
      <c r="J33" s="59"/>
      <c r="K33" s="59"/>
      <c r="L33" s="59"/>
      <c r="M33" s="59"/>
      <c r="N33" s="59"/>
      <c r="O33" s="59"/>
      <c r="P33" s="59"/>
      <c r="Q33" s="59"/>
      <c r="R33" s="59"/>
      <c r="S33" s="59"/>
    </row>
    <row r="34" spans="1:19" ht="14.25" customHeight="1">
      <c r="A34" s="59"/>
      <c r="B34" s="59"/>
      <c r="C34" s="59"/>
      <c r="D34" s="59"/>
      <c r="E34" s="59"/>
      <c r="F34" s="59"/>
      <c r="G34" s="59"/>
      <c r="H34" s="59"/>
      <c r="I34" s="59"/>
      <c r="J34" s="59"/>
      <c r="K34" s="59"/>
      <c r="L34" s="59"/>
      <c r="M34" s="59"/>
      <c r="N34" s="59"/>
      <c r="O34" s="59"/>
      <c r="P34" s="59"/>
      <c r="Q34" s="59"/>
      <c r="R34" s="59"/>
      <c r="S34" s="59"/>
    </row>
    <row r="35" spans="1:19" ht="14.25" customHeight="1">
      <c r="A35" s="59"/>
      <c r="B35" s="59"/>
      <c r="C35" s="59"/>
      <c r="D35" s="59"/>
      <c r="E35" s="59"/>
      <c r="F35" s="59"/>
      <c r="G35" s="59"/>
      <c r="H35" s="59"/>
      <c r="I35" s="59"/>
      <c r="J35" s="59"/>
      <c r="K35" s="59"/>
      <c r="L35" s="59"/>
      <c r="M35" s="59"/>
      <c r="N35" s="59"/>
      <c r="O35" s="59"/>
      <c r="P35" s="59"/>
      <c r="Q35" s="59"/>
      <c r="R35" s="59"/>
      <c r="S35" s="59"/>
    </row>
    <row r="36" spans="1:19" ht="14.25" customHeight="1">
      <c r="A36" s="65"/>
      <c r="B36" s="59"/>
      <c r="C36" s="59"/>
      <c r="D36" s="59"/>
      <c r="E36" s="59"/>
      <c r="F36" s="59"/>
      <c r="G36" s="59"/>
      <c r="H36" s="59"/>
      <c r="I36" s="59"/>
      <c r="J36" s="59"/>
      <c r="K36" s="59"/>
      <c r="L36" s="59"/>
      <c r="M36" s="59"/>
      <c r="N36" s="59"/>
      <c r="O36" s="59"/>
      <c r="P36" s="59"/>
      <c r="Q36" s="59"/>
      <c r="R36" s="59"/>
      <c r="S36" s="59"/>
    </row>
    <row r="37" spans="1:19" ht="14.25" customHeight="1">
      <c r="A37" s="59"/>
      <c r="B37" s="59"/>
      <c r="C37" s="59"/>
      <c r="D37" s="59"/>
      <c r="E37" s="59"/>
      <c r="F37" s="59"/>
      <c r="G37" s="59"/>
      <c r="H37" s="59"/>
      <c r="I37" s="59"/>
      <c r="J37" s="59"/>
      <c r="K37" s="59"/>
      <c r="L37" s="59"/>
      <c r="M37" s="59"/>
      <c r="N37" s="59"/>
      <c r="O37" s="59"/>
      <c r="P37" s="59"/>
      <c r="Q37" s="59"/>
      <c r="R37" s="59"/>
      <c r="S37" s="59"/>
    </row>
    <row r="38" spans="1:19" ht="14.25" customHeight="1">
      <c r="A38" s="59"/>
      <c r="B38" s="59"/>
      <c r="C38" s="59"/>
      <c r="D38" s="59"/>
      <c r="E38" s="59"/>
      <c r="F38" s="59"/>
      <c r="G38" s="59"/>
      <c r="H38" s="59"/>
      <c r="I38" s="59"/>
      <c r="J38" s="59"/>
      <c r="K38" s="59"/>
      <c r="L38" s="59"/>
      <c r="M38" s="59"/>
      <c r="N38" s="59"/>
      <c r="O38" s="59"/>
      <c r="P38" s="59"/>
      <c r="Q38" s="59"/>
      <c r="R38" s="59"/>
      <c r="S38" s="59"/>
    </row>
    <row r="39" spans="1:19" ht="14.25" customHeight="1">
      <c r="A39" s="59"/>
      <c r="B39" s="59"/>
      <c r="C39" s="59"/>
      <c r="D39" s="59"/>
      <c r="E39" s="59"/>
      <c r="F39" s="59"/>
      <c r="G39" s="59"/>
      <c r="H39" s="59"/>
      <c r="I39" s="59"/>
      <c r="J39" s="59"/>
      <c r="K39" s="59"/>
      <c r="L39" s="59"/>
      <c r="M39" s="59"/>
      <c r="N39" s="59"/>
      <c r="O39" s="59"/>
      <c r="P39" s="59"/>
      <c r="Q39" s="59"/>
      <c r="R39" s="59"/>
      <c r="S39" s="59"/>
    </row>
    <row r="40" spans="1:19" ht="14.25" customHeight="1">
      <c r="A40" s="59"/>
      <c r="B40" s="59"/>
      <c r="C40" s="59"/>
      <c r="D40" s="59"/>
      <c r="E40" s="59"/>
      <c r="F40" s="59"/>
      <c r="G40" s="59"/>
      <c r="H40" s="59"/>
      <c r="I40" s="59"/>
      <c r="J40" s="59"/>
      <c r="K40" s="59"/>
      <c r="L40" s="59"/>
      <c r="M40" s="59"/>
      <c r="N40" s="59"/>
      <c r="O40" s="59"/>
      <c r="P40" s="59"/>
      <c r="Q40" s="59"/>
      <c r="R40" s="59"/>
      <c r="S40" s="59"/>
    </row>
  </sheetData>
  <mergeCells count="4">
    <mergeCell ref="D4:U4"/>
    <mergeCell ref="V4:AE4"/>
    <mergeCell ref="A7:C7"/>
    <mergeCell ref="B17:H2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G33"/>
  <sheetViews>
    <sheetView showGridLines="0" workbookViewId="0"/>
  </sheetViews>
  <sheetFormatPr defaultColWidth="8.7109375" defaultRowHeight="14.25"/>
  <cols>
    <col min="1" max="1" width="11.7109375" customWidth="1"/>
    <col min="2" max="2" width="7.85546875" customWidth="1"/>
    <col min="3" max="3" width="8.28515625" customWidth="1"/>
    <col min="4" max="4" width="9.140625" customWidth="1"/>
    <col min="5" max="7" width="9.5703125" customWidth="1"/>
    <col min="8" max="8" width="9.140625" customWidth="1"/>
    <col min="9" max="11" width="9.5703125" customWidth="1"/>
    <col min="12" max="12" width="9.140625" customWidth="1"/>
    <col min="13" max="15" width="9.5703125" customWidth="1"/>
    <col min="16" max="16" width="9.140625" customWidth="1"/>
    <col min="17" max="19" width="9.5703125" customWidth="1"/>
    <col min="20" max="20" width="9.140625" customWidth="1"/>
    <col min="21" max="23" width="9.5703125" customWidth="1"/>
    <col min="24" max="24" width="9.140625" customWidth="1"/>
    <col min="25" max="27" width="9.5703125" customWidth="1"/>
    <col min="28" max="28" width="9.28515625" customWidth="1"/>
    <col min="29" max="31" width="9.5703125" customWidth="1"/>
    <col min="32" max="32" width="8.85546875" customWidth="1"/>
  </cols>
  <sheetData>
    <row r="1" spans="1:33" ht="9" customHeight="1">
      <c r="U1" s="38"/>
      <c r="V1" s="38"/>
      <c r="W1" s="38"/>
      <c r="X1" s="38"/>
      <c r="Y1" s="38"/>
      <c r="Z1" s="38"/>
      <c r="AA1" s="38"/>
      <c r="AB1" s="38"/>
      <c r="AC1" s="38"/>
      <c r="AD1" s="38"/>
      <c r="AE1" s="38"/>
    </row>
    <row r="2" spans="1:33" ht="21.75" customHeight="1">
      <c r="A2" s="14" t="s">
        <v>208</v>
      </c>
      <c r="L2" s="16"/>
      <c r="M2" s="16"/>
      <c r="N2" s="16"/>
      <c r="O2" s="17"/>
      <c r="P2" s="17"/>
      <c r="Q2" s="17"/>
      <c r="R2" s="17"/>
      <c r="S2" s="17"/>
    </row>
    <row r="4" spans="1:33" ht="14.25" customHeight="1">
      <c r="A4" s="2"/>
      <c r="D4" s="136" t="s">
        <v>181</v>
      </c>
      <c r="E4" s="136"/>
      <c r="F4" s="136"/>
      <c r="G4" s="136"/>
      <c r="H4" s="136"/>
      <c r="I4" s="136"/>
      <c r="J4" s="136"/>
      <c r="K4" s="136"/>
      <c r="L4" s="136"/>
      <c r="M4" s="136"/>
      <c r="N4" s="136"/>
      <c r="O4" s="136"/>
      <c r="P4" s="136"/>
      <c r="Q4" s="136"/>
      <c r="R4" s="136"/>
      <c r="S4" s="136"/>
      <c r="T4" s="136"/>
      <c r="U4" s="136"/>
      <c r="V4" s="136" t="s">
        <v>182</v>
      </c>
      <c r="W4" s="136"/>
      <c r="X4" s="136"/>
      <c r="Y4" s="136"/>
      <c r="Z4" s="136"/>
      <c r="AA4" s="136"/>
      <c r="AB4" s="136"/>
      <c r="AC4" s="136"/>
      <c r="AD4" s="136"/>
      <c r="AE4" s="136"/>
    </row>
    <row r="5" spans="1:33" ht="14.25" customHeight="1">
      <c r="A5" s="2" t="s">
        <v>183</v>
      </c>
      <c r="D5" s="42" t="s">
        <v>59</v>
      </c>
      <c r="E5" s="42" t="str">
        <f t="shared" ref="E5:AE5" si="0">IF(MID(D5,2,1)="4","Q1 "&amp;RIGHT(D5,4)+1, "Q"&amp;MID(D5,2,1)+1&amp;" "&amp;RIGHT(D5,4))</f>
        <v>Q2 2022</v>
      </c>
      <c r="F5" s="42" t="str">
        <f t="shared" si="0"/>
        <v>Q3 2022</v>
      </c>
      <c r="G5" s="42" t="str">
        <f t="shared" si="0"/>
        <v>Q4 2022</v>
      </c>
      <c r="H5" s="42" t="str">
        <f t="shared" si="0"/>
        <v>Q1 2023</v>
      </c>
      <c r="I5" s="42" t="str">
        <f t="shared" si="0"/>
        <v>Q2 2023</v>
      </c>
      <c r="J5" s="42" t="str">
        <f t="shared" si="0"/>
        <v>Q3 2023</v>
      </c>
      <c r="K5" s="42" t="str">
        <f t="shared" si="0"/>
        <v>Q4 2023</v>
      </c>
      <c r="L5" s="42" t="str">
        <f t="shared" si="0"/>
        <v>Q1 2024</v>
      </c>
      <c r="M5" s="42" t="str">
        <f t="shared" si="0"/>
        <v>Q2 2024</v>
      </c>
      <c r="N5" s="42" t="str">
        <f t="shared" si="0"/>
        <v>Q3 2024</v>
      </c>
      <c r="O5" s="42" t="str">
        <f t="shared" si="0"/>
        <v>Q4 2024</v>
      </c>
      <c r="P5" s="42" t="str">
        <f t="shared" si="0"/>
        <v>Q1 2025</v>
      </c>
      <c r="Q5" s="42" t="str">
        <f t="shared" si="0"/>
        <v>Q2 2025</v>
      </c>
      <c r="R5" s="42" t="str">
        <f t="shared" si="0"/>
        <v>Q3 2025</v>
      </c>
      <c r="S5" s="42" t="str">
        <f t="shared" si="0"/>
        <v>Q4 2025</v>
      </c>
      <c r="T5" s="42" t="str">
        <f t="shared" si="0"/>
        <v>Q1 2026</v>
      </c>
      <c r="U5" s="42" t="str">
        <f t="shared" si="0"/>
        <v>Q2 2026</v>
      </c>
      <c r="V5" s="43" t="str">
        <f t="shared" si="0"/>
        <v>Q3 2026</v>
      </c>
      <c r="W5" s="43" t="str">
        <f t="shared" si="0"/>
        <v>Q4 2026</v>
      </c>
      <c r="X5" s="43" t="str">
        <f t="shared" si="0"/>
        <v>Q1 2027</v>
      </c>
      <c r="Y5" s="43" t="str">
        <f t="shared" si="0"/>
        <v>Q2 2027</v>
      </c>
      <c r="Z5" s="43" t="str">
        <f t="shared" si="0"/>
        <v>Q3 2027</v>
      </c>
      <c r="AA5" s="43" t="str">
        <f t="shared" si="0"/>
        <v>Q4 2027</v>
      </c>
      <c r="AB5" s="43" t="str">
        <f t="shared" si="0"/>
        <v>Q1 2028</v>
      </c>
      <c r="AC5" s="43" t="str">
        <f t="shared" si="0"/>
        <v>Q2 2028</v>
      </c>
      <c r="AD5" s="43" t="str">
        <f t="shared" si="0"/>
        <v>Q3 2028</v>
      </c>
      <c r="AE5" s="43" t="str">
        <f t="shared" si="0"/>
        <v>Q4 2028</v>
      </c>
    </row>
    <row r="6" spans="1:33" ht="14.25" customHeight="1">
      <c r="C6" s="1"/>
      <c r="D6" s="1"/>
      <c r="E6" s="1"/>
      <c r="F6" s="1"/>
      <c r="G6" s="1"/>
      <c r="H6" s="1"/>
      <c r="I6" s="1"/>
      <c r="J6" s="1"/>
      <c r="K6" s="1"/>
      <c r="L6" s="1"/>
      <c r="M6" s="1"/>
      <c r="N6" s="1"/>
      <c r="O6" s="1"/>
      <c r="P6" s="1"/>
      <c r="Q6" s="1"/>
      <c r="R6" s="1"/>
      <c r="S6" s="1"/>
      <c r="T6" s="1"/>
      <c r="U6" s="1"/>
      <c r="V6" s="1"/>
      <c r="W6" s="1"/>
    </row>
    <row r="7" spans="1:33" ht="14.25" customHeight="1">
      <c r="A7" s="2" t="s">
        <v>209</v>
      </c>
      <c r="C7" s="1"/>
      <c r="D7" s="1"/>
      <c r="E7" s="1"/>
      <c r="F7" s="1"/>
      <c r="G7" s="1"/>
      <c r="H7" s="1"/>
      <c r="I7" s="1"/>
      <c r="J7" s="1"/>
      <c r="K7" s="1"/>
      <c r="L7" s="1"/>
      <c r="M7" s="1"/>
      <c r="N7" s="1"/>
      <c r="O7" s="1"/>
      <c r="P7" s="1"/>
      <c r="Q7" s="1"/>
      <c r="R7" s="1"/>
      <c r="S7" s="1"/>
      <c r="T7" s="1"/>
      <c r="U7" s="1"/>
      <c r="V7" s="1"/>
      <c r="W7" s="1"/>
      <c r="AG7" s="66"/>
    </row>
    <row r="8" spans="1:33" ht="14.25" customHeight="1">
      <c r="A8" t="s">
        <v>200</v>
      </c>
      <c r="C8" s="1"/>
      <c r="D8" s="52">
        <f>'Balance Sheet'!B17</f>
        <v>2149</v>
      </c>
      <c r="E8" s="52">
        <f>'Balance Sheet'!C17</f>
        <v>2268</v>
      </c>
      <c r="F8" s="52">
        <f>'Balance Sheet'!D17</f>
        <v>2364</v>
      </c>
      <c r="G8" s="52">
        <f>'Balance Sheet'!E17</f>
        <v>2509</v>
      </c>
      <c r="H8" s="52">
        <f>'Balance Sheet'!F17</f>
        <v>2778</v>
      </c>
      <c r="I8" s="52">
        <f>'Balance Sheet'!G17</f>
        <v>2916</v>
      </c>
      <c r="J8" s="52">
        <f>'Balance Sheet'!H17</f>
        <v>3233</v>
      </c>
      <c r="K8" s="52">
        <f>'Balance Sheet'!I17</f>
        <v>3774</v>
      </c>
      <c r="L8" s="52">
        <f>'Balance Sheet'!J17</f>
        <v>3807</v>
      </c>
      <c r="M8" s="52">
        <f>'Balance Sheet'!K17</f>
        <v>3740</v>
      </c>
      <c r="N8" s="52">
        <f>'Balance Sheet'!L17</f>
        <v>3799</v>
      </c>
      <c r="O8" s="52">
        <f>'Balance Sheet'!M17</f>
        <v>3844</v>
      </c>
      <c r="P8" s="52">
        <f>'Balance Sheet'!N17</f>
        <v>3914</v>
      </c>
      <c r="Q8" s="52">
        <f>'Balance Sheet'!O17</f>
        <v>4006</v>
      </c>
      <c r="R8" s="52">
        <f>'Balance Sheet'!P17</f>
        <v>4885</v>
      </c>
      <c r="S8" s="52">
        <f>'Balance Sheet'!Q17</f>
        <v>5343</v>
      </c>
      <c r="T8" s="52">
        <f>'Balance Sheet'!R17</f>
        <v>6283</v>
      </c>
      <c r="U8" s="52">
        <f>'Balance Sheet'!S17</f>
        <v>7136</v>
      </c>
      <c r="V8" s="54">
        <f t="shared" ref="V8:AE8" si="1">U12</f>
        <v>9141</v>
      </c>
      <c r="W8" s="54">
        <f t="shared" si="1"/>
        <v>10320.19347560699</v>
      </c>
      <c r="X8" s="54">
        <f t="shared" si="1"/>
        <v>11583.193877865757</v>
      </c>
      <c r="Y8" s="54">
        <f t="shared" si="1"/>
        <v>12948.539144468861</v>
      </c>
      <c r="Z8" s="54">
        <f t="shared" si="1"/>
        <v>14399.965668042505</v>
      </c>
      <c r="AA8" s="54">
        <f t="shared" si="1"/>
        <v>15836.373029133751</v>
      </c>
      <c r="AB8" s="54">
        <f t="shared" si="1"/>
        <v>17375.01082285518</v>
      </c>
      <c r="AC8" s="54">
        <f t="shared" si="1"/>
        <v>18956.560509383457</v>
      </c>
      <c r="AD8" s="54">
        <f t="shared" si="1"/>
        <v>20581.022088718582</v>
      </c>
      <c r="AE8" s="54">
        <f t="shared" si="1"/>
        <v>22403.418386795885</v>
      </c>
    </row>
    <row r="9" spans="1:33" ht="14.25" customHeight="1">
      <c r="A9" t="s">
        <v>210</v>
      </c>
      <c r="C9" s="1"/>
      <c r="D9" s="52">
        <f t="shared" ref="D9:U9" si="2">D10-D8</f>
        <v>263</v>
      </c>
      <c r="E9" s="52">
        <f t="shared" si="2"/>
        <v>244</v>
      </c>
      <c r="F9" s="52">
        <f t="shared" si="2"/>
        <v>300</v>
      </c>
      <c r="G9" s="52">
        <f t="shared" si="2"/>
        <v>433</v>
      </c>
      <c r="H9" s="52">
        <f t="shared" si="2"/>
        <v>317</v>
      </c>
      <c r="I9" s="52">
        <f t="shared" si="2"/>
        <v>513</v>
      </c>
      <c r="J9" s="52">
        <f t="shared" si="2"/>
        <v>766</v>
      </c>
      <c r="K9" s="52">
        <f t="shared" si="2"/>
        <v>278</v>
      </c>
      <c r="L9" s="52">
        <f t="shared" si="2"/>
        <v>136</v>
      </c>
      <c r="M9" s="52">
        <f t="shared" si="2"/>
        <v>278</v>
      </c>
      <c r="N9" s="52">
        <f t="shared" si="2"/>
        <v>273</v>
      </c>
      <c r="O9" s="52">
        <f t="shared" si="2"/>
        <v>314</v>
      </c>
      <c r="P9" s="52">
        <f t="shared" si="2"/>
        <v>321</v>
      </c>
      <c r="Q9" s="52">
        <f t="shared" si="2"/>
        <v>1131</v>
      </c>
      <c r="R9" s="52">
        <f t="shared" si="2"/>
        <v>755</v>
      </c>
      <c r="S9" s="52">
        <f t="shared" si="2"/>
        <v>1337</v>
      </c>
      <c r="T9" s="52">
        <f t="shared" si="2"/>
        <v>1320</v>
      </c>
      <c r="U9" s="52">
        <f t="shared" si="2"/>
        <v>2531</v>
      </c>
      <c r="V9" s="54">
        <f>'DCF Valuation'!X28</f>
        <v>1746.1363644287239</v>
      </c>
      <c r="W9" s="54">
        <f>'DCF Valuation'!Y28</f>
        <v>1887.363196736228</v>
      </c>
      <c r="X9" s="54">
        <f>'DCF Valuation'!Z28</f>
        <v>2059.8291440241933</v>
      </c>
      <c r="Y9" s="54">
        <f>'DCF Valuation'!AA28</f>
        <v>2204.8885529380968</v>
      </c>
      <c r="Z9" s="54">
        <f>'DCF Valuation'!AB28</f>
        <v>2179.5790847826302</v>
      </c>
      <c r="AA9" s="54">
        <f>'DCF Valuation'!AC28</f>
        <v>2351.8521980275063</v>
      </c>
      <c r="AB9" s="54">
        <f>'DCF Valuation'!AD28</f>
        <v>2424.1649641859822</v>
      </c>
      <c r="AC9" s="54">
        <f>'DCF Valuation'!AE28</f>
        <v>2496.477730344458</v>
      </c>
      <c r="AD9" s="54">
        <f>'DCF Valuation'!AF28</f>
        <v>2830.0264529671563</v>
      </c>
      <c r="AE9" s="54">
        <f>'DCF Valuation'!AG28</f>
        <v>3184.48881801266</v>
      </c>
    </row>
    <row r="10" spans="1:33" ht="14.25" customHeight="1">
      <c r="A10" s="141" t="s">
        <v>211</v>
      </c>
      <c r="B10" s="38"/>
      <c r="C10" s="67"/>
      <c r="D10" s="68">
        <f t="shared" ref="D10:U10" si="3">D12+D11</f>
        <v>2412</v>
      </c>
      <c r="E10" s="68">
        <f t="shared" si="3"/>
        <v>2512</v>
      </c>
      <c r="F10" s="68">
        <f t="shared" si="3"/>
        <v>2664</v>
      </c>
      <c r="G10" s="68">
        <f t="shared" si="3"/>
        <v>2942</v>
      </c>
      <c r="H10" s="68">
        <f t="shared" si="3"/>
        <v>3095</v>
      </c>
      <c r="I10" s="68">
        <f t="shared" si="3"/>
        <v>3429</v>
      </c>
      <c r="J10" s="68">
        <f t="shared" si="3"/>
        <v>3999</v>
      </c>
      <c r="K10" s="68">
        <f t="shared" si="3"/>
        <v>4052</v>
      </c>
      <c r="L10" s="68">
        <f t="shared" si="3"/>
        <v>3943</v>
      </c>
      <c r="M10" s="68">
        <f t="shared" si="3"/>
        <v>4018</v>
      </c>
      <c r="N10" s="68">
        <f t="shared" si="3"/>
        <v>4072</v>
      </c>
      <c r="O10" s="68">
        <f t="shared" si="3"/>
        <v>4158</v>
      </c>
      <c r="P10" s="68">
        <f t="shared" si="3"/>
        <v>4235</v>
      </c>
      <c r="Q10" s="68">
        <f t="shared" si="3"/>
        <v>5137</v>
      </c>
      <c r="R10" s="68">
        <f t="shared" si="3"/>
        <v>5640</v>
      </c>
      <c r="S10" s="68">
        <f t="shared" si="3"/>
        <v>6680</v>
      </c>
      <c r="T10" s="68">
        <f t="shared" si="3"/>
        <v>7603</v>
      </c>
      <c r="U10" s="68">
        <f t="shared" si="3"/>
        <v>9667</v>
      </c>
      <c r="V10" s="69">
        <f t="shared" ref="V10:AE10" si="4">V8+V9</f>
        <v>10887.136364428723</v>
      </c>
      <c r="W10" s="69">
        <f t="shared" si="4"/>
        <v>12207.556672343217</v>
      </c>
      <c r="X10" s="69">
        <f t="shared" si="4"/>
        <v>13643.023021889951</v>
      </c>
      <c r="Y10" s="69">
        <f t="shared" si="4"/>
        <v>15153.427697406958</v>
      </c>
      <c r="Z10" s="69">
        <f t="shared" si="4"/>
        <v>16579.544752825135</v>
      </c>
      <c r="AA10" s="69">
        <f t="shared" si="4"/>
        <v>18188.225227161256</v>
      </c>
      <c r="AB10" s="69">
        <f t="shared" si="4"/>
        <v>19799.17578704116</v>
      </c>
      <c r="AC10" s="69">
        <f t="shared" si="4"/>
        <v>21453.038239727914</v>
      </c>
      <c r="AD10" s="69">
        <f t="shared" si="4"/>
        <v>23411.048541685737</v>
      </c>
      <c r="AE10" s="69">
        <f t="shared" si="4"/>
        <v>25587.907204808544</v>
      </c>
    </row>
    <row r="11" spans="1:33" ht="14.25" customHeight="1">
      <c r="A11" t="s">
        <v>212</v>
      </c>
      <c r="C11" s="1"/>
      <c r="D11" s="1">
        <f>'DCF Valuation'!F24</f>
        <v>144</v>
      </c>
      <c r="E11" s="1">
        <f>'DCF Valuation'!G24</f>
        <v>148</v>
      </c>
      <c r="F11" s="1">
        <f>'DCF Valuation'!H24</f>
        <v>155</v>
      </c>
      <c r="G11" s="1">
        <f>'DCF Valuation'!I24</f>
        <v>164</v>
      </c>
      <c r="H11" s="1">
        <f>'DCF Valuation'!J24</f>
        <v>179</v>
      </c>
      <c r="I11" s="1">
        <f>'DCF Valuation'!K24</f>
        <v>196</v>
      </c>
      <c r="J11" s="1">
        <f>'DCF Valuation'!L24</f>
        <v>225</v>
      </c>
      <c r="K11" s="1">
        <f>'DCF Valuation'!M24</f>
        <v>245</v>
      </c>
      <c r="L11" s="1">
        <f>'DCF Valuation'!N24</f>
        <v>203</v>
      </c>
      <c r="M11" s="1">
        <f>'DCF Valuation'!O24</f>
        <v>219</v>
      </c>
      <c r="N11" s="1">
        <f>'DCF Valuation'!P24</f>
        <v>228</v>
      </c>
      <c r="O11" s="1">
        <f>'DCF Valuation'!Q24</f>
        <v>244</v>
      </c>
      <c r="P11" s="1">
        <f>'DCF Valuation'!R24</f>
        <v>229</v>
      </c>
      <c r="Q11" s="1">
        <f>'DCF Valuation'!S24</f>
        <v>252</v>
      </c>
      <c r="R11" s="1">
        <f>'DCF Valuation'!T24</f>
        <v>297</v>
      </c>
      <c r="S11" s="1">
        <f>'DCF Valuation'!U24</f>
        <v>397</v>
      </c>
      <c r="T11" s="1">
        <f>'DCF Valuation'!V24</f>
        <v>467</v>
      </c>
      <c r="U11" s="1">
        <f>'DCF Valuation'!W24</f>
        <v>526</v>
      </c>
      <c r="V11" s="70">
        <f>'DCF Valuation'!X24</f>
        <v>566.94288882173282</v>
      </c>
      <c r="W11" s="70">
        <f>'DCF Valuation'!Y24</f>
        <v>624.36279447745994</v>
      </c>
      <c r="X11" s="70">
        <f>'DCF Valuation'!Z24</f>
        <v>694.4838774210898</v>
      </c>
      <c r="Y11" s="70">
        <f>'DCF Valuation'!AA24</f>
        <v>753.4620293644532</v>
      </c>
      <c r="Z11" s="70">
        <f>'DCF Valuation'!AB24</f>
        <v>743.17172369138382</v>
      </c>
      <c r="AA11" s="70">
        <f>'DCF Valuation'!AC24</f>
        <v>813.21440430607618</v>
      </c>
      <c r="AB11" s="70">
        <f>'DCF Valuation'!AD24</f>
        <v>842.61527765770279</v>
      </c>
      <c r="AC11" s="70">
        <f>'DCF Valuation'!AE24</f>
        <v>872.01615100932952</v>
      </c>
      <c r="AD11" s="70">
        <f>'DCF Valuation'!AF24</f>
        <v>1007.6301548898514</v>
      </c>
      <c r="AE11" s="70">
        <f>'DCF Valuation'!AG24</f>
        <v>1151.7472127241742</v>
      </c>
    </row>
    <row r="12" spans="1:33" ht="14.25" customHeight="1">
      <c r="A12" s="141" t="s">
        <v>202</v>
      </c>
      <c r="B12" s="38"/>
      <c r="C12" s="148">
        <f>'Balance Sheet'!B17</f>
        <v>2149</v>
      </c>
      <c r="D12" s="148">
        <f>'Balance Sheet'!C17</f>
        <v>2268</v>
      </c>
      <c r="E12" s="148">
        <f>'Balance Sheet'!D17</f>
        <v>2364</v>
      </c>
      <c r="F12" s="148">
        <f>'Balance Sheet'!E17</f>
        <v>2509</v>
      </c>
      <c r="G12" s="148">
        <f>'Balance Sheet'!F17</f>
        <v>2778</v>
      </c>
      <c r="H12" s="148">
        <f>'Balance Sheet'!G17</f>
        <v>2916</v>
      </c>
      <c r="I12" s="148">
        <f>'Balance Sheet'!H17</f>
        <v>3233</v>
      </c>
      <c r="J12" s="148">
        <f>'Balance Sheet'!I17</f>
        <v>3774</v>
      </c>
      <c r="K12" s="148">
        <f>'Balance Sheet'!J17</f>
        <v>3807</v>
      </c>
      <c r="L12" s="148">
        <f>'Balance Sheet'!K17</f>
        <v>3740</v>
      </c>
      <c r="M12" s="148">
        <f>'Balance Sheet'!L17</f>
        <v>3799</v>
      </c>
      <c r="N12" s="148">
        <f>'Balance Sheet'!M17</f>
        <v>3844</v>
      </c>
      <c r="O12" s="148">
        <f>'Balance Sheet'!N17</f>
        <v>3914</v>
      </c>
      <c r="P12" s="148">
        <f>'Balance Sheet'!O17</f>
        <v>4006</v>
      </c>
      <c r="Q12" s="148">
        <f>'Balance Sheet'!P17</f>
        <v>4885</v>
      </c>
      <c r="R12" s="148">
        <f>'Balance Sheet'!Q17</f>
        <v>5343</v>
      </c>
      <c r="S12" s="148">
        <f>'Balance Sheet'!R17</f>
        <v>6283</v>
      </c>
      <c r="T12" s="148">
        <f>'Balance Sheet'!S17</f>
        <v>7136</v>
      </c>
      <c r="U12" s="148">
        <f>'Balance Sheet'!T17</f>
        <v>9141</v>
      </c>
      <c r="V12" s="149">
        <f t="shared" ref="V12:AE12" si="5">V10-V11</f>
        <v>10320.19347560699</v>
      </c>
      <c r="W12" s="149">
        <f t="shared" si="5"/>
        <v>11583.193877865757</v>
      </c>
      <c r="X12" s="149">
        <f t="shared" si="5"/>
        <v>12948.539144468861</v>
      </c>
      <c r="Y12" s="149">
        <f t="shared" si="5"/>
        <v>14399.965668042505</v>
      </c>
      <c r="Z12" s="149">
        <f t="shared" si="5"/>
        <v>15836.373029133751</v>
      </c>
      <c r="AA12" s="149">
        <f t="shared" si="5"/>
        <v>17375.01082285518</v>
      </c>
      <c r="AB12" s="149">
        <f t="shared" si="5"/>
        <v>18956.560509383457</v>
      </c>
      <c r="AC12" s="149">
        <f t="shared" si="5"/>
        <v>20581.022088718582</v>
      </c>
      <c r="AD12" s="149">
        <f t="shared" si="5"/>
        <v>22403.418386795885</v>
      </c>
      <c r="AE12" s="149">
        <f t="shared" si="5"/>
        <v>24436.159992084369</v>
      </c>
    </row>
    <row r="13" spans="1:33" ht="14.25" customHeight="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row>
    <row r="14" spans="1:33" ht="14.25" customHeight="1">
      <c r="A14" s="2" t="s">
        <v>213</v>
      </c>
      <c r="C14" s="1"/>
      <c r="D14" s="57">
        <f t="shared" ref="D14:U14" si="6">D11/D10</f>
        <v>5.9701492537313432E-2</v>
      </c>
      <c r="E14" s="57">
        <f t="shared" si="6"/>
        <v>5.89171974522293E-2</v>
      </c>
      <c r="F14" s="57">
        <f t="shared" si="6"/>
        <v>5.8183183183183183E-2</v>
      </c>
      <c r="G14" s="57">
        <f t="shared" si="6"/>
        <v>5.5744391570360298E-2</v>
      </c>
      <c r="H14" s="57">
        <f t="shared" si="6"/>
        <v>5.7835218093699514E-2</v>
      </c>
      <c r="I14" s="57">
        <f t="shared" si="6"/>
        <v>5.7159521726450863E-2</v>
      </c>
      <c r="J14" s="57">
        <f t="shared" si="6"/>
        <v>5.6264066016504126E-2</v>
      </c>
      <c r="K14" s="57">
        <f t="shared" si="6"/>
        <v>6.0463968410661401E-2</v>
      </c>
      <c r="L14" s="57">
        <f t="shared" si="6"/>
        <v>5.1483641897032716E-2</v>
      </c>
      <c r="M14" s="57">
        <f t="shared" si="6"/>
        <v>5.4504728720756596E-2</v>
      </c>
      <c r="N14" s="57">
        <f t="shared" si="6"/>
        <v>5.5992141453831044E-2</v>
      </c>
      <c r="O14" s="57">
        <f t="shared" si="6"/>
        <v>5.8682058682058683E-2</v>
      </c>
      <c r="P14" s="57">
        <f t="shared" si="6"/>
        <v>5.4073199527744982E-2</v>
      </c>
      <c r="Q14" s="57">
        <f t="shared" si="6"/>
        <v>4.9055869184348844E-2</v>
      </c>
      <c r="R14" s="57">
        <f t="shared" si="6"/>
        <v>5.2659574468085106E-2</v>
      </c>
      <c r="S14" s="57">
        <f t="shared" si="6"/>
        <v>5.94311377245509E-2</v>
      </c>
      <c r="T14" s="57">
        <f t="shared" si="6"/>
        <v>6.1423122451663814E-2</v>
      </c>
      <c r="U14" s="57">
        <f t="shared" si="6"/>
        <v>5.441191683045412E-2</v>
      </c>
      <c r="V14" s="58">
        <f t="shared" ref="V14:AE14" si="7">AVERAGE($S14:$U14)</f>
        <v>5.8422059002222942E-2</v>
      </c>
      <c r="W14" s="58">
        <f t="shared" si="7"/>
        <v>5.8422059002222942E-2</v>
      </c>
      <c r="X14" s="58">
        <f t="shared" si="7"/>
        <v>5.8422059002222942E-2</v>
      </c>
      <c r="Y14" s="58">
        <f t="shared" si="7"/>
        <v>5.8422059002222942E-2</v>
      </c>
      <c r="Z14" s="58">
        <f t="shared" si="7"/>
        <v>5.8422059002222942E-2</v>
      </c>
      <c r="AA14" s="58">
        <f t="shared" si="7"/>
        <v>5.8422059002222942E-2</v>
      </c>
      <c r="AB14" s="58">
        <f t="shared" si="7"/>
        <v>5.8422059002222942E-2</v>
      </c>
      <c r="AC14" s="58">
        <f t="shared" si="7"/>
        <v>5.8422059002222942E-2</v>
      </c>
      <c r="AD14" s="58">
        <f t="shared" si="7"/>
        <v>5.8422059002222942E-2</v>
      </c>
      <c r="AE14" s="58">
        <f t="shared" si="7"/>
        <v>5.8422059002222942E-2</v>
      </c>
    </row>
    <row r="15" spans="1:33" ht="14.25" customHeight="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row>
    <row r="16" spans="1:33" ht="14.25" customHeight="1">
      <c r="A16" s="2" t="s">
        <v>214</v>
      </c>
      <c r="C16" s="1"/>
      <c r="D16" s="71">
        <f>'DCF Valuation'!F10/D10</f>
        <v>2.3470149253731343</v>
      </c>
      <c r="E16" s="71">
        <f>'DCF Valuation'!G10/E10</f>
        <v>2.5903662420382165</v>
      </c>
      <c r="F16" s="71">
        <f>'DCF Valuation'!H10/F10</f>
        <v>2.6662912912912913</v>
      </c>
      <c r="G16" s="71">
        <f>'DCF Valuation'!I10/G10</f>
        <v>2.5978925900747791</v>
      </c>
      <c r="H16" s="71">
        <f>'DCF Valuation'!J10/H10</f>
        <v>2.6778675282714053</v>
      </c>
      <c r="I16" s="71">
        <f>'DCF Valuation'!K10/I10</f>
        <v>1.9550889472149315</v>
      </c>
      <c r="J16" s="71">
        <f>'DCF Valuation'!L10/J10</f>
        <v>1.4831207801950488</v>
      </c>
      <c r="K16" s="71">
        <f>'DCF Valuation'!M10/K10</f>
        <v>1.4933366238894372</v>
      </c>
      <c r="L16" s="71">
        <f>'DCF Valuation'!N10/L10</f>
        <v>1.8239918843520162</v>
      </c>
      <c r="M16" s="71">
        <f>'DCF Valuation'!O10/M10</f>
        <v>3.3616226978596315</v>
      </c>
      <c r="N16" s="71">
        <f>'DCF Valuation'!P10/N10</f>
        <v>4.4499017681728876</v>
      </c>
      <c r="O16" s="71">
        <f>'DCF Valuation'!Q10/O10</f>
        <v>5.3157768157768155</v>
      </c>
      <c r="P16" s="71">
        <f>'DCF Valuation'!R10/P10</f>
        <v>6.1497048406139312</v>
      </c>
      <c r="Q16" s="71">
        <f>'DCF Valuation'!S10/Q10</f>
        <v>5.847771072610473</v>
      </c>
      <c r="R16" s="71">
        <f>'DCF Valuation'!T10/R10</f>
        <v>6.2202127659574469</v>
      </c>
      <c r="S16" s="71">
        <f>'DCF Valuation'!U10/S10</f>
        <v>5.8878742514970064</v>
      </c>
      <c r="T16" s="71">
        <f>'DCF Valuation'!V10/T10</f>
        <v>5.795343943180324</v>
      </c>
      <c r="U16" s="71">
        <f>'DCF Valuation'!W10/U10</f>
        <v>4.8353160235853938</v>
      </c>
      <c r="V16" s="72">
        <f t="shared" ref="V16:AE16" si="8">AVERAGE($P16:$U16)</f>
        <v>5.7893704829074295</v>
      </c>
      <c r="W16" s="72">
        <f t="shared" si="8"/>
        <v>5.7893704829074295</v>
      </c>
      <c r="X16" s="72">
        <f t="shared" si="8"/>
        <v>5.7893704829074295</v>
      </c>
      <c r="Y16" s="72">
        <f t="shared" si="8"/>
        <v>5.7893704829074295</v>
      </c>
      <c r="Z16" s="72">
        <f t="shared" si="8"/>
        <v>5.7893704829074295</v>
      </c>
      <c r="AA16" s="72">
        <f t="shared" si="8"/>
        <v>5.7893704829074295</v>
      </c>
      <c r="AB16" s="72">
        <f t="shared" si="8"/>
        <v>5.7893704829074295</v>
      </c>
      <c r="AC16" s="72">
        <f t="shared" si="8"/>
        <v>5.7893704829074295</v>
      </c>
      <c r="AD16" s="72">
        <f t="shared" si="8"/>
        <v>5.7893704829074295</v>
      </c>
      <c r="AE16" s="72">
        <f t="shared" si="8"/>
        <v>5.7893704829074295</v>
      </c>
    </row>
    <row r="17" spans="1:31" ht="14.25" customHeight="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row>
    <row r="18" spans="1:31" ht="14.25" customHeight="1">
      <c r="A18" s="2" t="s">
        <v>215</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row>
    <row r="19" spans="1:31" ht="14.25" customHeight="1">
      <c r="A19" t="s">
        <v>200</v>
      </c>
      <c r="C19" s="1"/>
      <c r="D19" s="52">
        <f>'Balance Sheet'!B20</f>
        <v>2737</v>
      </c>
      <c r="E19" s="52">
        <f>'Balance Sheet'!C20</f>
        <v>2613</v>
      </c>
      <c r="F19" s="52">
        <f>'Balance Sheet'!D20</f>
        <v>2478</v>
      </c>
      <c r="G19" s="52">
        <f>'Balance Sheet'!E20</f>
        <v>2454</v>
      </c>
      <c r="H19" s="52">
        <f>'Balance Sheet'!F20</f>
        <v>2339</v>
      </c>
      <c r="I19" s="52">
        <f>'Balance Sheet'!G20</f>
        <v>2211</v>
      </c>
      <c r="J19" s="52">
        <f>'Balance Sheet'!H20</f>
        <v>2036</v>
      </c>
      <c r="K19" s="52">
        <f>'Balance Sheet'!I20</f>
        <v>1850</v>
      </c>
      <c r="L19" s="52">
        <f>'Balance Sheet'!J20</f>
        <v>1676</v>
      </c>
      <c r="M19" s="52">
        <f>'Balance Sheet'!K20</f>
        <v>1541</v>
      </c>
      <c r="N19" s="52">
        <f>'Balance Sheet'!L20</f>
        <v>1395</v>
      </c>
      <c r="O19" s="52">
        <f>'Balance Sheet'!M20</f>
        <v>1251</v>
      </c>
      <c r="P19" s="52">
        <f>'Balance Sheet'!N20</f>
        <v>1112</v>
      </c>
      <c r="Q19" s="52">
        <f>'Balance Sheet'!O20</f>
        <v>986</v>
      </c>
      <c r="R19" s="52">
        <f>'Balance Sheet'!P20</f>
        <v>952</v>
      </c>
      <c r="S19" s="52">
        <f>'Balance Sheet'!Q20</f>
        <v>838</v>
      </c>
      <c r="T19" s="52">
        <f>'Balance Sheet'!R20</f>
        <v>807</v>
      </c>
      <c r="U19" s="52">
        <f>'Balance Sheet'!S20</f>
        <v>769</v>
      </c>
      <c r="V19" s="54">
        <f t="shared" ref="V19:AE19" si="9">U23</f>
        <v>755</v>
      </c>
      <c r="W19" s="54">
        <f t="shared" si="9"/>
        <v>683.82846116782696</v>
      </c>
      <c r="X19" s="54">
        <f t="shared" si="9"/>
        <v>628.09185279083863</v>
      </c>
      <c r="Y19" s="54">
        <f t="shared" si="9"/>
        <v>584.8846426838104</v>
      </c>
      <c r="Z19" s="54">
        <f t="shared" si="9"/>
        <v>549.81873686362974</v>
      </c>
      <c r="AA19" s="54">
        <f t="shared" si="9"/>
        <v>524.96493347276817</v>
      </c>
      <c r="AB19" s="54">
        <f t="shared" si="9"/>
        <v>509.11581783148199</v>
      </c>
      <c r="AC19" s="54">
        <f t="shared" si="9"/>
        <v>501.00486409153081</v>
      </c>
      <c r="AD19" s="54">
        <f t="shared" si="9"/>
        <v>496.27325691545707</v>
      </c>
      <c r="AE19" s="54">
        <f t="shared" si="9"/>
        <v>488.10192759307836</v>
      </c>
    </row>
    <row r="20" spans="1:31" ht="14.25" customHeight="1">
      <c r="A20" t="s">
        <v>210</v>
      </c>
      <c r="C20" s="1"/>
      <c r="D20" s="52">
        <f t="shared" ref="D20:U20" si="10">D21-D19</f>
        <v>13</v>
      </c>
      <c r="E20" s="52">
        <f t="shared" si="10"/>
        <v>3</v>
      </c>
      <c r="F20" s="52">
        <f t="shared" si="10"/>
        <v>119</v>
      </c>
      <c r="G20" s="52">
        <f t="shared" si="10"/>
        <v>30</v>
      </c>
      <c r="H20" s="52">
        <f t="shared" si="10"/>
        <v>27</v>
      </c>
      <c r="I20" s="52">
        <f t="shared" si="10"/>
        <v>7</v>
      </c>
      <c r="J20" s="52">
        <f t="shared" si="10"/>
        <v>-5</v>
      </c>
      <c r="K20" s="52">
        <f t="shared" si="10"/>
        <v>7</v>
      </c>
      <c r="L20" s="52">
        <f t="shared" si="10"/>
        <v>46</v>
      </c>
      <c r="M20" s="52">
        <f t="shared" si="10"/>
        <v>0</v>
      </c>
      <c r="N20" s="52">
        <f t="shared" si="10"/>
        <v>0</v>
      </c>
      <c r="O20" s="52">
        <f t="shared" si="10"/>
        <v>4</v>
      </c>
      <c r="P20" s="52">
        <f t="shared" si="10"/>
        <v>55</v>
      </c>
      <c r="Q20" s="52">
        <f t="shared" si="10"/>
        <v>147</v>
      </c>
      <c r="R20" s="52">
        <f t="shared" si="10"/>
        <v>67</v>
      </c>
      <c r="S20" s="52">
        <f t="shared" si="10"/>
        <v>115</v>
      </c>
      <c r="T20" s="52">
        <f t="shared" si="10"/>
        <v>106</v>
      </c>
      <c r="U20" s="52">
        <f t="shared" si="10"/>
        <v>129</v>
      </c>
      <c r="V20" s="54">
        <f t="shared" ref="V20:AE20" si="11">AVERAGE(J20:U20)</f>
        <v>55.916666666666664</v>
      </c>
      <c r="W20" s="54">
        <f t="shared" si="11"/>
        <v>60.99305555555555</v>
      </c>
      <c r="X20" s="54">
        <f t="shared" si="11"/>
        <v>65.492476851851848</v>
      </c>
      <c r="Y20" s="54">
        <f t="shared" si="11"/>
        <v>67.116849922839506</v>
      </c>
      <c r="Z20" s="54">
        <f t="shared" si="11"/>
        <v>72.709920749742793</v>
      </c>
      <c r="AA20" s="54">
        <f t="shared" si="11"/>
        <v>78.769080812221361</v>
      </c>
      <c r="AB20" s="54">
        <f t="shared" si="11"/>
        <v>84.999837546573133</v>
      </c>
      <c r="AC20" s="54">
        <f t="shared" si="11"/>
        <v>87.49982400878757</v>
      </c>
      <c r="AD20" s="54">
        <f t="shared" si="11"/>
        <v>82.541476009519855</v>
      </c>
      <c r="AE20" s="54">
        <f t="shared" si="11"/>
        <v>83.836599010313179</v>
      </c>
    </row>
    <row r="21" spans="1:31" ht="14.25" customHeight="1">
      <c r="A21" s="141" t="s">
        <v>216</v>
      </c>
      <c r="B21" s="38"/>
      <c r="C21" s="67"/>
      <c r="D21" s="68">
        <f t="shared" ref="D21:U21" si="12">D23+D22</f>
        <v>2750</v>
      </c>
      <c r="E21" s="68">
        <f t="shared" si="12"/>
        <v>2616</v>
      </c>
      <c r="F21" s="68">
        <f t="shared" si="12"/>
        <v>2597</v>
      </c>
      <c r="G21" s="68">
        <f t="shared" si="12"/>
        <v>2484</v>
      </c>
      <c r="H21" s="68">
        <f t="shared" si="12"/>
        <v>2366</v>
      </c>
      <c r="I21" s="68">
        <f t="shared" si="12"/>
        <v>2218</v>
      </c>
      <c r="J21" s="68">
        <f t="shared" si="12"/>
        <v>2031</v>
      </c>
      <c r="K21" s="68">
        <f t="shared" si="12"/>
        <v>1857</v>
      </c>
      <c r="L21" s="68">
        <f t="shared" si="12"/>
        <v>1722</v>
      </c>
      <c r="M21" s="68">
        <f t="shared" si="12"/>
        <v>1541</v>
      </c>
      <c r="N21" s="68">
        <f t="shared" si="12"/>
        <v>1395</v>
      </c>
      <c r="O21" s="68">
        <f t="shared" si="12"/>
        <v>1255</v>
      </c>
      <c r="P21" s="68">
        <f t="shared" si="12"/>
        <v>1167</v>
      </c>
      <c r="Q21" s="68">
        <f t="shared" si="12"/>
        <v>1133</v>
      </c>
      <c r="R21" s="68">
        <f t="shared" si="12"/>
        <v>1019</v>
      </c>
      <c r="S21" s="68">
        <f t="shared" si="12"/>
        <v>953</v>
      </c>
      <c r="T21" s="68">
        <f t="shared" si="12"/>
        <v>913</v>
      </c>
      <c r="U21" s="68">
        <f t="shared" si="12"/>
        <v>898</v>
      </c>
      <c r="V21" s="69">
        <f t="shared" ref="V21:AE21" si="13">V19+V20</f>
        <v>810.91666666666663</v>
      </c>
      <c r="W21" s="69">
        <f t="shared" si="13"/>
        <v>744.8215167233825</v>
      </c>
      <c r="X21" s="69">
        <f t="shared" si="13"/>
        <v>693.58432964269048</v>
      </c>
      <c r="Y21" s="69">
        <f t="shared" si="13"/>
        <v>652.00149260664989</v>
      </c>
      <c r="Z21" s="69">
        <f t="shared" si="13"/>
        <v>622.5286576133725</v>
      </c>
      <c r="AA21" s="69">
        <f t="shared" si="13"/>
        <v>603.73401428498948</v>
      </c>
      <c r="AB21" s="69">
        <f t="shared" si="13"/>
        <v>594.11565537805518</v>
      </c>
      <c r="AC21" s="69">
        <f t="shared" si="13"/>
        <v>588.50468810031839</v>
      </c>
      <c r="AD21" s="69">
        <f t="shared" si="13"/>
        <v>578.81473292497697</v>
      </c>
      <c r="AE21" s="69">
        <f t="shared" si="13"/>
        <v>571.93852660339155</v>
      </c>
    </row>
    <row r="22" spans="1:31" ht="14.25" customHeight="1">
      <c r="A22" t="s">
        <v>217</v>
      </c>
      <c r="C22" s="1"/>
      <c r="D22" s="52">
        <f>'Cash Flow Statement'!B54</f>
        <v>137</v>
      </c>
      <c r="E22" s="52">
        <f>'Cash Flow Statement'!C54</f>
        <v>138</v>
      </c>
      <c r="F22" s="52">
        <f>'Cash Flow Statement'!D54</f>
        <v>143</v>
      </c>
      <c r="G22" s="52">
        <f>'Cash Flow Statement'!E54</f>
        <v>145</v>
      </c>
      <c r="H22" s="52">
        <f>'Cash Flow Statement'!F54</f>
        <v>155</v>
      </c>
      <c r="I22" s="52">
        <f>'Cash Flow Statement'!G54</f>
        <v>182</v>
      </c>
      <c r="J22" s="52">
        <f>'Cash Flow Statement'!H54</f>
        <v>181</v>
      </c>
      <c r="K22" s="52">
        <f>'Cash Flow Statement'!I54</f>
        <v>181</v>
      </c>
      <c r="L22" s="52">
        <f>'Cash Flow Statement'!J54</f>
        <v>181</v>
      </c>
      <c r="M22" s="52">
        <f>'Cash Flow Statement'!K54</f>
        <v>146</v>
      </c>
      <c r="N22" s="52">
        <f>'Cash Flow Statement'!L54</f>
        <v>144</v>
      </c>
      <c r="O22" s="52">
        <f>'Cash Flow Statement'!M54</f>
        <v>143</v>
      </c>
      <c r="P22" s="52">
        <f>'Cash Flow Statement'!N54</f>
        <v>181</v>
      </c>
      <c r="Q22" s="52">
        <f>'Cash Flow Statement'!O54</f>
        <v>181</v>
      </c>
      <c r="R22" s="52">
        <f>'Cash Flow Statement'!P54</f>
        <v>181</v>
      </c>
      <c r="S22" s="52">
        <f>'Cash Flow Statement'!Q54</f>
        <v>146</v>
      </c>
      <c r="T22" s="52">
        <f>'Cash Flow Statement'!R54</f>
        <v>144</v>
      </c>
      <c r="U22" s="52">
        <f>'Cash Flow Statement'!S54</f>
        <v>143</v>
      </c>
      <c r="V22" s="70">
        <f t="shared" ref="V22:AE22" si="14">V21*V25</f>
        <v>127.08820549883964</v>
      </c>
      <c r="W22" s="70">
        <f t="shared" si="14"/>
        <v>116.72966393254383</v>
      </c>
      <c r="X22" s="70">
        <f t="shared" si="14"/>
        <v>108.69968695888009</v>
      </c>
      <c r="Y22" s="70">
        <f t="shared" si="14"/>
        <v>102.18275574302017</v>
      </c>
      <c r="Z22" s="70">
        <f t="shared" si="14"/>
        <v>97.563724140604336</v>
      </c>
      <c r="AA22" s="70">
        <f t="shared" si="14"/>
        <v>94.618196453507508</v>
      </c>
      <c r="AB22" s="70">
        <f t="shared" si="14"/>
        <v>93.110791286524389</v>
      </c>
      <c r="AC22" s="70">
        <f t="shared" si="14"/>
        <v>92.231431184861322</v>
      </c>
      <c r="AD22" s="70">
        <f t="shared" si="14"/>
        <v>90.712805331898622</v>
      </c>
      <c r="AE22" s="70">
        <f t="shared" si="14"/>
        <v>89.635154867958548</v>
      </c>
    </row>
    <row r="23" spans="1:31" ht="14.25" customHeight="1">
      <c r="A23" s="141" t="s">
        <v>218</v>
      </c>
      <c r="B23" s="38"/>
      <c r="C23" s="148">
        <f>'Balance Sheet'!B20</f>
        <v>2737</v>
      </c>
      <c r="D23" s="148">
        <f>'Balance Sheet'!C20</f>
        <v>2613</v>
      </c>
      <c r="E23" s="148">
        <f>'Balance Sheet'!D20</f>
        <v>2478</v>
      </c>
      <c r="F23" s="148">
        <f>'Balance Sheet'!E20</f>
        <v>2454</v>
      </c>
      <c r="G23" s="148">
        <f>'Balance Sheet'!F20</f>
        <v>2339</v>
      </c>
      <c r="H23" s="148">
        <f>'Balance Sheet'!G20</f>
        <v>2211</v>
      </c>
      <c r="I23" s="148">
        <f>'Balance Sheet'!H20</f>
        <v>2036</v>
      </c>
      <c r="J23" s="148">
        <f>'Balance Sheet'!I20</f>
        <v>1850</v>
      </c>
      <c r="K23" s="148">
        <f>'Balance Sheet'!J20</f>
        <v>1676</v>
      </c>
      <c r="L23" s="148">
        <f>'Balance Sheet'!K20</f>
        <v>1541</v>
      </c>
      <c r="M23" s="148">
        <f>'Balance Sheet'!L20</f>
        <v>1395</v>
      </c>
      <c r="N23" s="148">
        <f>'Balance Sheet'!M20</f>
        <v>1251</v>
      </c>
      <c r="O23" s="148">
        <f>'Balance Sheet'!N20</f>
        <v>1112</v>
      </c>
      <c r="P23" s="148">
        <f>'Balance Sheet'!O20</f>
        <v>986</v>
      </c>
      <c r="Q23" s="148">
        <f>'Balance Sheet'!P20</f>
        <v>952</v>
      </c>
      <c r="R23" s="148">
        <f>'Balance Sheet'!Q20</f>
        <v>838</v>
      </c>
      <c r="S23" s="148">
        <f>'Balance Sheet'!R20</f>
        <v>807</v>
      </c>
      <c r="T23" s="148">
        <f>'Balance Sheet'!S20</f>
        <v>769</v>
      </c>
      <c r="U23" s="148">
        <f>'Balance Sheet'!T20</f>
        <v>755</v>
      </c>
      <c r="V23" s="69">
        <f t="shared" ref="V23:AE23" si="15">V21-V22</f>
        <v>683.82846116782696</v>
      </c>
      <c r="W23" s="69">
        <f t="shared" si="15"/>
        <v>628.09185279083863</v>
      </c>
      <c r="X23" s="69">
        <f t="shared" si="15"/>
        <v>584.8846426838104</v>
      </c>
      <c r="Y23" s="69">
        <f t="shared" si="15"/>
        <v>549.81873686362974</v>
      </c>
      <c r="Z23" s="69">
        <f t="shared" si="15"/>
        <v>524.96493347276817</v>
      </c>
      <c r="AA23" s="69">
        <f t="shared" si="15"/>
        <v>509.11581783148199</v>
      </c>
      <c r="AB23" s="69">
        <f t="shared" si="15"/>
        <v>501.00486409153081</v>
      </c>
      <c r="AC23" s="69">
        <f t="shared" si="15"/>
        <v>496.27325691545707</v>
      </c>
      <c r="AD23" s="69">
        <f t="shared" si="15"/>
        <v>488.10192759307836</v>
      </c>
      <c r="AE23" s="69">
        <f t="shared" si="15"/>
        <v>482.30337173543302</v>
      </c>
    </row>
    <row r="24" spans="1:31" ht="14.25" customHeight="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row>
    <row r="25" spans="1:31" ht="14.25" customHeight="1">
      <c r="A25" t="s">
        <v>219</v>
      </c>
      <c r="C25" s="1"/>
      <c r="D25" s="57">
        <f t="shared" ref="D25:U25" si="16">D22/D21</f>
        <v>4.9818181818181817E-2</v>
      </c>
      <c r="E25" s="57">
        <f t="shared" si="16"/>
        <v>5.2752293577981654E-2</v>
      </c>
      <c r="F25" s="57">
        <f t="shared" si="16"/>
        <v>5.5063534847901427E-2</v>
      </c>
      <c r="G25" s="57">
        <f t="shared" si="16"/>
        <v>5.8373590982286637E-2</v>
      </c>
      <c r="H25" s="57">
        <f t="shared" si="16"/>
        <v>6.5511411665257813E-2</v>
      </c>
      <c r="I25" s="57">
        <f t="shared" si="16"/>
        <v>8.2055906221821462E-2</v>
      </c>
      <c r="J25" s="57">
        <f t="shared" si="16"/>
        <v>8.9118660758247176E-2</v>
      </c>
      <c r="K25" s="57">
        <f t="shared" si="16"/>
        <v>9.7469036079698437E-2</v>
      </c>
      <c r="L25" s="57">
        <f t="shared" si="16"/>
        <v>0.10511033681765389</v>
      </c>
      <c r="M25" s="57">
        <f t="shared" si="16"/>
        <v>9.4743672939649581E-2</v>
      </c>
      <c r="N25" s="57">
        <f t="shared" si="16"/>
        <v>0.1032258064516129</v>
      </c>
      <c r="O25" s="57">
        <f t="shared" si="16"/>
        <v>0.11394422310756971</v>
      </c>
      <c r="P25" s="57">
        <f t="shared" si="16"/>
        <v>0.15509854327335046</v>
      </c>
      <c r="Q25" s="57">
        <f t="shared" si="16"/>
        <v>0.15975286849073256</v>
      </c>
      <c r="R25" s="57">
        <f t="shared" si="16"/>
        <v>0.17762512266928362</v>
      </c>
      <c r="S25" s="57">
        <f t="shared" si="16"/>
        <v>0.15320041972717732</v>
      </c>
      <c r="T25" s="57">
        <f t="shared" si="16"/>
        <v>0.15772179627601315</v>
      </c>
      <c r="U25" s="57">
        <f t="shared" si="16"/>
        <v>0.15924276169265034</v>
      </c>
      <c r="V25" s="58">
        <f t="shared" ref="V25:AE25" si="17">AVERAGE($S25:$U25)</f>
        <v>0.15672165923194695</v>
      </c>
      <c r="W25" s="58">
        <f t="shared" si="17"/>
        <v>0.15672165923194695</v>
      </c>
      <c r="X25" s="58">
        <f t="shared" si="17"/>
        <v>0.15672165923194695</v>
      </c>
      <c r="Y25" s="58">
        <f t="shared" si="17"/>
        <v>0.15672165923194695</v>
      </c>
      <c r="Z25" s="58">
        <f t="shared" si="17"/>
        <v>0.15672165923194695</v>
      </c>
      <c r="AA25" s="58">
        <f t="shared" si="17"/>
        <v>0.15672165923194695</v>
      </c>
      <c r="AB25" s="58">
        <f t="shared" si="17"/>
        <v>0.15672165923194695</v>
      </c>
      <c r="AC25" s="58">
        <f t="shared" si="17"/>
        <v>0.15672165923194695</v>
      </c>
      <c r="AD25" s="58">
        <f t="shared" si="17"/>
        <v>0.15672165923194695</v>
      </c>
      <c r="AE25" s="58">
        <f t="shared" si="17"/>
        <v>0.15672165923194695</v>
      </c>
    </row>
    <row r="26" spans="1:31" ht="14.25" customHeight="1">
      <c r="A26" s="59"/>
      <c r="B26" s="59"/>
      <c r="C26" s="59"/>
      <c r="D26" s="59"/>
      <c r="E26" s="59"/>
      <c r="F26" s="59"/>
      <c r="G26" s="59"/>
      <c r="H26" s="59"/>
      <c r="I26" s="59"/>
      <c r="J26" s="59"/>
      <c r="K26" s="59"/>
      <c r="L26" s="59"/>
      <c r="M26" s="59"/>
      <c r="N26" s="59"/>
      <c r="O26" s="59"/>
      <c r="P26" s="59"/>
      <c r="Q26" s="59"/>
      <c r="R26" s="59"/>
      <c r="S26" s="59"/>
    </row>
    <row r="27" spans="1:31" ht="14.25" customHeight="1">
      <c r="A27" s="59"/>
      <c r="B27" s="59"/>
      <c r="C27" s="59"/>
      <c r="D27" s="59"/>
      <c r="E27" s="59"/>
      <c r="F27" s="59"/>
      <c r="G27" s="59"/>
      <c r="H27" s="59"/>
      <c r="I27" s="59"/>
      <c r="J27" s="59"/>
      <c r="K27" s="59"/>
      <c r="L27" s="59"/>
      <c r="M27" s="59"/>
      <c r="N27" s="59"/>
      <c r="O27" s="59"/>
      <c r="P27" s="59"/>
      <c r="Q27" s="59"/>
      <c r="R27" s="59"/>
      <c r="S27" s="59"/>
    </row>
    <row r="28" spans="1:31" ht="15" customHeight="1">
      <c r="A28" s="59"/>
      <c r="B28" s="60" t="s">
        <v>206</v>
      </c>
      <c r="C28" s="59"/>
      <c r="D28" s="59"/>
      <c r="E28" s="59"/>
      <c r="F28" s="59"/>
      <c r="G28" s="59"/>
      <c r="H28" s="59"/>
      <c r="I28" s="59"/>
      <c r="J28" s="59"/>
      <c r="K28" s="59"/>
      <c r="L28" s="59"/>
      <c r="M28" s="59"/>
      <c r="N28" s="59"/>
      <c r="O28" s="59"/>
      <c r="P28" s="59"/>
      <c r="Q28" s="59"/>
      <c r="R28" s="59"/>
      <c r="S28" s="59"/>
    </row>
    <row r="29" spans="1:31" ht="14.25" customHeight="1">
      <c r="A29" s="59"/>
      <c r="B29" s="59"/>
      <c r="C29" s="59"/>
      <c r="D29" s="59"/>
      <c r="E29" s="59"/>
      <c r="F29" s="59"/>
      <c r="G29" s="59"/>
      <c r="H29" s="59"/>
      <c r="I29" s="59"/>
      <c r="J29" s="59"/>
      <c r="K29" s="59"/>
      <c r="L29" s="59"/>
      <c r="M29" s="59"/>
      <c r="N29" s="59"/>
      <c r="O29" s="59"/>
      <c r="P29" s="59"/>
      <c r="Q29" s="59"/>
      <c r="R29" s="59"/>
      <c r="S29" s="59"/>
    </row>
    <row r="30" spans="1:31" ht="27" customHeight="1">
      <c r="A30" s="59"/>
      <c r="B30" s="133" t="s">
        <v>220</v>
      </c>
      <c r="C30" s="133"/>
      <c r="D30" s="133"/>
      <c r="E30" s="133"/>
      <c r="F30" s="133"/>
      <c r="G30" s="133"/>
      <c r="H30" s="133"/>
      <c r="I30" s="59"/>
      <c r="J30" s="59"/>
      <c r="K30" s="59"/>
      <c r="L30" s="59"/>
      <c r="M30" s="59"/>
      <c r="N30" s="59"/>
      <c r="O30" s="59"/>
      <c r="P30" s="59"/>
      <c r="Q30" s="59"/>
      <c r="R30" s="59"/>
      <c r="S30" s="59"/>
    </row>
    <row r="31" spans="1:31" ht="27" customHeight="1">
      <c r="A31" s="59"/>
      <c r="B31" s="133"/>
      <c r="C31" s="133"/>
      <c r="D31" s="133"/>
      <c r="E31" s="133"/>
      <c r="F31" s="133"/>
      <c r="G31" s="133"/>
      <c r="H31" s="133"/>
      <c r="I31" s="59"/>
      <c r="J31" s="59"/>
      <c r="K31" s="59"/>
      <c r="L31" s="59"/>
      <c r="M31" s="59"/>
      <c r="N31" s="59"/>
      <c r="O31" s="59"/>
      <c r="P31" s="59"/>
      <c r="Q31" s="59"/>
      <c r="R31" s="59"/>
      <c r="S31" s="59"/>
    </row>
    <row r="32" spans="1:31" ht="27" customHeight="1">
      <c r="A32" s="59"/>
      <c r="B32" s="133"/>
      <c r="C32" s="133"/>
      <c r="D32" s="133"/>
      <c r="E32" s="133"/>
      <c r="F32" s="133"/>
      <c r="G32" s="133"/>
      <c r="H32" s="133"/>
      <c r="I32" s="59"/>
      <c r="J32" s="59"/>
      <c r="K32" s="59"/>
      <c r="L32" s="59"/>
      <c r="M32" s="59"/>
      <c r="N32" s="59"/>
      <c r="O32" s="59"/>
      <c r="P32" s="59"/>
      <c r="Q32" s="59"/>
      <c r="R32" s="59"/>
      <c r="S32" s="59"/>
    </row>
    <row r="33" spans="2:8" ht="27" customHeight="1">
      <c r="B33" s="133"/>
      <c r="C33" s="133"/>
      <c r="D33" s="133"/>
      <c r="E33" s="133"/>
      <c r="F33" s="133"/>
      <c r="G33" s="133"/>
      <c r="H33" s="133"/>
    </row>
  </sheetData>
  <mergeCells count="3">
    <mergeCell ref="D4:U4"/>
    <mergeCell ref="V4:AE4"/>
    <mergeCell ref="B30:H3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68"/>
  <sheetViews>
    <sheetView showGridLines="0" workbookViewId="0"/>
  </sheetViews>
  <sheetFormatPr defaultColWidth="8.7109375" defaultRowHeight="14.25"/>
  <cols>
    <col min="1" max="1" width="4.7109375" customWidth="1"/>
    <col min="6" max="6" width="20.42578125" customWidth="1"/>
    <col min="7" max="7" width="10.28515625" customWidth="1"/>
    <col min="8" max="12" width="20" customWidth="1"/>
    <col min="13" max="13" width="14.5703125" customWidth="1"/>
    <col min="14" max="14" width="11" customWidth="1"/>
    <col min="15" max="15" width="12.28515625" customWidth="1"/>
    <col min="18" max="18" width="9.5703125" customWidth="1"/>
  </cols>
  <sheetData>
    <row r="1" spans="1:19" ht="3.75" customHeight="1"/>
    <row r="2" spans="1:19" ht="25.5" customHeight="1">
      <c r="A2" s="14" t="s">
        <v>221</v>
      </c>
      <c r="L2" s="16"/>
      <c r="M2" s="16"/>
      <c r="N2" s="16"/>
      <c r="O2" s="17"/>
      <c r="P2" s="17"/>
      <c r="Q2" s="17"/>
      <c r="R2" s="17"/>
      <c r="S2" s="17"/>
    </row>
    <row r="3" spans="1:19" ht="18" customHeight="1">
      <c r="B3" s="73"/>
    </row>
    <row r="5" spans="1:19" ht="14.25" customHeight="1">
      <c r="B5" t="s">
        <v>222</v>
      </c>
    </row>
    <row r="6" spans="1:19" ht="14.25" customHeight="1">
      <c r="B6" t="s">
        <v>223</v>
      </c>
    </row>
    <row r="8" spans="1:19" ht="14.25" customHeight="1">
      <c r="B8" s="74" t="s">
        <v>224</v>
      </c>
      <c r="C8" s="42"/>
      <c r="D8" s="42"/>
      <c r="E8" s="42"/>
      <c r="F8" s="42"/>
      <c r="G8" s="75"/>
      <c r="I8" s="21"/>
      <c r="J8" s="76"/>
      <c r="K8" s="76"/>
      <c r="L8" s="76"/>
      <c r="M8" s="76"/>
    </row>
    <row r="9" spans="1:19" ht="14.25" customHeight="1">
      <c r="B9" t="s">
        <v>225</v>
      </c>
      <c r="F9" s="23">
        <f>'DCF Valuation'!J5*24347</f>
        <v>4718448.6000000006</v>
      </c>
      <c r="H9" s="66"/>
    </row>
    <row r="10" spans="1:19" ht="14.25" customHeight="1">
      <c r="B10" t="s">
        <v>226</v>
      </c>
      <c r="F10" s="77">
        <f>F9/(F16+F9)</f>
        <v>0.99820179978263357</v>
      </c>
    </row>
    <row r="11" spans="1:19" ht="14.25" customHeight="1">
      <c r="B11" t="s">
        <v>227</v>
      </c>
      <c r="F11" s="77">
        <f>F12+F13*F14</f>
        <v>0.13800000000000001</v>
      </c>
    </row>
    <row r="12" spans="1:19" ht="14.25" customHeight="1">
      <c r="B12" t="s">
        <v>228</v>
      </c>
      <c r="F12" s="57">
        <v>4.0800000000000003E-2</v>
      </c>
    </row>
    <row r="13" spans="1:19" ht="14.25" customHeight="1">
      <c r="B13" t="s">
        <v>19</v>
      </c>
      <c r="F13" s="1">
        <v>2</v>
      </c>
      <c r="I13" s="1"/>
    </row>
    <row r="14" spans="1:19" ht="14.25" customHeight="1">
      <c r="B14" t="s">
        <v>21</v>
      </c>
      <c r="F14" s="57">
        <v>4.8599999999999997E-2</v>
      </c>
      <c r="H14" s="66"/>
    </row>
    <row r="15" spans="1:19" ht="14.25" customHeight="1">
      <c r="F15" s="1"/>
    </row>
    <row r="16" spans="1:19" ht="14.25" customHeight="1">
      <c r="B16" t="s">
        <v>36</v>
      </c>
      <c r="F16" s="23">
        <f>N41</f>
        <v>8500</v>
      </c>
    </row>
    <row r="17" spans="2:15" ht="14.25" customHeight="1">
      <c r="B17" t="s">
        <v>229</v>
      </c>
      <c r="F17" s="77">
        <f>F16/(F9+F16)</f>
        <v>1.7982002173664421E-3</v>
      </c>
    </row>
    <row r="18" spans="2:15" ht="14.25" customHeight="1">
      <c r="B18" t="s">
        <v>230</v>
      </c>
      <c r="F18" s="77">
        <f>P41</f>
        <v>2.9238235294117648E-2</v>
      </c>
      <c r="G18" s="78"/>
    </row>
    <row r="19" spans="2:15" ht="14.25" customHeight="1">
      <c r="B19" t="s">
        <v>23</v>
      </c>
      <c r="F19" s="79">
        <v>0.17</v>
      </c>
      <c r="H19" s="66"/>
    </row>
    <row r="20" spans="2:15" ht="14.25" customHeight="1">
      <c r="F20" s="1"/>
    </row>
    <row r="21" spans="2:15" ht="14.25" customHeight="1">
      <c r="B21" t="s">
        <v>14</v>
      </c>
      <c r="F21" s="77">
        <f>F10*F11+F17*F18*(1-F19)</f>
        <v>0.13779548661688432</v>
      </c>
    </row>
    <row r="22" spans="2:15" ht="14.25" customHeight="1"/>
    <row r="24" spans="2:15" ht="42.75" customHeight="1">
      <c r="B24" s="80"/>
      <c r="C24" s="81"/>
      <c r="D24" s="150" t="s">
        <v>231</v>
      </c>
      <c r="E24" s="151" t="s">
        <v>232</v>
      </c>
      <c r="F24" s="151" t="s">
        <v>233</v>
      </c>
      <c r="G24" s="151" t="s">
        <v>234</v>
      </c>
      <c r="H24" s="66"/>
    </row>
    <row r="25" spans="2:15" ht="14.25" customHeight="1">
      <c r="B25" s="82" t="s">
        <v>235</v>
      </c>
      <c r="C25" s="83"/>
      <c r="D25" s="124">
        <f>$F$12</f>
        <v>4.0800000000000003E-2</v>
      </c>
      <c r="E25" s="125">
        <f>$F$12+G25*$F$14</f>
        <v>0.100092</v>
      </c>
      <c r="F25" s="125">
        <f>$F$18*(1-$F$19)</f>
        <v>2.4267735294117646E-2</v>
      </c>
      <c r="G25" s="128">
        <v>1.22</v>
      </c>
    </row>
    <row r="26" spans="2:15" ht="14.25" customHeight="1">
      <c r="B26" s="83" t="s">
        <v>236</v>
      </c>
      <c r="C26" s="83"/>
      <c r="D26" s="124">
        <f>$F$12</f>
        <v>4.0800000000000003E-2</v>
      </c>
      <c r="E26" s="125">
        <f>$F$12+G26*$F$14</f>
        <v>9.4745999999999997E-2</v>
      </c>
      <c r="F26" s="125">
        <f>$F$18*(1-$F$19)</f>
        <v>2.4267735294117646E-2</v>
      </c>
      <c r="G26" s="128">
        <v>1.1100000000000001</v>
      </c>
    </row>
    <row r="27" spans="2:15" ht="14.25" customHeight="1">
      <c r="B27" s="84" t="s">
        <v>237</v>
      </c>
      <c r="D27" s="122">
        <f>$F$12</f>
        <v>4.0800000000000003E-2</v>
      </c>
      <c r="E27" s="122">
        <f>$F$12+G27*$F$14</f>
        <v>0.14869199999999999</v>
      </c>
      <c r="F27" s="122">
        <f>$F$18*(1-$F$19)</f>
        <v>2.4267735294117646E-2</v>
      </c>
      <c r="G27" s="129">
        <v>2.2200000000000002</v>
      </c>
    </row>
    <row r="28" spans="2:15" ht="14.25" customHeight="1">
      <c r="B28" s="84" t="s">
        <v>238</v>
      </c>
      <c r="D28" s="122">
        <f>$F$12</f>
        <v>4.0800000000000003E-2</v>
      </c>
      <c r="E28" s="122">
        <f>$F$12+G28*$F$14</f>
        <v>0.13313999999999998</v>
      </c>
      <c r="F28" s="122">
        <f>$F$18*(1-$F$19)</f>
        <v>2.4267735294117646E-2</v>
      </c>
      <c r="G28" s="129">
        <v>1.9</v>
      </c>
    </row>
    <row r="29" spans="2:15" ht="14.25" customHeight="1">
      <c r="B29" s="86" t="s">
        <v>239</v>
      </c>
      <c r="C29" s="28"/>
      <c r="D29" s="123">
        <f>$F$12</f>
        <v>4.0800000000000003E-2</v>
      </c>
      <c r="E29" s="123">
        <f>$F$12+G29*$F$14</f>
        <v>0.12099</v>
      </c>
      <c r="F29" s="123">
        <f>$F$18*(1-$F$19)</f>
        <v>2.4267735294117646E-2</v>
      </c>
      <c r="G29" s="130">
        <v>1.65</v>
      </c>
      <c r="H29" s="66"/>
    </row>
    <row r="30" spans="2:15" ht="14.25" customHeight="1">
      <c r="E30" s="87"/>
      <c r="F30" s="77"/>
    </row>
    <row r="31" spans="2:15" ht="28.5" customHeight="1">
      <c r="F31" s="79"/>
      <c r="M31" s="152" t="s">
        <v>240</v>
      </c>
      <c r="N31" s="152" t="s">
        <v>241</v>
      </c>
      <c r="O31" s="152" t="s">
        <v>242</v>
      </c>
    </row>
    <row r="32" spans="2:15" ht="14.25" customHeight="1">
      <c r="F32" s="57"/>
      <c r="M32" s="77"/>
      <c r="N32" s="23"/>
      <c r="O32" s="88"/>
    </row>
    <row r="33" spans="1:19" ht="14.25" customHeight="1">
      <c r="K33" s="1" t="s">
        <v>243</v>
      </c>
      <c r="L33" s="1">
        <v>1.1000000000000001</v>
      </c>
      <c r="M33" s="77">
        <v>3.3099999999999997E-2</v>
      </c>
      <c r="N33" s="23">
        <v>1000</v>
      </c>
      <c r="O33" s="88">
        <f t="shared" ref="O33:O39" si="0">N33*M33</f>
        <v>33.099999999999994</v>
      </c>
    </row>
    <row r="34" spans="1:19" ht="14.25" customHeight="1">
      <c r="K34" s="1" t="s">
        <v>244</v>
      </c>
      <c r="L34" s="1">
        <v>2.9</v>
      </c>
      <c r="M34" s="77">
        <v>1.6400000000000001E-2</v>
      </c>
      <c r="N34" s="23">
        <v>1250</v>
      </c>
      <c r="O34" s="88">
        <f t="shared" si="0"/>
        <v>20.5</v>
      </c>
    </row>
    <row r="35" spans="1:19" ht="14.25" customHeight="1">
      <c r="K35" s="1" t="s">
        <v>245</v>
      </c>
      <c r="L35" s="1">
        <v>4.7</v>
      </c>
      <c r="M35" s="77">
        <v>2.93E-2</v>
      </c>
      <c r="N35" s="23">
        <v>1500</v>
      </c>
      <c r="O35" s="88">
        <f t="shared" si="0"/>
        <v>43.95</v>
      </c>
    </row>
    <row r="36" spans="1:19" ht="14.25" customHeight="1">
      <c r="K36" s="1" t="s">
        <v>246</v>
      </c>
      <c r="L36" s="1">
        <v>5.9</v>
      </c>
      <c r="M36" s="77">
        <v>2.0899999999999998E-2</v>
      </c>
      <c r="N36" s="23">
        <v>1250</v>
      </c>
      <c r="O36" s="88">
        <f t="shared" si="0"/>
        <v>26.124999999999996</v>
      </c>
    </row>
    <row r="37" spans="1:19" ht="14.25" customHeight="1">
      <c r="K37" s="1" t="s">
        <v>247</v>
      </c>
      <c r="L37" s="1">
        <v>14.7</v>
      </c>
      <c r="M37" s="77">
        <v>3.5400000000000001E-2</v>
      </c>
      <c r="N37" s="23">
        <v>1000</v>
      </c>
      <c r="O37" s="88">
        <f t="shared" si="0"/>
        <v>35.4</v>
      </c>
    </row>
    <row r="38" spans="1:19" ht="14.25" customHeight="1">
      <c r="K38" s="1" t="s">
        <v>248</v>
      </c>
      <c r="L38" s="1">
        <v>24.7</v>
      </c>
      <c r="M38" s="77">
        <v>3.5400000000000001E-2</v>
      </c>
      <c r="N38" s="23">
        <v>2000</v>
      </c>
      <c r="O38" s="88">
        <f t="shared" si="0"/>
        <v>70.8</v>
      </c>
    </row>
    <row r="39" spans="1:19" ht="14.25" customHeight="1">
      <c r="K39" s="1" t="s">
        <v>249</v>
      </c>
      <c r="L39" s="1">
        <v>34.700000000000003</v>
      </c>
      <c r="M39" s="77">
        <v>3.73E-2</v>
      </c>
      <c r="N39" s="23">
        <v>500</v>
      </c>
      <c r="O39" s="88">
        <f t="shared" si="0"/>
        <v>18.649999999999999</v>
      </c>
    </row>
    <row r="40" spans="1:19" ht="14.25" customHeight="1">
      <c r="K40" s="1"/>
      <c r="L40" s="1"/>
      <c r="M40" s="1"/>
      <c r="N40" s="1"/>
      <c r="O40" s="1"/>
    </row>
    <row r="41" spans="1:19" ht="14.25" customHeight="1">
      <c r="K41" s="1"/>
      <c r="L41" s="1"/>
      <c r="M41" s="1"/>
      <c r="N41" s="23">
        <f>SUM(N32:N39)</f>
        <v>8500</v>
      </c>
      <c r="O41" s="88">
        <f>SUM(O32:O39)</f>
        <v>248.52500000000001</v>
      </c>
      <c r="P41" s="77">
        <f>O41/N41</f>
        <v>2.9238235294117648E-2</v>
      </c>
    </row>
    <row r="42" spans="1:19" ht="14.25" customHeight="1">
      <c r="A42" s="59"/>
      <c r="B42" s="59"/>
      <c r="C42" s="59"/>
      <c r="D42" s="59"/>
      <c r="E42" s="59"/>
      <c r="F42" s="59"/>
      <c r="G42" s="59"/>
      <c r="H42" s="59"/>
      <c r="I42" s="59"/>
      <c r="J42" s="59"/>
      <c r="K42" s="59"/>
      <c r="L42" s="59"/>
      <c r="M42" s="59"/>
      <c r="N42" s="59"/>
      <c r="O42" s="59"/>
      <c r="P42" s="59"/>
      <c r="Q42" s="59"/>
      <c r="R42" s="59"/>
      <c r="S42" s="59"/>
    </row>
    <row r="43" spans="1:19" ht="14.25" customHeight="1">
      <c r="A43" s="59"/>
      <c r="B43" s="59"/>
      <c r="C43" s="59"/>
      <c r="D43" s="59"/>
      <c r="E43" s="59"/>
      <c r="F43" s="59"/>
      <c r="G43" s="59"/>
      <c r="H43" s="59"/>
      <c r="I43" s="59"/>
      <c r="J43" s="59"/>
      <c r="K43" s="59"/>
      <c r="L43" s="59"/>
      <c r="M43" s="59"/>
      <c r="N43" s="59"/>
      <c r="O43" s="59"/>
      <c r="P43" s="59"/>
      <c r="Q43" s="59"/>
      <c r="R43" s="59"/>
      <c r="S43" s="59"/>
    </row>
    <row r="44" spans="1:19" ht="15" customHeight="1">
      <c r="A44" s="59"/>
      <c r="B44" s="60" t="s">
        <v>250</v>
      </c>
      <c r="C44" s="59"/>
      <c r="D44" s="59"/>
      <c r="E44" s="59"/>
      <c r="F44" s="59"/>
      <c r="G44" s="59"/>
      <c r="H44" s="59"/>
      <c r="I44" s="59"/>
      <c r="J44" s="59"/>
      <c r="K44" s="59"/>
      <c r="L44" s="59"/>
      <c r="M44" s="59"/>
      <c r="N44" s="59"/>
      <c r="O44" s="59"/>
      <c r="P44" s="59"/>
      <c r="Q44" s="59"/>
      <c r="R44" s="59"/>
      <c r="S44" s="59"/>
    </row>
    <row r="45" spans="1:19" ht="14.25" customHeight="1">
      <c r="A45" s="59"/>
      <c r="B45" s="59"/>
      <c r="C45" s="59"/>
      <c r="D45" s="59"/>
      <c r="E45" s="59"/>
      <c r="F45" s="59"/>
      <c r="G45" s="59"/>
      <c r="H45" s="59"/>
      <c r="I45" s="59"/>
      <c r="J45" s="59"/>
      <c r="K45" s="59"/>
      <c r="L45" s="59"/>
      <c r="M45" s="59"/>
      <c r="N45" s="59"/>
      <c r="O45" s="59"/>
      <c r="P45" s="59"/>
      <c r="Q45" s="59"/>
      <c r="R45" s="59"/>
      <c r="S45" s="59"/>
    </row>
    <row r="46" spans="1:19" ht="29.1" customHeight="1">
      <c r="A46" s="59"/>
      <c r="B46" s="133" t="s">
        <v>251</v>
      </c>
      <c r="C46" s="133"/>
      <c r="D46" s="133"/>
      <c r="E46" s="133"/>
      <c r="F46" s="133"/>
      <c r="G46" s="133"/>
      <c r="H46" s="133"/>
      <c r="I46" s="59"/>
      <c r="J46" s="59"/>
      <c r="K46" s="59"/>
      <c r="L46" s="59"/>
      <c r="M46" s="59"/>
      <c r="N46" s="59"/>
      <c r="O46" s="59"/>
      <c r="P46" s="59"/>
      <c r="Q46" s="59"/>
      <c r="R46" s="59"/>
      <c r="S46" s="59"/>
    </row>
    <row r="47" spans="1:19" ht="29.1" customHeight="1">
      <c r="A47" s="59"/>
      <c r="B47" s="133"/>
      <c r="C47" s="133"/>
      <c r="D47" s="133"/>
      <c r="E47" s="133"/>
      <c r="F47" s="133"/>
      <c r="G47" s="133"/>
      <c r="H47" s="133"/>
      <c r="I47" s="59"/>
      <c r="J47" s="59"/>
      <c r="K47" s="59"/>
      <c r="L47" s="59"/>
      <c r="M47" s="59"/>
      <c r="N47" s="59"/>
      <c r="O47" s="59"/>
      <c r="P47" s="59"/>
      <c r="Q47" s="59"/>
      <c r="R47" s="59"/>
      <c r="S47" s="59"/>
    </row>
    <row r="48" spans="1:19" ht="29.1" customHeight="1">
      <c r="A48" s="59"/>
      <c r="B48" s="133"/>
      <c r="C48" s="133"/>
      <c r="D48" s="133"/>
      <c r="E48" s="133"/>
      <c r="F48" s="133"/>
      <c r="G48" s="133"/>
      <c r="H48" s="133"/>
      <c r="I48" s="59"/>
      <c r="J48" s="59"/>
      <c r="K48" s="59"/>
      <c r="L48" s="59"/>
      <c r="M48" s="59"/>
      <c r="N48" s="59"/>
      <c r="O48" s="59"/>
      <c r="P48" s="59"/>
      <c r="Q48" s="59"/>
      <c r="R48" s="59"/>
      <c r="S48" s="59"/>
    </row>
    <row r="49" spans="1:19" ht="14.25" customHeight="1">
      <c r="A49" s="59"/>
      <c r="B49" s="59"/>
      <c r="C49" s="59"/>
      <c r="D49" s="59"/>
      <c r="E49" s="59"/>
      <c r="F49" s="59"/>
      <c r="G49" s="59"/>
      <c r="H49" s="59"/>
      <c r="I49" s="59"/>
      <c r="J49" s="59"/>
      <c r="K49" s="59"/>
      <c r="L49" s="59"/>
      <c r="M49" s="59"/>
      <c r="N49" s="59"/>
      <c r="O49" s="59"/>
      <c r="P49" s="59"/>
      <c r="Q49" s="59"/>
      <c r="R49" s="59"/>
      <c r="S49" s="59"/>
    </row>
    <row r="50" spans="1:19" ht="29.1" customHeight="1">
      <c r="A50" s="59"/>
      <c r="B50" s="133" t="s">
        <v>252</v>
      </c>
      <c r="C50" s="133"/>
      <c r="D50" s="133"/>
      <c r="E50" s="133"/>
      <c r="F50" s="133"/>
      <c r="G50" s="133"/>
      <c r="H50" s="133"/>
      <c r="I50" s="59"/>
      <c r="J50" s="59"/>
      <c r="K50" s="59"/>
      <c r="L50" s="59"/>
      <c r="M50" s="59"/>
      <c r="N50" s="59"/>
      <c r="O50" s="59"/>
      <c r="P50" s="59"/>
      <c r="Q50" s="59"/>
      <c r="R50" s="59"/>
      <c r="S50" s="59"/>
    </row>
    <row r="51" spans="1:19" ht="29.1" customHeight="1">
      <c r="A51" s="59"/>
      <c r="B51" s="133"/>
      <c r="C51" s="133"/>
      <c r="D51" s="133"/>
      <c r="E51" s="133"/>
      <c r="F51" s="133"/>
      <c r="G51" s="133"/>
      <c r="H51" s="133"/>
      <c r="I51" s="59"/>
      <c r="J51" s="59"/>
      <c r="K51" s="59"/>
      <c r="L51" s="59"/>
      <c r="M51" s="59"/>
      <c r="N51" s="59"/>
      <c r="O51" s="59"/>
      <c r="P51" s="59"/>
      <c r="Q51" s="59"/>
      <c r="R51" s="59"/>
      <c r="S51" s="59"/>
    </row>
    <row r="52" spans="1:19" ht="29.1" customHeight="1">
      <c r="A52" s="59"/>
      <c r="B52" s="133"/>
      <c r="C52" s="133"/>
      <c r="D52" s="133"/>
      <c r="E52" s="133"/>
      <c r="F52" s="133"/>
      <c r="G52" s="133"/>
      <c r="H52" s="133"/>
      <c r="I52" s="59"/>
      <c r="J52" s="59"/>
      <c r="K52" s="59"/>
      <c r="L52" s="59"/>
      <c r="M52" s="59"/>
      <c r="N52" s="59"/>
      <c r="O52" s="59"/>
      <c r="P52" s="59"/>
      <c r="Q52" s="59"/>
      <c r="R52" s="59"/>
      <c r="S52" s="59"/>
    </row>
    <row r="53" spans="1:19" ht="14.25" customHeight="1">
      <c r="A53" s="59"/>
      <c r="B53" s="59"/>
      <c r="C53" s="59"/>
      <c r="D53" s="59"/>
      <c r="E53" s="59"/>
      <c r="F53" s="59"/>
      <c r="G53" s="59"/>
      <c r="H53" s="59"/>
      <c r="I53" s="59"/>
      <c r="J53" s="59"/>
      <c r="K53" s="59"/>
      <c r="L53" s="59"/>
      <c r="M53" s="59"/>
      <c r="N53" s="59"/>
      <c r="O53" s="59"/>
      <c r="P53" s="59"/>
      <c r="Q53" s="59"/>
      <c r="R53" s="59"/>
      <c r="S53" s="59"/>
    </row>
    <row r="54" spans="1:19" ht="29.1" customHeight="1">
      <c r="A54" s="59"/>
      <c r="B54" s="133" t="s">
        <v>253</v>
      </c>
      <c r="C54" s="133"/>
      <c r="D54" s="133"/>
      <c r="E54" s="133"/>
      <c r="F54" s="133"/>
      <c r="G54" s="133"/>
      <c r="H54" s="133"/>
      <c r="I54" s="59"/>
      <c r="J54" s="59"/>
      <c r="K54" s="59"/>
      <c r="L54" s="59"/>
      <c r="M54" s="59"/>
      <c r="N54" s="59"/>
      <c r="O54" s="59"/>
      <c r="P54" s="59"/>
      <c r="Q54" s="59"/>
      <c r="R54" s="59"/>
      <c r="S54" s="59"/>
    </row>
    <row r="55" spans="1:19" ht="29.1" customHeight="1">
      <c r="A55" s="59"/>
      <c r="B55" s="133"/>
      <c r="C55" s="133"/>
      <c r="D55" s="133"/>
      <c r="E55" s="133"/>
      <c r="F55" s="133"/>
      <c r="G55" s="133"/>
      <c r="H55" s="133"/>
      <c r="I55" s="59"/>
      <c r="J55" s="59"/>
      <c r="K55" s="59"/>
      <c r="L55" s="59"/>
      <c r="M55" s="59"/>
      <c r="N55" s="59"/>
      <c r="O55" s="59"/>
      <c r="P55" s="59"/>
      <c r="Q55" s="59"/>
      <c r="R55" s="59"/>
      <c r="S55" s="59"/>
    </row>
    <row r="56" spans="1:19" ht="29.1" customHeight="1">
      <c r="A56" s="59"/>
      <c r="B56" s="133"/>
      <c r="C56" s="133"/>
      <c r="D56" s="133"/>
      <c r="E56" s="133"/>
      <c r="F56" s="133"/>
      <c r="G56" s="133"/>
      <c r="H56" s="133"/>
      <c r="I56" s="59"/>
      <c r="J56" s="59"/>
      <c r="K56" s="59"/>
      <c r="L56" s="59"/>
      <c r="M56" s="59"/>
      <c r="N56" s="59"/>
      <c r="O56" s="59"/>
      <c r="P56" s="59"/>
      <c r="Q56" s="59"/>
      <c r="R56" s="59"/>
      <c r="S56" s="59"/>
    </row>
    <row r="57" spans="1:19" ht="14.25" customHeight="1">
      <c r="A57" s="59"/>
      <c r="B57" s="59"/>
      <c r="C57" s="59"/>
      <c r="D57" s="59"/>
      <c r="E57" s="59"/>
      <c r="F57" s="59"/>
      <c r="G57" s="59"/>
      <c r="H57" s="59"/>
      <c r="I57" s="59"/>
      <c r="J57" s="59"/>
      <c r="K57" s="59"/>
      <c r="L57" s="59"/>
      <c r="M57" s="59"/>
      <c r="N57" s="59"/>
      <c r="O57" s="59"/>
      <c r="P57" s="59"/>
      <c r="Q57" s="59"/>
      <c r="R57" s="59"/>
      <c r="S57" s="59"/>
    </row>
    <row r="58" spans="1:19" ht="29.1" customHeight="1">
      <c r="A58" s="59"/>
      <c r="B58" s="133" t="s">
        <v>254</v>
      </c>
      <c r="C58" s="133"/>
      <c r="D58" s="133"/>
      <c r="E58" s="133"/>
      <c r="F58" s="133"/>
      <c r="G58" s="133"/>
      <c r="H58" s="133"/>
      <c r="I58" s="59"/>
      <c r="J58" s="59"/>
      <c r="K58" s="59"/>
      <c r="L58" s="59"/>
      <c r="M58" s="59"/>
      <c r="N58" s="59"/>
      <c r="O58" s="59"/>
      <c r="P58" s="59"/>
      <c r="Q58" s="59"/>
      <c r="R58" s="59"/>
      <c r="S58" s="59"/>
    </row>
    <row r="59" spans="1:19" ht="29.1" customHeight="1">
      <c r="A59" s="59"/>
      <c r="B59" s="133"/>
      <c r="C59" s="133"/>
      <c r="D59" s="133"/>
      <c r="E59" s="133"/>
      <c r="F59" s="133"/>
      <c r="G59" s="133"/>
      <c r="H59" s="133"/>
      <c r="I59" s="59"/>
      <c r="J59" s="59"/>
      <c r="K59" s="59"/>
      <c r="L59" s="59"/>
      <c r="M59" s="59"/>
      <c r="N59" s="59"/>
      <c r="O59" s="59"/>
      <c r="P59" s="59"/>
      <c r="Q59" s="59"/>
      <c r="R59" s="59"/>
      <c r="S59" s="59"/>
    </row>
    <row r="60" spans="1:19" ht="29.1" customHeight="1">
      <c r="A60" s="59"/>
      <c r="B60" s="133"/>
      <c r="C60" s="133"/>
      <c r="D60" s="133"/>
      <c r="E60" s="133"/>
      <c r="F60" s="133"/>
      <c r="G60" s="133"/>
      <c r="H60" s="133"/>
      <c r="I60" s="59"/>
      <c r="J60" s="59"/>
      <c r="K60" s="59"/>
      <c r="L60" s="59"/>
      <c r="M60" s="59"/>
      <c r="N60" s="59"/>
      <c r="O60" s="59"/>
      <c r="P60" s="59"/>
      <c r="Q60" s="59"/>
      <c r="R60" s="59"/>
      <c r="S60" s="59"/>
    </row>
    <row r="61" spans="1:19" ht="14.25" customHeight="1">
      <c r="A61" s="59"/>
      <c r="B61" s="59"/>
      <c r="C61" s="59"/>
      <c r="D61" s="59"/>
      <c r="E61" s="59"/>
      <c r="F61" s="59"/>
      <c r="G61" s="59"/>
      <c r="H61" s="59"/>
      <c r="I61" s="59"/>
      <c r="J61" s="59"/>
      <c r="K61" s="59"/>
      <c r="L61" s="59"/>
      <c r="M61" s="59"/>
      <c r="N61" s="59"/>
      <c r="O61" s="59"/>
      <c r="P61" s="59"/>
      <c r="Q61" s="59"/>
      <c r="R61" s="59"/>
      <c r="S61" s="59"/>
    </row>
    <row r="62" spans="1:19" ht="29.1" customHeight="1">
      <c r="A62" s="59"/>
      <c r="B62" s="133" t="s">
        <v>255</v>
      </c>
      <c r="C62" s="133"/>
      <c r="D62" s="133"/>
      <c r="E62" s="133"/>
      <c r="F62" s="133"/>
      <c r="G62" s="133"/>
      <c r="H62" s="133"/>
      <c r="I62" s="59"/>
      <c r="J62" s="59"/>
      <c r="K62" s="59"/>
      <c r="L62" s="59"/>
      <c r="M62" s="59"/>
      <c r="N62" s="59"/>
      <c r="O62" s="59"/>
      <c r="P62" s="59"/>
      <c r="Q62" s="59"/>
      <c r="R62" s="59"/>
      <c r="S62" s="59"/>
    </row>
    <row r="63" spans="1:19" ht="29.1" customHeight="1">
      <c r="A63" s="59"/>
      <c r="B63" s="133"/>
      <c r="C63" s="133"/>
      <c r="D63" s="133"/>
      <c r="E63" s="133"/>
      <c r="F63" s="133"/>
      <c r="G63" s="133"/>
      <c r="H63" s="133"/>
      <c r="I63" s="59"/>
      <c r="J63" s="59"/>
      <c r="K63" s="59"/>
      <c r="L63" s="59"/>
      <c r="M63" s="59"/>
      <c r="N63" s="59"/>
      <c r="O63" s="59"/>
      <c r="P63" s="59"/>
      <c r="Q63" s="59"/>
      <c r="R63" s="59"/>
      <c r="S63" s="59"/>
    </row>
    <row r="64" spans="1:19" ht="29.1" customHeight="1">
      <c r="A64" s="59"/>
      <c r="B64" s="133"/>
      <c r="C64" s="133"/>
      <c r="D64" s="133"/>
      <c r="E64" s="133"/>
      <c r="F64" s="133"/>
      <c r="G64" s="133"/>
      <c r="H64" s="133"/>
      <c r="I64" s="59"/>
      <c r="J64" s="59"/>
      <c r="K64" s="59"/>
      <c r="L64" s="59"/>
      <c r="M64" s="59"/>
      <c r="N64" s="59"/>
      <c r="O64" s="59"/>
      <c r="P64" s="59"/>
      <c r="Q64" s="59"/>
      <c r="R64" s="59"/>
      <c r="S64" s="59"/>
    </row>
    <row r="66" spans="2:8" ht="29.1" customHeight="1">
      <c r="B66" s="133" t="s">
        <v>256</v>
      </c>
      <c r="C66" s="133"/>
      <c r="D66" s="133"/>
      <c r="E66" s="133"/>
      <c r="F66" s="133"/>
      <c r="G66" s="133"/>
      <c r="H66" s="133"/>
    </row>
    <row r="67" spans="2:8" ht="29.1" customHeight="1">
      <c r="B67" s="133"/>
      <c r="C67" s="133"/>
      <c r="D67" s="133"/>
      <c r="E67" s="133"/>
      <c r="F67" s="133"/>
      <c r="G67" s="133"/>
      <c r="H67" s="133"/>
    </row>
    <row r="68" spans="2:8" ht="29.1" customHeight="1">
      <c r="B68" s="133"/>
      <c r="C68" s="133"/>
      <c r="D68" s="133"/>
      <c r="E68" s="133"/>
      <c r="F68" s="133"/>
      <c r="G68" s="133"/>
      <c r="H68" s="133"/>
    </row>
  </sheetData>
  <mergeCells count="6">
    <mergeCell ref="B66:H68"/>
    <mergeCell ref="B46:H48"/>
    <mergeCell ref="B50:H52"/>
    <mergeCell ref="B54:H56"/>
    <mergeCell ref="B58:H60"/>
    <mergeCell ref="B62:H6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67"/>
  <sheetViews>
    <sheetView showGridLines="0" tabSelected="1" workbookViewId="0"/>
  </sheetViews>
  <sheetFormatPr defaultColWidth="8.7109375" defaultRowHeight="14.25"/>
  <cols>
    <col min="1" max="1" width="3.28515625" style="1" customWidth="1"/>
    <col min="2" max="2" width="10.5703125" customWidth="1"/>
    <col min="4" max="4" width="11.42578125" customWidth="1"/>
    <col min="5" max="5" width="10.85546875" customWidth="1"/>
    <col min="6" max="6" width="10.42578125" customWidth="1"/>
    <col min="7" max="9" width="7.85546875" customWidth="1"/>
    <col min="10" max="10" width="8" customWidth="1"/>
    <col min="11" max="11" width="9.85546875" customWidth="1"/>
    <col min="12" max="14" width="7.85546875" customWidth="1"/>
    <col min="15" max="15" width="9.140625" customWidth="1"/>
    <col min="16" max="18" width="7.85546875" customWidth="1"/>
    <col min="19" max="21" width="8" customWidth="1"/>
    <col min="22" max="22" width="8.42578125" customWidth="1"/>
    <col min="23" max="24" width="7.85546875" customWidth="1"/>
    <col min="25" max="26" width="8" customWidth="1"/>
    <col min="27" max="33" width="7.85546875" customWidth="1"/>
    <col min="34" max="34" width="9.28515625" customWidth="1"/>
    <col min="35" max="35" width="9.85546875" customWidth="1"/>
    <col min="37" max="40" width="22" customWidth="1"/>
  </cols>
  <sheetData>
    <row r="1" spans="1:35" ht="14.25" customHeight="1">
      <c r="S1" s="38"/>
    </row>
    <row r="2" spans="1:35" ht="25.5" customHeight="1">
      <c r="A2" s="14" t="s">
        <v>257</v>
      </c>
      <c r="L2" s="16"/>
      <c r="M2" s="16"/>
      <c r="N2" s="16"/>
      <c r="O2" s="17"/>
      <c r="P2" s="17"/>
      <c r="Q2" s="17"/>
      <c r="R2" s="17"/>
      <c r="S2" s="17"/>
    </row>
    <row r="3" spans="1:35" ht="14.25" customHeight="1">
      <c r="T3" s="89"/>
      <c r="U3" s="89"/>
      <c r="V3" s="89"/>
    </row>
    <row r="4" spans="1:35" ht="15.75" customHeight="1">
      <c r="B4" s="90" t="s">
        <v>258</v>
      </c>
      <c r="D4" t="s">
        <v>259</v>
      </c>
      <c r="F4" t="s">
        <v>260</v>
      </c>
      <c r="J4" s="91">
        <f>E88</f>
        <v>65.991720553640789</v>
      </c>
      <c r="L4" s="85"/>
      <c r="T4" s="89"/>
      <c r="U4" s="89"/>
      <c r="V4" s="89"/>
    </row>
    <row r="5" spans="1:35" ht="15.75" customHeight="1">
      <c r="B5" s="90" t="s">
        <v>1</v>
      </c>
      <c r="D5" s="92">
        <v>45973</v>
      </c>
      <c r="F5" t="s">
        <v>261</v>
      </c>
      <c r="J5" s="91">
        <v>193.8</v>
      </c>
      <c r="L5" s="85"/>
      <c r="R5" s="89"/>
      <c r="S5" s="89"/>
      <c r="U5" s="89"/>
      <c r="V5" s="89"/>
      <c r="W5" s="89"/>
    </row>
    <row r="6" spans="1:35" ht="15.75" customHeight="1">
      <c r="B6" s="90" t="s">
        <v>262</v>
      </c>
      <c r="D6" s="92">
        <v>45684</v>
      </c>
      <c r="F6" t="s">
        <v>263</v>
      </c>
      <c r="J6" s="153">
        <f>J4/J5-1</f>
        <v>-0.6594854460596451</v>
      </c>
      <c r="L6" s="85"/>
      <c r="O6" s="89"/>
      <c r="P6" s="52"/>
      <c r="Q6" s="52"/>
      <c r="R6" s="52"/>
      <c r="S6" s="52"/>
      <c r="T6" s="52"/>
    </row>
    <row r="7" spans="1:35" ht="15.75" customHeight="1">
      <c r="B7" s="90" t="s">
        <v>264</v>
      </c>
      <c r="D7" s="92">
        <v>46047</v>
      </c>
      <c r="P7" s="52"/>
      <c r="Q7" s="52"/>
      <c r="R7" s="52"/>
      <c r="S7" s="52"/>
      <c r="T7" s="52"/>
      <c r="W7" s="26"/>
    </row>
    <row r="8" spans="1:35" ht="14.25" customHeight="1">
      <c r="Y8" s="75"/>
      <c r="Z8" s="75"/>
      <c r="AA8" s="93"/>
      <c r="AB8" s="93"/>
    </row>
    <row r="9" spans="1:35" ht="14.25" customHeight="1">
      <c r="A9" s="1" t="s">
        <v>265</v>
      </c>
      <c r="B9" s="74" t="s">
        <v>266</v>
      </c>
      <c r="C9" s="42"/>
      <c r="D9" s="42"/>
      <c r="E9" s="42"/>
      <c r="F9" s="94" t="s">
        <v>59</v>
      </c>
      <c r="G9" s="94" t="str">
        <f t="shared" ref="G9:AG9" si="0">IF(MID(F9,2,1)="4","Q1 "&amp;RIGHT(F9,4)+1, "Q"&amp;MID(F9,2,1)+1&amp;" "&amp;RIGHT(F9,4))</f>
        <v>Q2 2022</v>
      </c>
      <c r="H9" s="94" t="str">
        <f t="shared" si="0"/>
        <v>Q3 2022</v>
      </c>
      <c r="I9" s="94" t="str">
        <f t="shared" si="0"/>
        <v>Q4 2022</v>
      </c>
      <c r="J9" s="94" t="str">
        <f t="shared" si="0"/>
        <v>Q1 2023</v>
      </c>
      <c r="K9" s="94" t="str">
        <f t="shared" si="0"/>
        <v>Q2 2023</v>
      </c>
      <c r="L9" s="94" t="str">
        <f t="shared" si="0"/>
        <v>Q3 2023</v>
      </c>
      <c r="M9" s="94" t="str">
        <f t="shared" si="0"/>
        <v>Q4 2023</v>
      </c>
      <c r="N9" s="94" t="str">
        <f t="shared" si="0"/>
        <v>Q1 2024</v>
      </c>
      <c r="O9" s="94" t="str">
        <f t="shared" si="0"/>
        <v>Q2 2024</v>
      </c>
      <c r="P9" s="94" t="str">
        <f t="shared" si="0"/>
        <v>Q3 2024</v>
      </c>
      <c r="Q9" s="94" t="str">
        <f t="shared" si="0"/>
        <v>Q4 2024</v>
      </c>
      <c r="R9" s="94" t="str">
        <f t="shared" si="0"/>
        <v>Q1 2025</v>
      </c>
      <c r="S9" s="94" t="str">
        <f t="shared" si="0"/>
        <v>Q2 2025</v>
      </c>
      <c r="T9" s="94" t="str">
        <f t="shared" si="0"/>
        <v>Q3 2025</v>
      </c>
      <c r="U9" s="94" t="str">
        <f t="shared" si="0"/>
        <v>Q4 2025</v>
      </c>
      <c r="V9" s="94" t="str">
        <f t="shared" si="0"/>
        <v>Q1 2026</v>
      </c>
      <c r="W9" s="94" t="str">
        <f t="shared" si="0"/>
        <v>Q2 2026</v>
      </c>
      <c r="X9" s="95" t="str">
        <f t="shared" si="0"/>
        <v>Q3 2026</v>
      </c>
      <c r="Y9" s="95" t="str">
        <f t="shared" si="0"/>
        <v>Q4 2026</v>
      </c>
      <c r="Z9" s="95" t="str">
        <f t="shared" si="0"/>
        <v>Q1 2027</v>
      </c>
      <c r="AA9" s="95" t="str">
        <f t="shared" si="0"/>
        <v>Q2 2027</v>
      </c>
      <c r="AB9" s="95" t="str">
        <f t="shared" si="0"/>
        <v>Q3 2027</v>
      </c>
      <c r="AC9" s="95" t="str">
        <f t="shared" si="0"/>
        <v>Q4 2027</v>
      </c>
      <c r="AD9" s="95" t="str">
        <f t="shared" si="0"/>
        <v>Q1 2028</v>
      </c>
      <c r="AE9" s="95" t="str">
        <f t="shared" si="0"/>
        <v>Q2 2028</v>
      </c>
      <c r="AF9" s="95" t="str">
        <f t="shared" si="0"/>
        <v>Q3 2028</v>
      </c>
      <c r="AG9" s="95" t="str">
        <f t="shared" si="0"/>
        <v>Q4 2028</v>
      </c>
      <c r="AH9" s="95">
        <v>2029</v>
      </c>
      <c r="AI9" s="95">
        <v>2030</v>
      </c>
    </row>
    <row r="10" spans="1:35" ht="14.25" customHeight="1">
      <c r="B10" t="s">
        <v>89</v>
      </c>
      <c r="F10" s="52">
        <f>'Income Statement'!C9</f>
        <v>5661</v>
      </c>
      <c r="G10" s="52">
        <f>'Income Statement'!D9</f>
        <v>6507</v>
      </c>
      <c r="H10" s="52">
        <f>'Income Statement'!E9</f>
        <v>7103</v>
      </c>
      <c r="I10" s="52">
        <f>'Income Statement'!F9</f>
        <v>7643</v>
      </c>
      <c r="J10" s="52">
        <f>'Income Statement'!G9</f>
        <v>8288</v>
      </c>
      <c r="K10" s="52">
        <f>'Income Statement'!H9</f>
        <v>6704</v>
      </c>
      <c r="L10" s="52">
        <f>'Income Statement'!I9</f>
        <v>5931</v>
      </c>
      <c r="M10" s="52">
        <f>'Income Statement'!J9</f>
        <v>6051</v>
      </c>
      <c r="N10" s="52">
        <f>'Income Statement'!K9</f>
        <v>7192</v>
      </c>
      <c r="O10" s="52">
        <f>'Income Statement'!L9</f>
        <v>13507</v>
      </c>
      <c r="P10" s="52">
        <f>'Income Statement'!M9</f>
        <v>18120</v>
      </c>
      <c r="Q10" s="52">
        <f>'Income Statement'!N9</f>
        <v>22103</v>
      </c>
      <c r="R10" s="52">
        <f>'Income Statement'!O9</f>
        <v>26044</v>
      </c>
      <c r="S10" s="52">
        <f>'Income Statement'!P9</f>
        <v>30040</v>
      </c>
      <c r="T10" s="52">
        <f>'Income Statement'!Q9</f>
        <v>35082</v>
      </c>
      <c r="U10" s="52">
        <f>'Income Statement'!R9</f>
        <v>39331</v>
      </c>
      <c r="V10" s="52">
        <f>'Income Statement'!S9</f>
        <v>44062</v>
      </c>
      <c r="W10" s="52">
        <f>'Income Statement'!T9</f>
        <v>46743</v>
      </c>
      <c r="X10" s="96">
        <f t="shared" ref="X10:AI10" si="1">X48</f>
        <v>51065.611953128537</v>
      </c>
      <c r="Y10" s="96">
        <f t="shared" si="1"/>
        <v>55195.778853549295</v>
      </c>
      <c r="Z10" s="96">
        <f t="shared" si="1"/>
        <v>60239.531059132241</v>
      </c>
      <c r="AA10" s="96">
        <f t="shared" si="1"/>
        <v>64481.781341899288</v>
      </c>
      <c r="AB10" s="96">
        <f t="shared" si="1"/>
        <v>63741.608062253988</v>
      </c>
      <c r="AC10" s="96">
        <f t="shared" si="1"/>
        <v>68779.720852372979</v>
      </c>
      <c r="AD10" s="96">
        <f t="shared" si="1"/>
        <v>70894.501651359533</v>
      </c>
      <c r="AE10" s="96">
        <f t="shared" si="1"/>
        <v>73009.282450346087</v>
      </c>
      <c r="AF10" s="96">
        <f t="shared" si="1"/>
        <v>82763.886949683103</v>
      </c>
      <c r="AG10" s="96">
        <f t="shared" si="1"/>
        <v>93130.10917272458</v>
      </c>
      <c r="AH10" s="96">
        <f t="shared" si="1"/>
        <v>364277.75319050165</v>
      </c>
      <c r="AI10" s="96">
        <f t="shared" si="1"/>
        <v>377027.47455216915</v>
      </c>
    </row>
    <row r="11" spans="1:35" ht="14.25" customHeight="1">
      <c r="B11" s="27" t="s">
        <v>267</v>
      </c>
      <c r="F11" s="1"/>
      <c r="G11" s="97">
        <f t="shared" ref="G11:AG11" si="2">G10/F10-1</f>
        <v>0.14944356120826718</v>
      </c>
      <c r="H11" s="97">
        <f t="shared" si="2"/>
        <v>9.1593668357153879E-2</v>
      </c>
      <c r="I11" s="97">
        <f t="shared" si="2"/>
        <v>7.6024215120371608E-2</v>
      </c>
      <c r="J11" s="97">
        <f t="shared" si="2"/>
        <v>8.4390945963626951E-2</v>
      </c>
      <c r="K11" s="97">
        <f t="shared" si="2"/>
        <v>-0.19111969111969107</v>
      </c>
      <c r="L11" s="97">
        <f t="shared" si="2"/>
        <v>-0.11530429594272074</v>
      </c>
      <c r="M11" s="97">
        <f t="shared" si="2"/>
        <v>2.0232675771370667E-2</v>
      </c>
      <c r="N11" s="97">
        <f t="shared" si="2"/>
        <v>0.1885638737398776</v>
      </c>
      <c r="O11" s="97">
        <f t="shared" si="2"/>
        <v>0.87805895439377091</v>
      </c>
      <c r="P11" s="97">
        <f t="shared" si="2"/>
        <v>0.34152661582882948</v>
      </c>
      <c r="Q11" s="97">
        <f t="shared" si="2"/>
        <v>0.21981236203090515</v>
      </c>
      <c r="R11" s="97">
        <f t="shared" si="2"/>
        <v>0.17830158801972584</v>
      </c>
      <c r="S11" s="97">
        <f t="shared" si="2"/>
        <v>0.1534326524343419</v>
      </c>
      <c r="T11" s="97">
        <f t="shared" si="2"/>
        <v>0.16784287616511318</v>
      </c>
      <c r="U11" s="97">
        <f t="shared" si="2"/>
        <v>0.12111624194743742</v>
      </c>
      <c r="V11" s="97">
        <f t="shared" si="2"/>
        <v>0.12028679667437903</v>
      </c>
      <c r="W11" s="97">
        <f t="shared" si="2"/>
        <v>6.0846080522899637E-2</v>
      </c>
      <c r="X11" s="97">
        <f t="shared" si="2"/>
        <v>9.2476134461385362E-2</v>
      </c>
      <c r="Y11" s="97">
        <f t="shared" si="2"/>
        <v>8.0879612374207932E-2</v>
      </c>
      <c r="Z11" s="97">
        <f t="shared" si="2"/>
        <v>9.1379310344827491E-2</v>
      </c>
      <c r="AA11" s="97">
        <f t="shared" si="2"/>
        <v>7.0423029664735903E-2</v>
      </c>
      <c r="AB11" s="97">
        <f>AB10/AA10-1</f>
        <v>-1.1478797022072107E-2</v>
      </c>
      <c r="AC11" s="97">
        <f t="shared" si="2"/>
        <v>7.9039624874202463E-2</v>
      </c>
      <c r="AD11" s="97">
        <f t="shared" si="2"/>
        <v>3.0747155888080302E-2</v>
      </c>
      <c r="AE11" s="97">
        <f t="shared" si="2"/>
        <v>2.9829969175698468E-2</v>
      </c>
      <c r="AF11" s="97">
        <f t="shared" si="2"/>
        <v>0.13360773003037196</v>
      </c>
      <c r="AG11" s="97">
        <f t="shared" si="2"/>
        <v>0.12525054833811389</v>
      </c>
      <c r="AH11" s="97">
        <f>AH10/SUM(AD10:AG10)-1</f>
        <v>0.13908781022562722</v>
      </c>
      <c r="AI11" s="97">
        <f>AI10/AH10-1</f>
        <v>3.499999999999992E-2</v>
      </c>
    </row>
    <row r="12" spans="1:35" ht="14.25" customHeight="1">
      <c r="B12" s="27"/>
      <c r="G12" s="20"/>
      <c r="H12" s="20"/>
      <c r="I12" s="20"/>
      <c r="J12" s="20"/>
      <c r="K12" s="20"/>
      <c r="L12" s="20"/>
      <c r="M12" s="20"/>
      <c r="N12" s="20"/>
      <c r="O12" s="20"/>
      <c r="P12" s="20"/>
      <c r="Q12" s="20"/>
      <c r="X12" s="1"/>
      <c r="Y12" s="1"/>
      <c r="Z12" s="1"/>
      <c r="AA12" s="1"/>
      <c r="AB12" s="1"/>
      <c r="AC12" s="1"/>
      <c r="AD12" s="1"/>
      <c r="AE12" s="1"/>
      <c r="AF12" s="1"/>
      <c r="AG12" s="1"/>
    </row>
    <row r="13" spans="1:35" ht="14.25" customHeight="1">
      <c r="B13" t="s">
        <v>268</v>
      </c>
      <c r="F13" s="52">
        <f>'Income Statement'!C11</f>
        <v>3629</v>
      </c>
      <c r="G13" s="52">
        <f>'Income Statement'!D11</f>
        <v>4215</v>
      </c>
      <c r="H13" s="52">
        <f>'Income Statement'!E11</f>
        <v>4631</v>
      </c>
      <c r="I13" s="52">
        <f>'Income Statement'!F11</f>
        <v>5000</v>
      </c>
      <c r="J13" s="52">
        <f>'Income Statement'!G11</f>
        <v>5431</v>
      </c>
      <c r="K13" s="52">
        <f>'Income Statement'!H11</f>
        <v>2915</v>
      </c>
      <c r="L13" s="52">
        <f>'Income Statement'!I11</f>
        <v>3177</v>
      </c>
      <c r="M13" s="52">
        <f>'Income Statement'!J11</f>
        <v>3833</v>
      </c>
      <c r="N13" s="52">
        <f>'Income Statement'!K11</f>
        <v>4648</v>
      </c>
      <c r="O13" s="52">
        <f>'Income Statement'!L11</f>
        <v>9462</v>
      </c>
      <c r="P13" s="52">
        <f>'Income Statement'!M11</f>
        <v>13400</v>
      </c>
      <c r="Q13" s="52">
        <f>'Income Statement'!N11</f>
        <v>16791</v>
      </c>
      <c r="R13" s="52">
        <f>'Income Statement'!O11</f>
        <v>20406</v>
      </c>
      <c r="S13" s="52">
        <f>'Income Statement'!P11</f>
        <v>22574</v>
      </c>
      <c r="T13" s="52">
        <f>'Income Statement'!Q11</f>
        <v>26156</v>
      </c>
      <c r="U13" s="52">
        <f>'Income Statement'!R11</f>
        <v>28723</v>
      </c>
      <c r="V13" s="52">
        <f>'Income Statement'!S11</f>
        <v>26668</v>
      </c>
      <c r="W13" s="52">
        <f>'Income Statement'!T11</f>
        <v>33853</v>
      </c>
      <c r="X13" s="96">
        <f t="shared" ref="X13:AI13" si="3">X10*X14</f>
        <v>38963.061920237073</v>
      </c>
      <c r="Y13" s="96">
        <f t="shared" si="3"/>
        <v>38710.613859927609</v>
      </c>
      <c r="Z13" s="96">
        <f t="shared" si="3"/>
        <v>42510.494049517838</v>
      </c>
      <c r="AA13" s="96">
        <f t="shared" si="3"/>
        <v>45037.424713354201</v>
      </c>
      <c r="AB13" s="96">
        <f t="shared" si="3"/>
        <v>46121.206793793797</v>
      </c>
      <c r="AC13" s="96">
        <f t="shared" si="3"/>
        <v>49323.240933154644</v>
      </c>
      <c r="AD13" s="96">
        <f t="shared" si="3"/>
        <v>50140.861966859047</v>
      </c>
      <c r="AE13" s="96">
        <f t="shared" si="3"/>
        <v>51924.694901362338</v>
      </c>
      <c r="AF13" s="96">
        <f t="shared" si="3"/>
        <v>58894.704833208147</v>
      </c>
      <c r="AG13" s="96">
        <f t="shared" si="3"/>
        <v>66568.263452515617</v>
      </c>
      <c r="AH13" s="96">
        <f t="shared" si="3"/>
        <v>259291.53921775136</v>
      </c>
      <c r="AI13" s="96">
        <f t="shared" si="3"/>
        <v>268147.01412947848</v>
      </c>
    </row>
    <row r="14" spans="1:35" ht="14.25" customHeight="1">
      <c r="B14" s="27" t="s">
        <v>269</v>
      </c>
      <c r="F14" s="97">
        <f t="shared" ref="F14:W14" si="4">F13/F$10</f>
        <v>0.6410528175234057</v>
      </c>
      <c r="G14" s="97">
        <f t="shared" si="4"/>
        <v>0.64776394651913327</v>
      </c>
      <c r="H14" s="97">
        <f t="shared" si="4"/>
        <v>0.65197803744896521</v>
      </c>
      <c r="I14" s="97">
        <f t="shared" si="4"/>
        <v>0.65419337956299883</v>
      </c>
      <c r="J14" s="97">
        <f t="shared" si="4"/>
        <v>0.65528474903474898</v>
      </c>
      <c r="K14" s="97">
        <f t="shared" si="4"/>
        <v>0.43481503579952269</v>
      </c>
      <c r="L14" s="97">
        <f t="shared" si="4"/>
        <v>0.53566009104704093</v>
      </c>
      <c r="M14" s="97">
        <f t="shared" si="4"/>
        <v>0.63344901669145592</v>
      </c>
      <c r="N14" s="97">
        <f t="shared" si="4"/>
        <v>0.64627363737486099</v>
      </c>
      <c r="O14" s="97">
        <f t="shared" si="4"/>
        <v>0.7005256533649219</v>
      </c>
      <c r="P14" s="97">
        <f t="shared" si="4"/>
        <v>0.73951434878587197</v>
      </c>
      <c r="Q14" s="97">
        <f t="shared" si="4"/>
        <v>0.75967063294575399</v>
      </c>
      <c r="R14" s="97">
        <f t="shared" si="4"/>
        <v>0.78352019659038552</v>
      </c>
      <c r="S14" s="97">
        <f t="shared" si="4"/>
        <v>0.75146471371504664</v>
      </c>
      <c r="T14" s="97">
        <f t="shared" si="4"/>
        <v>0.74556752750698363</v>
      </c>
      <c r="U14" s="97">
        <f t="shared" si="4"/>
        <v>0.73028908494571709</v>
      </c>
      <c r="V14" s="97">
        <f t="shared" si="4"/>
        <v>0.60523807362353044</v>
      </c>
      <c r="W14" s="97">
        <f t="shared" si="4"/>
        <v>0.72423678411740799</v>
      </c>
      <c r="X14" s="97">
        <v>0.76300000000000001</v>
      </c>
      <c r="Y14" s="97">
        <f t="shared" ref="Y14:AI14" si="5">AVERAGE(T14:W14)</f>
        <v>0.70133286754840984</v>
      </c>
      <c r="Z14" s="97">
        <f t="shared" si="5"/>
        <v>0.70569098567166377</v>
      </c>
      <c r="AA14" s="97">
        <f t="shared" si="5"/>
        <v>0.69845193132233707</v>
      </c>
      <c r="AB14" s="97">
        <f t="shared" si="5"/>
        <v>0.72356515933437038</v>
      </c>
      <c r="AC14" s="97">
        <f t="shared" si="5"/>
        <v>0.71711894613560268</v>
      </c>
      <c r="AD14" s="97">
        <f t="shared" si="5"/>
        <v>0.70726023596919529</v>
      </c>
      <c r="AE14" s="97">
        <f t="shared" si="5"/>
        <v>0.71120675561599356</v>
      </c>
      <c r="AF14" s="97">
        <f t="shared" si="5"/>
        <v>0.71159906819037633</v>
      </c>
      <c r="AG14" s="97">
        <f t="shared" si="5"/>
        <v>0.71478777426379048</v>
      </c>
      <c r="AH14" s="97">
        <f t="shared" si="5"/>
        <v>0.71179625147779202</v>
      </c>
      <c r="AI14" s="97">
        <f t="shared" si="5"/>
        <v>0.71121345850983886</v>
      </c>
    </row>
    <row r="15" spans="1:35" ht="14.25" customHeight="1">
      <c r="X15" s="1"/>
      <c r="Y15" s="1"/>
      <c r="Z15" s="1"/>
      <c r="AA15" s="1"/>
      <c r="AB15" s="1"/>
      <c r="AC15" s="1"/>
      <c r="AD15" s="1"/>
      <c r="AE15" s="1"/>
      <c r="AF15" s="1"/>
      <c r="AG15" s="1"/>
    </row>
    <row r="16" spans="1:35" ht="14.25" customHeight="1">
      <c r="B16" t="s">
        <v>270</v>
      </c>
      <c r="F16" s="52">
        <f>'Income Statement'!C19+'Income Statement'!C20+'Income Statement'!C21</f>
        <v>1909</v>
      </c>
      <c r="G16" s="52">
        <f>'Income Statement'!D19+'Income Statement'!D20+'Income Statement'!D21</f>
        <v>2390</v>
      </c>
      <c r="H16" s="52">
        <f>'Income Statement'!E19+'Income Statement'!E20+'Income Statement'!E21</f>
        <v>2616</v>
      </c>
      <c r="I16" s="52">
        <f>'Income Statement'!F19+'Income Statement'!F20+'Income Statement'!F21</f>
        <v>2919</v>
      </c>
      <c r="J16" s="52">
        <f>'Income Statement'!G19+'Income Statement'!G20+'Income Statement'!G21</f>
        <v>1818</v>
      </c>
      <c r="K16" s="52">
        <f>'Income Statement'!H19+'Income Statement'!H20+'Income Statement'!H21</f>
        <v>480</v>
      </c>
      <c r="L16" s="52">
        <f>'Income Statement'!I19+'Income Statement'!I20+'Income Statement'!I21</f>
        <v>624</v>
      </c>
      <c r="M16" s="52">
        <f>'Income Statement'!J19+'Income Statement'!J20+'Income Statement'!J21</f>
        <v>1307</v>
      </c>
      <c r="N16" s="52">
        <f>'Income Statement'!K19+'Income Statement'!K20+'Income Statement'!K21</f>
        <v>2224</v>
      </c>
      <c r="O16" s="52">
        <f>'Income Statement'!L19+'Income Statement'!L20+'Income Statement'!L21</f>
        <v>6922</v>
      </c>
      <c r="P16" s="52">
        <f>'Income Statement'!M19+'Income Statement'!M20+'Income Statement'!M21</f>
        <v>10588</v>
      </c>
      <c r="Q16" s="52">
        <f>'Income Statement'!N19+'Income Statement'!N20+'Income Statement'!N21</f>
        <v>13847</v>
      </c>
      <c r="R16" s="52">
        <f>'Income Statement'!O19+'Income Statement'!O20+'Income Statement'!O21</f>
        <v>17204</v>
      </c>
      <c r="S16" s="52">
        <f>'Income Statement'!P19+'Income Statement'!P20+'Income Statement'!P21</f>
        <v>19025</v>
      </c>
      <c r="T16" s="52">
        <f>'Income Statement'!Q19+'Income Statement'!Q20+'Income Statement'!Q21</f>
        <v>22280</v>
      </c>
      <c r="U16" s="52">
        <f>'Income Statement'!R19+'Income Statement'!R20+'Income Statement'!R21</f>
        <v>24484</v>
      </c>
      <c r="V16" s="52">
        <f>'Income Statement'!S19+'Income Statement'!S20+'Income Statement'!S21</f>
        <v>22090</v>
      </c>
      <c r="W16" s="52">
        <f>'Income Statement'!T19+'Income Statement'!T20+'Income Statement'!T21</f>
        <v>28970</v>
      </c>
      <c r="X16" s="96">
        <f t="shared" ref="X16:AI16" si="6">X13-(X10*$D$41)</f>
        <v>32961.033578786366</v>
      </c>
      <c r="Y16" s="96">
        <f t="shared" si="6"/>
        <v>32223.143792761359</v>
      </c>
      <c r="Z16" s="96">
        <f t="shared" si="6"/>
        <v>35430.203441731224</v>
      </c>
      <c r="AA16" s="96">
        <f t="shared" si="6"/>
        <v>37458.518590060477</v>
      </c>
      <c r="AB16" s="96">
        <f t="shared" si="6"/>
        <v>38629.297395538699</v>
      </c>
      <c r="AC16" s="96">
        <f t="shared" si="6"/>
        <v>41239.173826469952</v>
      </c>
      <c r="AD16" s="96">
        <f t="shared" si="6"/>
        <v>41808.232788635425</v>
      </c>
      <c r="AE16" s="96">
        <f t="shared" si="6"/>
        <v>43343.503651599778</v>
      </c>
      <c r="AF16" s="96">
        <f t="shared" si="6"/>
        <v>49167.000099608318</v>
      </c>
      <c r="AG16" s="96">
        <f t="shared" si="6"/>
        <v>55622.158366961143</v>
      </c>
      <c r="AH16" s="96">
        <f t="shared" si="6"/>
        <v>216475.92778796554</v>
      </c>
      <c r="AI16" s="96">
        <f t="shared" si="6"/>
        <v>223832.85629965019</v>
      </c>
    </row>
    <row r="17" spans="1:37" ht="14.25" customHeight="1">
      <c r="B17" s="27" t="s">
        <v>269</v>
      </c>
      <c r="F17" s="97">
        <f t="shared" ref="F17:X17" si="7">F16/F$10</f>
        <v>0.33721957251369017</v>
      </c>
      <c r="G17" s="97">
        <f t="shared" si="7"/>
        <v>0.36729675733825112</v>
      </c>
      <c r="H17" s="97">
        <f t="shared" si="7"/>
        <v>0.36829508658313387</v>
      </c>
      <c r="I17" s="97">
        <f t="shared" si="7"/>
        <v>0.38191809498887869</v>
      </c>
      <c r="J17" s="97">
        <f t="shared" si="7"/>
        <v>0.21935328185328185</v>
      </c>
      <c r="K17" s="97">
        <f t="shared" si="7"/>
        <v>7.1599045346062054E-2</v>
      </c>
      <c r="L17" s="97">
        <f t="shared" si="7"/>
        <v>0.10520991401112798</v>
      </c>
      <c r="M17" s="97">
        <f t="shared" si="7"/>
        <v>0.21599735580895721</v>
      </c>
      <c r="N17" s="97">
        <f t="shared" si="7"/>
        <v>0.3092324805339266</v>
      </c>
      <c r="O17" s="97">
        <f t="shared" si="7"/>
        <v>0.51247501295624487</v>
      </c>
      <c r="P17" s="97">
        <f t="shared" si="7"/>
        <v>0.58432671081677701</v>
      </c>
      <c r="Q17" s="97">
        <f t="shared" si="7"/>
        <v>0.62647604397593082</v>
      </c>
      <c r="R17" s="97">
        <f t="shared" si="7"/>
        <v>0.66057441253263705</v>
      </c>
      <c r="S17" s="97">
        <f t="shared" si="7"/>
        <v>0.63332223701731027</v>
      </c>
      <c r="T17" s="97">
        <f t="shared" si="7"/>
        <v>0.63508351861353396</v>
      </c>
      <c r="U17" s="97">
        <f t="shared" si="7"/>
        <v>0.62251150491978335</v>
      </c>
      <c r="V17" s="97">
        <f t="shared" si="7"/>
        <v>0.50133902228677774</v>
      </c>
      <c r="W17" s="97">
        <f t="shared" si="7"/>
        <v>0.61977194446227246</v>
      </c>
      <c r="X17" s="97">
        <f t="shared" si="7"/>
        <v>0.64546438039438803</v>
      </c>
      <c r="Y17" s="97">
        <f t="shared" ref="Y17:AI17" si="8">Y16/Y10</f>
        <v>0.58379724794279786</v>
      </c>
      <c r="Z17" s="97">
        <f t="shared" si="8"/>
        <v>0.5881553660660519</v>
      </c>
      <c r="AA17" s="97">
        <f t="shared" si="8"/>
        <v>0.58091631171672509</v>
      </c>
      <c r="AB17" s="97">
        <f t="shared" si="8"/>
        <v>0.60602953972875839</v>
      </c>
      <c r="AC17" s="97">
        <f t="shared" si="8"/>
        <v>0.59958332652999058</v>
      </c>
      <c r="AD17" s="97">
        <f t="shared" si="8"/>
        <v>0.58972461636358331</v>
      </c>
      <c r="AE17" s="97">
        <f t="shared" si="8"/>
        <v>0.59367113601038157</v>
      </c>
      <c r="AF17" s="97">
        <f t="shared" si="8"/>
        <v>0.59406344858476434</v>
      </c>
      <c r="AG17" s="97">
        <f t="shared" si="8"/>
        <v>0.59725215465817838</v>
      </c>
      <c r="AH17" s="97">
        <f t="shared" si="8"/>
        <v>0.59426063187218003</v>
      </c>
      <c r="AI17" s="97">
        <f t="shared" si="8"/>
        <v>0.59367783890422687</v>
      </c>
    </row>
    <row r="18" spans="1:37" ht="14.25" customHeight="1">
      <c r="X18" s="1"/>
      <c r="Y18" s="1"/>
      <c r="Z18" s="1"/>
      <c r="AA18" s="1"/>
      <c r="AB18" s="1"/>
      <c r="AC18" s="1"/>
      <c r="AD18" s="1"/>
      <c r="AE18" s="1"/>
      <c r="AF18" s="1"/>
      <c r="AG18" s="1"/>
    </row>
    <row r="19" spans="1:37" ht="14.25" customHeight="1">
      <c r="B19" t="s">
        <v>271</v>
      </c>
      <c r="F19" s="31">
        <f>'Income Statement'!C26</f>
        <v>132</v>
      </c>
      <c r="G19" s="31">
        <f>'Income Statement'!D26</f>
        <v>20</v>
      </c>
      <c r="H19" s="31">
        <f>'Income Statement'!E26</f>
        <v>174</v>
      </c>
      <c r="I19" s="31">
        <f>'Income Statement'!F26</f>
        <v>-137</v>
      </c>
      <c r="J19" s="31">
        <f>'Income Statement'!G26</f>
        <v>187</v>
      </c>
      <c r="K19" s="31">
        <f>'Income Statement'!H26</f>
        <v>-181</v>
      </c>
      <c r="L19" s="31">
        <f>'Income Statement'!I26</f>
        <v>-67</v>
      </c>
      <c r="M19" s="52">
        <f>'Income Statement'!J26</f>
        <v>-126</v>
      </c>
      <c r="N19" s="52">
        <f>'Income Statement'!K26</f>
        <v>166</v>
      </c>
      <c r="O19" s="52">
        <f>'Income Statement'!L26</f>
        <v>793</v>
      </c>
      <c r="P19" s="52">
        <f>'Income Statement'!M26</f>
        <v>1279</v>
      </c>
      <c r="Q19" s="52">
        <f>'Income Statement'!N26</f>
        <v>1820</v>
      </c>
      <c r="R19" s="52">
        <f>'Income Statement'!O26</f>
        <v>2398</v>
      </c>
      <c r="S19" s="52">
        <f>'Income Statement'!P26</f>
        <v>2615</v>
      </c>
      <c r="T19" s="52">
        <f>'Income Statement'!Q26</f>
        <v>3007</v>
      </c>
      <c r="U19" s="52">
        <f>'Income Statement'!R26</f>
        <v>3126</v>
      </c>
      <c r="V19" s="52">
        <f>'Income Statement'!S26</f>
        <v>3135</v>
      </c>
      <c r="W19" s="52">
        <f>'Income Statement'!T26</f>
        <v>4784</v>
      </c>
      <c r="X19" s="96">
        <f t="shared" ref="X19:AI19" si="9">X16*X20</f>
        <v>5603.3757083936825</v>
      </c>
      <c r="Y19" s="96">
        <f t="shared" si="9"/>
        <v>5477.9344447694311</v>
      </c>
      <c r="Z19" s="96">
        <f t="shared" si="9"/>
        <v>6023.1345850943089</v>
      </c>
      <c r="AA19" s="96">
        <f t="shared" si="9"/>
        <v>6367.9481603102813</v>
      </c>
      <c r="AB19" s="96">
        <f t="shared" si="9"/>
        <v>6566.9805572415789</v>
      </c>
      <c r="AC19" s="96">
        <f t="shared" si="9"/>
        <v>7010.6595504998922</v>
      </c>
      <c r="AD19" s="96">
        <f t="shared" si="9"/>
        <v>7107.399574068023</v>
      </c>
      <c r="AE19" s="96">
        <f t="shared" si="9"/>
        <v>7368.395620771963</v>
      </c>
      <c r="AF19" s="96">
        <f t="shared" si="9"/>
        <v>8358.3900169334138</v>
      </c>
      <c r="AG19" s="96">
        <f t="shared" si="9"/>
        <v>9455.7669223833946</v>
      </c>
      <c r="AH19" s="96">
        <f t="shared" si="9"/>
        <v>36800.907723954144</v>
      </c>
      <c r="AI19" s="96">
        <f t="shared" si="9"/>
        <v>38051.585570940537</v>
      </c>
    </row>
    <row r="20" spans="1:37" ht="14.25" customHeight="1">
      <c r="B20" s="27" t="s">
        <v>272</v>
      </c>
      <c r="F20" s="97">
        <f>F19/'Income Statement'!C25</f>
        <v>6.4579256360078274E-2</v>
      </c>
      <c r="G20" s="97">
        <f>G19/'Income Statement'!D25</f>
        <v>8.3542188805346695E-3</v>
      </c>
      <c r="H20" s="97">
        <f>H19/'Income Statement'!E25</f>
        <v>6.5959059893858987E-2</v>
      </c>
      <c r="I20" s="97">
        <f>I19/'Income Statement'!F25</f>
        <v>-4.7818499127399654E-2</v>
      </c>
      <c r="J20" s="97">
        <f>J19/'Income Statement'!G25</f>
        <v>0.10360110803324099</v>
      </c>
      <c r="K20" s="97">
        <f>K19/'Income Statement'!H25</f>
        <v>-0.38105263157894737</v>
      </c>
      <c r="L20" s="97">
        <f>L19/'Income Statement'!I25</f>
        <v>-0.10929853181076672</v>
      </c>
      <c r="M20" s="97">
        <f>M19/'Income Statement'!J25</f>
        <v>-9.7826086956521743E-2</v>
      </c>
      <c r="N20" s="97">
        <f>N19/'Income Statement'!K25</f>
        <v>7.5147125396106837E-2</v>
      </c>
      <c r="O20" s="97">
        <f>O19/'Income Statement'!L25</f>
        <v>0.11359404096834265</v>
      </c>
      <c r="P20" s="97">
        <f>P19/'Income Statement'!M25</f>
        <v>0.12155483748336818</v>
      </c>
      <c r="Q20" s="97">
        <f>Q19/'Income Statement'!N25</f>
        <v>0.12902311073302142</v>
      </c>
      <c r="R20" s="97">
        <f>R19/'Income Statement'!O25</f>
        <v>0.13878117946640431</v>
      </c>
      <c r="S20" s="97">
        <f>S19/'Income Statement'!P25</f>
        <v>0.1360986780472572</v>
      </c>
      <c r="T20" s="97">
        <f>T19/'Income Statement'!Q25</f>
        <v>0.13474637031726117</v>
      </c>
      <c r="U20" s="97">
        <f>U19/'Income Statement'!R25</f>
        <v>0.1239639925447119</v>
      </c>
      <c r="V20" s="97">
        <f>V19/'Income Statement'!S25</f>
        <v>0.1430853491556367</v>
      </c>
      <c r="W20" s="97">
        <f>W19/'Income Statement'!T25</f>
        <v>0.15330385182336731</v>
      </c>
      <c r="X20" s="97">
        <v>0.17</v>
      </c>
      <c r="Y20" s="97">
        <v>0.17</v>
      </c>
      <c r="Z20" s="97">
        <v>0.17</v>
      </c>
      <c r="AA20" s="97">
        <v>0.17</v>
      </c>
      <c r="AB20" s="97">
        <v>0.17</v>
      </c>
      <c r="AC20" s="97">
        <v>0.17</v>
      </c>
      <c r="AD20" s="97">
        <v>0.17</v>
      </c>
      <c r="AE20" s="97">
        <v>0.17</v>
      </c>
      <c r="AF20" s="97">
        <v>0.17</v>
      </c>
      <c r="AG20" s="97">
        <v>0.17</v>
      </c>
      <c r="AH20" s="97">
        <v>0.17</v>
      </c>
      <c r="AI20" s="97">
        <v>0.17</v>
      </c>
    </row>
    <row r="21" spans="1:37" ht="14.25" customHeight="1">
      <c r="Y21" s="26"/>
    </row>
    <row r="22" spans="1:37" ht="14.25" customHeight="1">
      <c r="A22" s="1" t="s">
        <v>265</v>
      </c>
      <c r="B22" s="74" t="s">
        <v>273</v>
      </c>
      <c r="C22" s="42"/>
      <c r="D22" s="42"/>
      <c r="E22" s="42"/>
      <c r="F22" s="42" t="s">
        <v>59</v>
      </c>
      <c r="G22" s="42" t="str">
        <f t="shared" ref="G22:AG22" si="10">IF(MID(F22,2,1)="4","Q1 "&amp;RIGHT(F22,4)+1, "Q"&amp;MID(F22,2,1)+1&amp;" "&amp;RIGHT(F22,4))</f>
        <v>Q2 2022</v>
      </c>
      <c r="H22" s="42" t="str">
        <f t="shared" si="10"/>
        <v>Q3 2022</v>
      </c>
      <c r="I22" s="42" t="str">
        <f t="shared" si="10"/>
        <v>Q4 2022</v>
      </c>
      <c r="J22" s="42" t="str">
        <f t="shared" si="10"/>
        <v>Q1 2023</v>
      </c>
      <c r="K22" s="42" t="str">
        <f t="shared" si="10"/>
        <v>Q2 2023</v>
      </c>
      <c r="L22" s="42" t="str">
        <f t="shared" si="10"/>
        <v>Q3 2023</v>
      </c>
      <c r="M22" s="42" t="str">
        <f t="shared" si="10"/>
        <v>Q4 2023</v>
      </c>
      <c r="N22" s="42" t="str">
        <f t="shared" si="10"/>
        <v>Q1 2024</v>
      </c>
      <c r="O22" s="42" t="str">
        <f t="shared" si="10"/>
        <v>Q2 2024</v>
      </c>
      <c r="P22" s="42" t="str">
        <f t="shared" si="10"/>
        <v>Q3 2024</v>
      </c>
      <c r="Q22" s="42" t="str">
        <f t="shared" si="10"/>
        <v>Q4 2024</v>
      </c>
      <c r="R22" s="42" t="str">
        <f t="shared" si="10"/>
        <v>Q1 2025</v>
      </c>
      <c r="S22" s="42" t="str">
        <f t="shared" si="10"/>
        <v>Q2 2025</v>
      </c>
      <c r="T22" s="42" t="str">
        <f t="shared" si="10"/>
        <v>Q3 2025</v>
      </c>
      <c r="U22" s="42" t="str">
        <f t="shared" si="10"/>
        <v>Q4 2025</v>
      </c>
      <c r="V22" s="42" t="str">
        <f t="shared" si="10"/>
        <v>Q1 2026</v>
      </c>
      <c r="W22" s="42" t="str">
        <f t="shared" si="10"/>
        <v>Q2 2026</v>
      </c>
      <c r="X22" s="43" t="str">
        <f t="shared" si="10"/>
        <v>Q3 2026</v>
      </c>
      <c r="Y22" s="43" t="str">
        <f t="shared" si="10"/>
        <v>Q4 2026</v>
      </c>
      <c r="Z22" s="43" t="str">
        <f t="shared" si="10"/>
        <v>Q1 2027</v>
      </c>
      <c r="AA22" s="43" t="str">
        <f t="shared" si="10"/>
        <v>Q2 2027</v>
      </c>
      <c r="AB22" s="43" t="str">
        <f t="shared" si="10"/>
        <v>Q3 2027</v>
      </c>
      <c r="AC22" s="43" t="str">
        <f t="shared" si="10"/>
        <v>Q4 2027</v>
      </c>
      <c r="AD22" s="43" t="str">
        <f t="shared" si="10"/>
        <v>Q1 2028</v>
      </c>
      <c r="AE22" s="43" t="str">
        <f t="shared" si="10"/>
        <v>Q2 2028</v>
      </c>
      <c r="AF22" s="43" t="str">
        <f t="shared" si="10"/>
        <v>Q3 2028</v>
      </c>
      <c r="AG22" s="43" t="str">
        <f t="shared" si="10"/>
        <v>Q4 2028</v>
      </c>
      <c r="AH22" s="98">
        <v>2029</v>
      </c>
      <c r="AI22" s="98">
        <v>2030</v>
      </c>
    </row>
    <row r="23" spans="1:37" ht="14.25" customHeight="1">
      <c r="B23" t="s">
        <v>274</v>
      </c>
      <c r="F23" s="17">
        <f>'Cash Flow Statement'!B14</f>
        <v>281</v>
      </c>
      <c r="G23" s="1">
        <f>'Cash Flow Statement'!C14-'Cash Flow Statement'!B14</f>
        <v>286</v>
      </c>
      <c r="H23" s="1">
        <f>'Cash Flow Statement'!D14-'Cash Flow Statement'!C14</f>
        <v>298</v>
      </c>
      <c r="I23" s="1">
        <f>'Cash Flow Statement'!E14-'Cash Flow Statement'!D14</f>
        <v>309</v>
      </c>
      <c r="J23" s="17">
        <f>'Cash Flow Statement'!F14</f>
        <v>334</v>
      </c>
      <c r="K23" s="1">
        <f>'Cash Flow Statement'!G14-'Cash Flow Statement'!F14</f>
        <v>378</v>
      </c>
      <c r="L23" s="1">
        <f>'Cash Flow Statement'!H14-'Cash Flow Statement'!G14</f>
        <v>406</v>
      </c>
      <c r="M23" s="1">
        <f>'Cash Flow Statement'!I14-'Cash Flow Statement'!H14</f>
        <v>426</v>
      </c>
      <c r="N23" s="17">
        <f>'Cash Flow Statement'!J14</f>
        <v>384</v>
      </c>
      <c r="O23" s="1">
        <f>'Cash Flow Statement'!K14-'Cash Flow Statement'!J14</f>
        <v>365</v>
      </c>
      <c r="P23" s="1">
        <f>'Cash Flow Statement'!L14-'Cash Flow Statement'!K14</f>
        <v>372</v>
      </c>
      <c r="Q23" s="1">
        <f>'Cash Flow Statement'!M14-'Cash Flow Statement'!L14</f>
        <v>387</v>
      </c>
      <c r="R23" s="17">
        <f>'Cash Flow Statement'!N14</f>
        <v>410</v>
      </c>
      <c r="S23" s="1">
        <f>'Cash Flow Statement'!O14-'Cash Flow Statement'!N14</f>
        <v>433</v>
      </c>
      <c r="T23" s="1">
        <f>'Cash Flow Statement'!P14-'Cash Flow Statement'!O14</f>
        <v>478</v>
      </c>
      <c r="U23" s="1">
        <f>'Cash Flow Statement'!Q14-'Cash Flow Statement'!P14</f>
        <v>543</v>
      </c>
      <c r="V23" s="17">
        <f>'Cash Flow Statement'!R14</f>
        <v>611</v>
      </c>
      <c r="W23" s="1">
        <f>'Cash Flow Statement'!S14-'Cash Flow Statement'!R14</f>
        <v>669</v>
      </c>
      <c r="X23" s="96">
        <f t="shared" ref="X23:AI23" si="11">$D$92*X10</f>
        <v>709.94288882173282</v>
      </c>
      <c r="Y23" s="96">
        <f t="shared" si="11"/>
        <v>767.36279447745994</v>
      </c>
      <c r="Z23" s="96">
        <f t="shared" si="11"/>
        <v>837.4838774210898</v>
      </c>
      <c r="AA23" s="96">
        <f t="shared" si="11"/>
        <v>896.4620293644532</v>
      </c>
      <c r="AB23" s="96">
        <f t="shared" si="11"/>
        <v>886.17172369138382</v>
      </c>
      <c r="AC23" s="96">
        <f t="shared" si="11"/>
        <v>956.21440430607618</v>
      </c>
      <c r="AD23" s="96">
        <f t="shared" si="11"/>
        <v>985.61527765770279</v>
      </c>
      <c r="AE23" s="96">
        <f t="shared" si="11"/>
        <v>1015.0161510093295</v>
      </c>
      <c r="AF23" s="96">
        <f t="shared" si="11"/>
        <v>1150.6301548898514</v>
      </c>
      <c r="AG23" s="96">
        <f t="shared" si="11"/>
        <v>1294.7472127241742</v>
      </c>
      <c r="AH23" s="99">
        <f t="shared" si="11"/>
        <v>5064.3944239996672</v>
      </c>
      <c r="AI23" s="99">
        <f t="shared" si="11"/>
        <v>5241.6482288396546</v>
      </c>
    </row>
    <row r="24" spans="1:37" ht="14.25" customHeight="1">
      <c r="B24" s="10" t="s">
        <v>275</v>
      </c>
      <c r="F24" s="1">
        <f t="shared" ref="F24:AI24" si="12">F23-F25</f>
        <v>144</v>
      </c>
      <c r="G24" s="1">
        <f t="shared" si="12"/>
        <v>148</v>
      </c>
      <c r="H24" s="1">
        <f t="shared" si="12"/>
        <v>155</v>
      </c>
      <c r="I24" s="1">
        <f t="shared" si="12"/>
        <v>164</v>
      </c>
      <c r="J24" s="1">
        <f t="shared" si="12"/>
        <v>179</v>
      </c>
      <c r="K24" s="1">
        <f t="shared" si="12"/>
        <v>196</v>
      </c>
      <c r="L24" s="1">
        <f t="shared" si="12"/>
        <v>225</v>
      </c>
      <c r="M24" s="1">
        <f t="shared" si="12"/>
        <v>245</v>
      </c>
      <c r="N24" s="1">
        <f t="shared" si="12"/>
        <v>203</v>
      </c>
      <c r="O24" s="1">
        <f t="shared" si="12"/>
        <v>219</v>
      </c>
      <c r="P24" s="1">
        <f t="shared" si="12"/>
        <v>228</v>
      </c>
      <c r="Q24" s="1">
        <f t="shared" si="12"/>
        <v>244</v>
      </c>
      <c r="R24" s="1">
        <f t="shared" si="12"/>
        <v>229</v>
      </c>
      <c r="S24" s="1">
        <f t="shared" si="12"/>
        <v>252</v>
      </c>
      <c r="T24" s="1">
        <f t="shared" si="12"/>
        <v>297</v>
      </c>
      <c r="U24" s="1">
        <f t="shared" si="12"/>
        <v>397</v>
      </c>
      <c r="V24" s="1">
        <f t="shared" si="12"/>
        <v>467</v>
      </c>
      <c r="W24" s="1">
        <f t="shared" si="12"/>
        <v>526</v>
      </c>
      <c r="X24" s="100">
        <f t="shared" si="12"/>
        <v>566.94288882173282</v>
      </c>
      <c r="Y24" s="100">
        <f t="shared" si="12"/>
        <v>624.36279447745994</v>
      </c>
      <c r="Z24" s="100">
        <f t="shared" si="12"/>
        <v>694.4838774210898</v>
      </c>
      <c r="AA24" s="100">
        <f t="shared" si="12"/>
        <v>753.4620293644532</v>
      </c>
      <c r="AB24" s="100">
        <f t="shared" si="12"/>
        <v>743.17172369138382</v>
      </c>
      <c r="AC24" s="100">
        <f t="shared" si="12"/>
        <v>813.21440430607618</v>
      </c>
      <c r="AD24" s="100">
        <f t="shared" si="12"/>
        <v>842.61527765770279</v>
      </c>
      <c r="AE24" s="100">
        <f t="shared" si="12"/>
        <v>872.01615100932952</v>
      </c>
      <c r="AF24" s="100">
        <f t="shared" si="12"/>
        <v>1007.6301548898514</v>
      </c>
      <c r="AG24" s="100">
        <f t="shared" si="12"/>
        <v>1151.7472127241742</v>
      </c>
      <c r="AH24" s="100">
        <f t="shared" si="12"/>
        <v>4921.3944239996672</v>
      </c>
      <c r="AI24" s="100">
        <f t="shared" si="12"/>
        <v>5098.6482288396546</v>
      </c>
    </row>
    <row r="25" spans="1:37" ht="14.25" customHeight="1">
      <c r="B25" s="10" t="s">
        <v>276</v>
      </c>
      <c r="F25" s="17">
        <f>'Cash Flow Statement'!B54</f>
        <v>137</v>
      </c>
      <c r="G25" s="17">
        <f>'Cash Flow Statement'!C54</f>
        <v>138</v>
      </c>
      <c r="H25" s="17">
        <f>'Cash Flow Statement'!D54</f>
        <v>143</v>
      </c>
      <c r="I25" s="17">
        <f>'Cash Flow Statement'!E54</f>
        <v>145</v>
      </c>
      <c r="J25" s="17">
        <f>'Cash Flow Statement'!F54</f>
        <v>155</v>
      </c>
      <c r="K25" s="17">
        <f>'Cash Flow Statement'!G54</f>
        <v>182</v>
      </c>
      <c r="L25" s="17">
        <f>'Cash Flow Statement'!H54</f>
        <v>181</v>
      </c>
      <c r="M25" s="17">
        <f>'Cash Flow Statement'!I54</f>
        <v>181</v>
      </c>
      <c r="N25" s="17">
        <f>'Cash Flow Statement'!J54</f>
        <v>181</v>
      </c>
      <c r="O25" s="17">
        <f>'Cash Flow Statement'!K54</f>
        <v>146</v>
      </c>
      <c r="P25" s="17">
        <f>'Cash Flow Statement'!L54</f>
        <v>144</v>
      </c>
      <c r="Q25" s="17">
        <f>'Cash Flow Statement'!M54</f>
        <v>143</v>
      </c>
      <c r="R25" s="17">
        <f>'Cash Flow Statement'!N54</f>
        <v>181</v>
      </c>
      <c r="S25" s="17">
        <f>'Cash Flow Statement'!O54</f>
        <v>181</v>
      </c>
      <c r="T25" s="17">
        <f>'Cash Flow Statement'!P54</f>
        <v>181</v>
      </c>
      <c r="U25" s="17">
        <f>'Cash Flow Statement'!Q54</f>
        <v>146</v>
      </c>
      <c r="V25" s="17">
        <f>'Cash Flow Statement'!R54</f>
        <v>144</v>
      </c>
      <c r="W25" s="17">
        <f>'Cash Flow Statement'!S54</f>
        <v>143</v>
      </c>
      <c r="X25" s="100">
        <f t="shared" ref="X25:AI25" si="13">$D$95</f>
        <v>143</v>
      </c>
      <c r="Y25" s="100">
        <f t="shared" si="13"/>
        <v>143</v>
      </c>
      <c r="Z25" s="100">
        <f t="shared" si="13"/>
        <v>143</v>
      </c>
      <c r="AA25" s="100">
        <f t="shared" si="13"/>
        <v>143</v>
      </c>
      <c r="AB25" s="100">
        <f t="shared" si="13"/>
        <v>143</v>
      </c>
      <c r="AC25" s="100">
        <f t="shared" si="13"/>
        <v>143</v>
      </c>
      <c r="AD25" s="100">
        <f t="shared" si="13"/>
        <v>143</v>
      </c>
      <c r="AE25" s="100">
        <f t="shared" si="13"/>
        <v>143</v>
      </c>
      <c r="AF25" s="100">
        <f t="shared" si="13"/>
        <v>143</v>
      </c>
      <c r="AG25" s="100">
        <f t="shared" si="13"/>
        <v>143</v>
      </c>
      <c r="AH25" s="100">
        <f t="shared" si="13"/>
        <v>143</v>
      </c>
      <c r="AI25" s="100">
        <f t="shared" si="13"/>
        <v>143</v>
      </c>
    </row>
    <row r="26" spans="1:37" ht="14.25" customHeight="1">
      <c r="B26" s="27" t="s">
        <v>269</v>
      </c>
      <c r="F26" s="97">
        <f t="shared" ref="F26:AI26" si="14">F23/F$10</f>
        <v>4.9637873167284935E-2</v>
      </c>
      <c r="G26" s="97">
        <f t="shared" si="14"/>
        <v>4.3952666359305365E-2</v>
      </c>
      <c r="H26" s="97">
        <f t="shared" si="14"/>
        <v>4.1954103899760661E-2</v>
      </c>
      <c r="I26" s="97">
        <f t="shared" si="14"/>
        <v>4.0429150856993328E-2</v>
      </c>
      <c r="J26" s="97">
        <f t="shared" si="14"/>
        <v>4.0299227799227802E-2</v>
      </c>
      <c r="K26" s="97">
        <f t="shared" si="14"/>
        <v>5.6384248210023864E-2</v>
      </c>
      <c r="L26" s="97">
        <f t="shared" si="14"/>
        <v>6.8453886359804414E-2</v>
      </c>
      <c r="M26" s="97">
        <f t="shared" si="14"/>
        <v>7.0401586514625678E-2</v>
      </c>
      <c r="N26" s="97">
        <f t="shared" si="14"/>
        <v>5.3392658509454953E-2</v>
      </c>
      <c r="O26" s="97">
        <f t="shared" si="14"/>
        <v>2.7023025098097283E-2</v>
      </c>
      <c r="P26" s="97">
        <f t="shared" si="14"/>
        <v>2.052980132450331E-2</v>
      </c>
      <c r="Q26" s="97">
        <f t="shared" si="14"/>
        <v>1.7508935438628241E-2</v>
      </c>
      <c r="R26" s="97">
        <f t="shared" si="14"/>
        <v>1.5742589463984026E-2</v>
      </c>
      <c r="S26" s="97">
        <f t="shared" si="14"/>
        <v>1.4414114513981358E-2</v>
      </c>
      <c r="T26" s="97">
        <f t="shared" si="14"/>
        <v>1.3625220911008495E-2</v>
      </c>
      <c r="U26" s="97">
        <f t="shared" si="14"/>
        <v>1.3805903740052377E-2</v>
      </c>
      <c r="V26" s="97">
        <f t="shared" si="14"/>
        <v>1.3866824020698108E-2</v>
      </c>
      <c r="W26" s="97">
        <f t="shared" si="14"/>
        <v>1.4312303446505359E-2</v>
      </c>
      <c r="X26" s="97">
        <f t="shared" si="14"/>
        <v>1.3902563029566087E-2</v>
      </c>
      <c r="Y26" s="97">
        <f t="shared" si="14"/>
        <v>1.3902563029566085E-2</v>
      </c>
      <c r="Z26" s="97">
        <f t="shared" si="14"/>
        <v>1.3902563029566085E-2</v>
      </c>
      <c r="AA26" s="97">
        <f t="shared" si="14"/>
        <v>1.3902563029566085E-2</v>
      </c>
      <c r="AB26" s="97">
        <f t="shared" si="14"/>
        <v>1.3902563029566085E-2</v>
      </c>
      <c r="AC26" s="97">
        <f t="shared" si="14"/>
        <v>1.3902563029566085E-2</v>
      </c>
      <c r="AD26" s="97">
        <f t="shared" si="14"/>
        <v>1.3902563029566085E-2</v>
      </c>
      <c r="AE26" s="97">
        <f t="shared" si="14"/>
        <v>1.3902563029566085E-2</v>
      </c>
      <c r="AF26" s="97">
        <f t="shared" si="14"/>
        <v>1.3902563029566085E-2</v>
      </c>
      <c r="AG26" s="97">
        <f t="shared" si="14"/>
        <v>1.3902563029566087E-2</v>
      </c>
      <c r="AH26" s="97">
        <f t="shared" si="14"/>
        <v>1.3902563029566085E-2</v>
      </c>
      <c r="AI26" s="97">
        <f t="shared" si="14"/>
        <v>1.3902563029566085E-2</v>
      </c>
    </row>
    <row r="28" spans="1:37" ht="14.25" customHeight="1">
      <c r="B28" t="s">
        <v>277</v>
      </c>
      <c r="F28" s="52">
        <f>-1*'Cash Flow Statement'!B31</f>
        <v>298</v>
      </c>
      <c r="G28" s="52">
        <f>('Cash Flow Statement'!C31-'Cash Flow Statement'!B31)*-1</f>
        <v>183</v>
      </c>
      <c r="H28" s="52">
        <f>('Cash Flow Statement'!D31-'Cash Flow Statement'!C31)*-1</f>
        <v>222</v>
      </c>
      <c r="I28" s="52">
        <f>('Cash Flow Statement'!E31-'Cash Flow Statement'!D31)*-1</f>
        <v>273</v>
      </c>
      <c r="J28" s="52">
        <f>-1*'Cash Flow Statement'!F31</f>
        <v>361</v>
      </c>
      <c r="K28" s="52">
        <f>('Cash Flow Statement'!G31-'Cash Flow Statement'!F31)*-1</f>
        <v>433</v>
      </c>
      <c r="L28" s="52">
        <f>('Cash Flow Statement'!H31-'Cash Flow Statement'!G31)*-1</f>
        <v>530</v>
      </c>
      <c r="M28" s="52">
        <f>('Cash Flow Statement'!I31-'Cash Flow Statement'!H31)*-1</f>
        <v>509</v>
      </c>
      <c r="N28" s="52">
        <f>-1*'Cash Flow Statement'!J31</f>
        <v>248</v>
      </c>
      <c r="O28" s="52">
        <f>('Cash Flow Statement'!K31-'Cash Flow Statement'!J31)*-1</f>
        <v>289</v>
      </c>
      <c r="P28" s="52">
        <f>('Cash Flow Statement'!L31-'Cash Flow Statement'!K31)*-1</f>
        <v>278</v>
      </c>
      <c r="Q28" s="52">
        <f>('Cash Flow Statement'!M31-'Cash Flow Statement'!L31)*-1</f>
        <v>254</v>
      </c>
      <c r="R28" s="52">
        <f>-1*'Cash Flow Statement'!N31</f>
        <v>369</v>
      </c>
      <c r="S28" s="52">
        <f>('Cash Flow Statement'!O31-'Cash Flow Statement'!N31)*-1</f>
        <v>977</v>
      </c>
      <c r="T28" s="52">
        <f>('Cash Flow Statement'!P31-'Cash Flow Statement'!O31)*-1</f>
        <v>813</v>
      </c>
      <c r="U28" s="52">
        <f>('Cash Flow Statement'!Q31-'Cash Flow Statement'!P31)*-1</f>
        <v>1077</v>
      </c>
      <c r="V28" s="52">
        <f>-1*'Cash Flow Statement'!R31</f>
        <v>1227</v>
      </c>
      <c r="W28" s="52">
        <f>('Cash Flow Statement'!S31-'Cash Flow Statement'!R31)*-1</f>
        <v>1895</v>
      </c>
      <c r="X28" s="96">
        <f t="shared" ref="X28:AI28" si="15">$D$93*X10</f>
        <v>1746.1363644287239</v>
      </c>
      <c r="Y28" s="96">
        <f t="shared" si="15"/>
        <v>1887.363196736228</v>
      </c>
      <c r="Z28" s="96">
        <f t="shared" si="15"/>
        <v>2059.8291440241933</v>
      </c>
      <c r="AA28" s="96">
        <f t="shared" si="15"/>
        <v>2204.8885529380968</v>
      </c>
      <c r="AB28" s="96">
        <f t="shared" si="15"/>
        <v>2179.5790847826302</v>
      </c>
      <c r="AC28" s="96">
        <f t="shared" si="15"/>
        <v>2351.8521980275063</v>
      </c>
      <c r="AD28" s="96">
        <f t="shared" si="15"/>
        <v>2424.1649641859822</v>
      </c>
      <c r="AE28" s="96">
        <f t="shared" si="15"/>
        <v>2496.477730344458</v>
      </c>
      <c r="AF28" s="96">
        <f t="shared" si="15"/>
        <v>2830.0264529671563</v>
      </c>
      <c r="AG28" s="96">
        <f t="shared" si="15"/>
        <v>3184.48881801266</v>
      </c>
      <c r="AH28" s="99">
        <f t="shared" si="15"/>
        <v>12456.105141404405</v>
      </c>
      <c r="AI28" s="99">
        <f t="shared" si="15"/>
        <v>12892.068821353556</v>
      </c>
      <c r="AK28" s="89"/>
    </row>
    <row r="29" spans="1:37" ht="14.25" customHeight="1">
      <c r="B29" s="27" t="s">
        <v>269</v>
      </c>
      <c r="F29" s="97">
        <f t="shared" ref="F29:AI29" si="16">F28/F$10</f>
        <v>5.2640876170287933E-2</v>
      </c>
      <c r="G29" s="97">
        <f t="shared" si="16"/>
        <v>2.8123559243891195E-2</v>
      </c>
      <c r="H29" s="97">
        <f t="shared" si="16"/>
        <v>3.1254399549486132E-2</v>
      </c>
      <c r="I29" s="97">
        <f t="shared" si="16"/>
        <v>3.5718958524139734E-2</v>
      </c>
      <c r="J29" s="97">
        <f t="shared" si="16"/>
        <v>4.355694980694981E-2</v>
      </c>
      <c r="K29" s="97">
        <f t="shared" si="16"/>
        <v>6.4588305489260145E-2</v>
      </c>
      <c r="L29" s="97">
        <f t="shared" si="16"/>
        <v>8.9360984656887535E-2</v>
      </c>
      <c r="M29" s="97">
        <f t="shared" si="16"/>
        <v>8.4118327549165428E-2</v>
      </c>
      <c r="N29" s="97">
        <f t="shared" si="16"/>
        <v>3.4482758620689655E-2</v>
      </c>
      <c r="O29" s="97">
        <f t="shared" si="16"/>
        <v>2.1396313022877027E-2</v>
      </c>
      <c r="P29" s="97">
        <f t="shared" si="16"/>
        <v>1.5342163355408389E-2</v>
      </c>
      <c r="Q29" s="97">
        <f t="shared" si="16"/>
        <v>1.149165271682577E-2</v>
      </c>
      <c r="R29" s="97">
        <f t="shared" si="16"/>
        <v>1.4168330517585623E-2</v>
      </c>
      <c r="S29" s="97">
        <f t="shared" si="16"/>
        <v>3.2523302263648468E-2</v>
      </c>
      <c r="T29" s="97">
        <f t="shared" si="16"/>
        <v>2.3174277407217378E-2</v>
      </c>
      <c r="U29" s="97">
        <f t="shared" si="16"/>
        <v>2.7382980346291729E-2</v>
      </c>
      <c r="V29" s="97">
        <f t="shared" si="16"/>
        <v>2.7847124506377378E-2</v>
      </c>
      <c r="W29" s="97">
        <f t="shared" si="16"/>
        <v>4.0540829642941187E-2</v>
      </c>
      <c r="X29" s="97">
        <f t="shared" si="16"/>
        <v>3.4193977074659279E-2</v>
      </c>
      <c r="Y29" s="97">
        <f t="shared" si="16"/>
        <v>3.4193977074659279E-2</v>
      </c>
      <c r="Z29" s="97">
        <f t="shared" si="16"/>
        <v>3.4193977074659279E-2</v>
      </c>
      <c r="AA29" s="97">
        <f t="shared" si="16"/>
        <v>3.4193977074659279E-2</v>
      </c>
      <c r="AB29" s="97">
        <f t="shared" si="16"/>
        <v>3.4193977074659279E-2</v>
      </c>
      <c r="AC29" s="97">
        <f t="shared" si="16"/>
        <v>3.4193977074659279E-2</v>
      </c>
      <c r="AD29" s="97">
        <f t="shared" si="16"/>
        <v>3.4193977074659279E-2</v>
      </c>
      <c r="AE29" s="97">
        <f t="shared" si="16"/>
        <v>3.4193977074659279E-2</v>
      </c>
      <c r="AF29" s="97">
        <f t="shared" si="16"/>
        <v>3.4193977074659279E-2</v>
      </c>
      <c r="AG29" s="97">
        <f t="shared" si="16"/>
        <v>3.4193977074659279E-2</v>
      </c>
      <c r="AH29" s="97">
        <f t="shared" si="16"/>
        <v>3.4193977074659279E-2</v>
      </c>
      <c r="AI29" s="97">
        <f t="shared" si="16"/>
        <v>3.4193977074659279E-2</v>
      </c>
    </row>
    <row r="30" spans="1:37" ht="14.25" customHeight="1">
      <c r="X30" s="1"/>
      <c r="Y30" s="52"/>
      <c r="Z30" s="52">
        <f>SUM(X28:AA28)</f>
        <v>7898.2172581272425</v>
      </c>
      <c r="AA30" s="52"/>
      <c r="AB30" s="1"/>
      <c r="AC30" s="1"/>
      <c r="AD30" s="1"/>
      <c r="AE30" s="1"/>
      <c r="AF30" s="1"/>
      <c r="AG30" s="1"/>
    </row>
    <row r="31" spans="1:37" ht="14.25" customHeight="1">
      <c r="B31" t="s">
        <v>278</v>
      </c>
      <c r="F31" s="52">
        <f>'Working Capital'!E18</f>
        <v>887</v>
      </c>
      <c r="G31" s="52">
        <f>'Working Capital'!F18</f>
        <v>249</v>
      </c>
      <c r="H31" s="52">
        <f>'Working Capital'!G18</f>
        <v>192</v>
      </c>
      <c r="I31" s="52">
        <f>'Working Capital'!H18</f>
        <v>390</v>
      </c>
      <c r="J31" s="52">
        <f>'Working Capital'!I18</f>
        <v>389</v>
      </c>
      <c r="K31" s="52">
        <f>'Working Capital'!J18</f>
        <v>382</v>
      </c>
      <c r="L31" s="52">
        <f>'Working Capital'!K18</f>
        <v>417</v>
      </c>
      <c r="M31" s="52">
        <f>'Working Capital'!L18</f>
        <v>-10</v>
      </c>
      <c r="N31" s="52">
        <f>'Working Capital'!M18</f>
        <v>-911</v>
      </c>
      <c r="O31" s="52">
        <f>'Working Capital'!N18</f>
        <v>136</v>
      </c>
      <c r="P31" s="52">
        <f>'Working Capital'!O18</f>
        <v>2836</v>
      </c>
      <c r="Q31" s="52">
        <f>'Working Capital'!P18</f>
        <v>2455</v>
      </c>
      <c r="R31" s="52">
        <f>'Working Capital'!Q18</f>
        <v>-662</v>
      </c>
      <c r="S31" s="52">
        <f>'Working Capital'!R18</f>
        <v>2546</v>
      </c>
      <c r="T31" s="52">
        <f>'Working Capital'!S18</f>
        <v>1810</v>
      </c>
      <c r="U31" s="52">
        <f>'Working Capital'!T18</f>
        <v>6195</v>
      </c>
      <c r="V31" s="52">
        <f>'Working Capital'!U18</f>
        <v>-9167</v>
      </c>
      <c r="W31" s="52">
        <f>'Working Capital'!V18</f>
        <v>11469</v>
      </c>
      <c r="X31" s="96">
        <f>'Working Capital'!W18</f>
        <v>443.59484805713146</v>
      </c>
      <c r="Y31" s="96">
        <f>'Working Capital'!X18</f>
        <v>3372.0412062651158</v>
      </c>
      <c r="Z31" s="96">
        <f>'Working Capital'!Y18</f>
        <v>2158.0138436962079</v>
      </c>
      <c r="AA31" s="96">
        <f>'Working Capital'!Z18</f>
        <v>2134.3022903227502</v>
      </c>
      <c r="AB31" s="96">
        <f>'Working Capital'!AA18</f>
        <v>-1099.7731471599291</v>
      </c>
      <c r="AC31" s="96">
        <f>'Working Capital'!AB18</f>
        <v>2438.793157356311</v>
      </c>
      <c r="AD31" s="96">
        <f>'Working Capital'!AC18</f>
        <v>1274.858810660804</v>
      </c>
      <c r="AE31" s="96">
        <f>'Working Capital'!AD18</f>
        <v>813.90049398771225</v>
      </c>
      <c r="AF31" s="96">
        <f>'Working Capital'!AE18</f>
        <v>4354.3817618662979</v>
      </c>
      <c r="AG31" s="96">
        <f>'Working Capital'!AF18</f>
        <v>4500.2495456709366</v>
      </c>
      <c r="AH31" s="99">
        <f>AH10*$D$94-'Working Capital'!AF17</f>
        <v>5780.6789433363374</v>
      </c>
      <c r="AI31" s="99">
        <f>(AI10-AH10)*$D$94</f>
        <v>1656.971461392081</v>
      </c>
    </row>
    <row r="32" spans="1:37" ht="14.25" customHeight="1">
      <c r="B32" s="27" t="s">
        <v>269</v>
      </c>
      <c r="F32" s="97">
        <f t="shared" ref="F32:AI32" si="17">F31/F$10</f>
        <v>0.15668609786256846</v>
      </c>
      <c r="G32" s="97">
        <f t="shared" si="17"/>
        <v>3.8266482249884742E-2</v>
      </c>
      <c r="H32" s="97">
        <f t="shared" si="17"/>
        <v>2.7030832042798818E-2</v>
      </c>
      <c r="I32" s="97">
        <f t="shared" si="17"/>
        <v>5.102708360591391E-2</v>
      </c>
      <c r="J32" s="97">
        <f t="shared" si="17"/>
        <v>4.6935328185328189E-2</v>
      </c>
      <c r="K32" s="97">
        <f t="shared" si="17"/>
        <v>5.6980906921241053E-2</v>
      </c>
      <c r="L32" s="97">
        <f t="shared" si="17"/>
        <v>7.0308548305513405E-2</v>
      </c>
      <c r="M32" s="97">
        <f t="shared" si="17"/>
        <v>-1.6526194017517765E-3</v>
      </c>
      <c r="N32" s="97">
        <f t="shared" si="17"/>
        <v>-0.12666852057842046</v>
      </c>
      <c r="O32" s="97">
        <f t="shared" si="17"/>
        <v>1.0068853187236248E-2</v>
      </c>
      <c r="P32" s="97">
        <f t="shared" si="17"/>
        <v>0.15651214128035321</v>
      </c>
      <c r="Q32" s="97">
        <f t="shared" si="17"/>
        <v>0.11107089535357191</v>
      </c>
      <c r="R32" s="97">
        <f t="shared" si="17"/>
        <v>-2.5418522500383966E-2</v>
      </c>
      <c r="S32" s="97">
        <f t="shared" si="17"/>
        <v>8.4753661784287615E-2</v>
      </c>
      <c r="T32" s="97">
        <f t="shared" si="17"/>
        <v>5.15934097257853E-2</v>
      </c>
      <c r="U32" s="97">
        <f t="shared" si="17"/>
        <v>0.15750934377463069</v>
      </c>
      <c r="V32" s="97">
        <f t="shared" si="17"/>
        <v>-0.20804775089646407</v>
      </c>
      <c r="W32" s="97">
        <f t="shared" si="17"/>
        <v>0.24536294204479814</v>
      </c>
      <c r="X32" s="97">
        <f t="shared" si="17"/>
        <v>8.686762599933057E-3</v>
      </c>
      <c r="Y32" s="97">
        <f t="shared" si="17"/>
        <v>6.1092374748658536E-2</v>
      </c>
      <c r="Z32" s="97">
        <f t="shared" si="17"/>
        <v>3.5823881855551985E-2</v>
      </c>
      <c r="AA32" s="97">
        <f t="shared" si="17"/>
        <v>3.309930721370926E-2</v>
      </c>
      <c r="AB32" s="97">
        <f t="shared" si="17"/>
        <v>-1.7253614720322441E-2</v>
      </c>
      <c r="AC32" s="97">
        <f t="shared" si="17"/>
        <v>3.5458026394013346E-2</v>
      </c>
      <c r="AD32" s="97">
        <f t="shared" si="17"/>
        <v>1.7982477920928532E-2</v>
      </c>
      <c r="AE32" s="97">
        <f t="shared" si="17"/>
        <v>1.1147904303007626E-2</v>
      </c>
      <c r="AF32" s="97">
        <f t="shared" si="17"/>
        <v>5.2612098372247493E-2</v>
      </c>
      <c r="AG32" s="97">
        <f t="shared" si="17"/>
        <v>4.8322176207530362E-2</v>
      </c>
      <c r="AH32" s="97">
        <f t="shared" si="17"/>
        <v>1.5868877230922444E-2</v>
      </c>
      <c r="AI32" s="97">
        <f t="shared" si="17"/>
        <v>4.3948294838730816E-3</v>
      </c>
    </row>
    <row r="33" spans="1:37" ht="14.25" customHeight="1">
      <c r="B33" s="27" t="s">
        <v>279</v>
      </c>
      <c r="G33" s="97">
        <f t="shared" ref="G33:AI33" si="18">G31/(G10-F10)</f>
        <v>0.29432624113475175</v>
      </c>
      <c r="H33" s="97">
        <f t="shared" si="18"/>
        <v>0.32214765100671139</v>
      </c>
      <c r="I33" s="97">
        <f t="shared" si="18"/>
        <v>0.72222222222222221</v>
      </c>
      <c r="J33" s="97">
        <f t="shared" si="18"/>
        <v>0.60310077519379846</v>
      </c>
      <c r="K33" s="97">
        <f t="shared" si="18"/>
        <v>-0.24116161616161616</v>
      </c>
      <c r="L33" s="97">
        <f t="shared" si="18"/>
        <v>-0.5394566623544631</v>
      </c>
      <c r="M33" s="97">
        <f t="shared" si="18"/>
        <v>-8.3333333333333329E-2</v>
      </c>
      <c r="N33" s="97">
        <f t="shared" si="18"/>
        <v>-0.79842243645924627</v>
      </c>
      <c r="O33" s="97">
        <f t="shared" si="18"/>
        <v>2.1536025336500397E-2</v>
      </c>
      <c r="P33" s="97">
        <f t="shared" si="18"/>
        <v>0.61478430522436589</v>
      </c>
      <c r="Q33" s="97">
        <f t="shared" si="18"/>
        <v>0.61636957067537035</v>
      </c>
      <c r="R33" s="97">
        <f t="shared" si="18"/>
        <v>-0.16797767064196906</v>
      </c>
      <c r="S33" s="97">
        <f t="shared" si="18"/>
        <v>0.63713713713713716</v>
      </c>
      <c r="T33" s="97">
        <f t="shared" si="18"/>
        <v>0.35898452994843316</v>
      </c>
      <c r="U33" s="97">
        <f t="shared" si="18"/>
        <v>1.457990115321252</v>
      </c>
      <c r="V33" s="97">
        <f t="shared" si="18"/>
        <v>-1.9376453181145634</v>
      </c>
      <c r="W33" s="97">
        <f t="shared" si="18"/>
        <v>4.2778813875419619</v>
      </c>
      <c r="X33" s="97">
        <f t="shared" si="18"/>
        <v>0.10262194545038329</v>
      </c>
      <c r="Y33" s="97">
        <f t="shared" si="18"/>
        <v>0.81644187452124306</v>
      </c>
      <c r="Z33" s="97">
        <f t="shared" si="18"/>
        <v>0.42785881536914022</v>
      </c>
      <c r="AA33" s="97">
        <f t="shared" si="18"/>
        <v>0.50310616961775101</v>
      </c>
      <c r="AB33" s="97">
        <f t="shared" si="18"/>
        <v>1.4858320036721051</v>
      </c>
      <c r="AC33" s="97">
        <f t="shared" si="18"/>
        <v>0.48406878903930045</v>
      </c>
      <c r="AD33" s="97">
        <f t="shared" si="18"/>
        <v>0.60283260150259654</v>
      </c>
      <c r="AE33" s="97">
        <f t="shared" si="18"/>
        <v>0.38486281622083474</v>
      </c>
      <c r="AF33" s="97">
        <f t="shared" si="18"/>
        <v>0.44639244596357025</v>
      </c>
      <c r="AG33" s="97">
        <f t="shared" si="18"/>
        <v>0.43412628524092661</v>
      </c>
      <c r="AH33" s="97">
        <f t="shared" si="18"/>
        <v>2.1319303600356353E-2</v>
      </c>
      <c r="AI33" s="97">
        <f t="shared" si="18"/>
        <v>0.1299613861659617</v>
      </c>
    </row>
    <row r="35" spans="1:37" ht="14.25" customHeight="1">
      <c r="B35" s="74" t="s">
        <v>280</v>
      </c>
      <c r="C35" s="42"/>
      <c r="D35" s="42"/>
      <c r="E35" s="42"/>
      <c r="F35" s="42" t="s">
        <v>59</v>
      </c>
      <c r="G35" s="42" t="str">
        <f t="shared" ref="G35:W35" si="19">IF(MID(F35,2,1)="4","Q1 "&amp;RIGHT(F35,4)+1, "Q"&amp;MID(F35,2,1)+1&amp;" "&amp;RIGHT(F35,4))</f>
        <v>Q2 2022</v>
      </c>
      <c r="H35" s="42" t="str">
        <f t="shared" si="19"/>
        <v>Q3 2022</v>
      </c>
      <c r="I35" s="42" t="str">
        <f t="shared" si="19"/>
        <v>Q4 2022</v>
      </c>
      <c r="J35" s="42" t="str">
        <f t="shared" si="19"/>
        <v>Q1 2023</v>
      </c>
      <c r="K35" s="42" t="str">
        <f t="shared" si="19"/>
        <v>Q2 2023</v>
      </c>
      <c r="L35" s="42" t="str">
        <f t="shared" si="19"/>
        <v>Q3 2023</v>
      </c>
      <c r="M35" s="42" t="str">
        <f t="shared" si="19"/>
        <v>Q4 2023</v>
      </c>
      <c r="N35" s="42" t="str">
        <f t="shared" si="19"/>
        <v>Q1 2024</v>
      </c>
      <c r="O35" s="42" t="str">
        <f t="shared" si="19"/>
        <v>Q2 2024</v>
      </c>
      <c r="P35" s="42" t="str">
        <f t="shared" si="19"/>
        <v>Q3 2024</v>
      </c>
      <c r="Q35" s="42" t="str">
        <f t="shared" si="19"/>
        <v>Q4 2024</v>
      </c>
      <c r="R35" s="42" t="str">
        <f t="shared" si="19"/>
        <v>Q1 2025</v>
      </c>
      <c r="S35" s="42" t="str">
        <f t="shared" si="19"/>
        <v>Q2 2025</v>
      </c>
      <c r="T35" s="42" t="str">
        <f t="shared" si="19"/>
        <v>Q3 2025</v>
      </c>
      <c r="U35" s="42" t="str">
        <f t="shared" si="19"/>
        <v>Q4 2025</v>
      </c>
      <c r="V35" s="42" t="str">
        <f t="shared" si="19"/>
        <v>Q1 2026</v>
      </c>
      <c r="W35" s="42" t="str">
        <f t="shared" si="19"/>
        <v>Q2 2026</v>
      </c>
    </row>
    <row r="36" spans="1:37" ht="14.25" customHeight="1">
      <c r="B36" s="2" t="s">
        <v>281</v>
      </c>
      <c r="F36" s="154" t="s">
        <v>282</v>
      </c>
      <c r="H36" s="154"/>
      <c r="I36" s="154"/>
      <c r="K36" s="2" t="s">
        <v>283</v>
      </c>
      <c r="L36" s="2"/>
      <c r="M36" s="2"/>
      <c r="O36" s="2" t="s">
        <v>284</v>
      </c>
      <c r="P36" s="2"/>
      <c r="U36" s="66"/>
    </row>
    <row r="37" spans="1:37" ht="14.25" customHeight="1">
      <c r="A37" s="1" t="s">
        <v>265</v>
      </c>
      <c r="B37" t="s">
        <v>89</v>
      </c>
      <c r="D37" s="101">
        <v>2</v>
      </c>
      <c r="F37" t="s">
        <v>285</v>
      </c>
      <c r="I37" s="102">
        <v>0.35</v>
      </c>
      <c r="O37" t="s">
        <v>285</v>
      </c>
      <c r="R37" s="102">
        <v>0.9</v>
      </c>
    </row>
    <row r="38" spans="1:37" ht="14.25" customHeight="1">
      <c r="B38" t="s">
        <v>270</v>
      </c>
      <c r="D38" s="101">
        <v>2</v>
      </c>
      <c r="I38" s="103"/>
      <c r="M38" s="103"/>
      <c r="R38" s="103"/>
    </row>
    <row r="39" spans="1:37" ht="14.25" customHeight="1">
      <c r="B39" t="s">
        <v>14</v>
      </c>
      <c r="D39" s="101">
        <v>2</v>
      </c>
      <c r="F39" t="s">
        <v>286</v>
      </c>
      <c r="I39" s="102">
        <v>0.4</v>
      </c>
      <c r="O39" t="s">
        <v>286</v>
      </c>
      <c r="R39" s="102">
        <v>0.7</v>
      </c>
    </row>
    <row r="40" spans="1:37" ht="14.25" customHeight="1">
      <c r="B40" t="s">
        <v>287</v>
      </c>
      <c r="D40" s="101">
        <v>2</v>
      </c>
      <c r="K40" t="s">
        <v>271</v>
      </c>
      <c r="M40" s="102">
        <v>0.17</v>
      </c>
      <c r="S40" s="85"/>
      <c r="AH40" s="85"/>
    </row>
    <row r="41" spans="1:37" ht="14.25" customHeight="1">
      <c r="B41" t="s">
        <v>288</v>
      </c>
      <c r="D41" s="26">
        <f>SUM('Income Statement'!Q17:T17)/SUM('Income Statement'!Q9:T9)</f>
        <v>0.11753561960561199</v>
      </c>
      <c r="I41" s="1"/>
      <c r="M41" s="1"/>
      <c r="Q41" s="1"/>
      <c r="W41" s="26"/>
    </row>
    <row r="42" spans="1:37" ht="14.25" customHeight="1">
      <c r="B42" t="s">
        <v>14</v>
      </c>
      <c r="D42" s="104">
        <f>CHOOSE(D39,I42,M42,R42)</f>
        <v>0.13779548661688432</v>
      </c>
      <c r="F42" t="s">
        <v>14</v>
      </c>
      <c r="I42" s="103">
        <f>M42+0.01</f>
        <v>0.14779548661688433</v>
      </c>
      <c r="K42" t="s">
        <v>14</v>
      </c>
      <c r="M42" s="103">
        <f>WACC!F21</f>
        <v>0.13779548661688432</v>
      </c>
      <c r="O42" t="s">
        <v>14</v>
      </c>
      <c r="R42" s="103">
        <f>M42-0.01</f>
        <v>0.12779548661688431</v>
      </c>
    </row>
    <row r="43" spans="1:37" ht="14.25" customHeight="1">
      <c r="B43" t="s">
        <v>287</v>
      </c>
      <c r="D43" s="104">
        <f>CHOOSE(D40,I43,M43,R43)</f>
        <v>3.5000000000000003E-2</v>
      </c>
      <c r="F43" t="s">
        <v>287</v>
      </c>
      <c r="I43" s="103">
        <v>0.03</v>
      </c>
      <c r="K43" t="s">
        <v>287</v>
      </c>
      <c r="M43" s="103">
        <v>3.5000000000000003E-2</v>
      </c>
      <c r="O43" t="s">
        <v>287</v>
      </c>
      <c r="R43" s="103">
        <v>0.04</v>
      </c>
    </row>
    <row r="44" spans="1:37" ht="14.25" customHeight="1">
      <c r="B44" s="105"/>
      <c r="C44" s="105"/>
      <c r="D44" s="106"/>
      <c r="E44" s="105"/>
      <c r="F44" s="105"/>
      <c r="G44" s="105"/>
      <c r="H44" s="106"/>
      <c r="I44" s="105" t="s">
        <v>289</v>
      </c>
      <c r="J44" s="105"/>
      <c r="K44" s="105"/>
      <c r="L44" s="106"/>
      <c r="M44" s="105"/>
      <c r="N44" s="105"/>
      <c r="O44" s="105"/>
      <c r="P44" s="106"/>
      <c r="Q44" s="105"/>
    </row>
    <row r="45" spans="1:37" ht="14.25" customHeight="1">
      <c r="D45" s="57"/>
      <c r="H45" s="57"/>
      <c r="L45" s="57"/>
      <c r="P45" s="57"/>
    </row>
    <row r="46" spans="1:37" ht="14.25" customHeight="1">
      <c r="D46" s="57"/>
      <c r="H46" s="57"/>
      <c r="L46" s="57"/>
      <c r="P46" s="57"/>
    </row>
    <row r="47" spans="1:37" ht="14.25" customHeight="1">
      <c r="B47" s="74" t="s">
        <v>257</v>
      </c>
      <c r="C47" s="42"/>
      <c r="D47" s="42"/>
      <c r="E47" s="42"/>
      <c r="F47" s="42" t="s">
        <v>59</v>
      </c>
      <c r="G47" s="42" t="str">
        <f t="shared" ref="G47:AG47" si="20">IF(MID(F47,2,1)="4","Q1 "&amp;RIGHT(F47,4)+1, "Q"&amp;MID(F47,2,1)+1&amp;" "&amp;RIGHT(F47,4))</f>
        <v>Q2 2022</v>
      </c>
      <c r="H47" s="42" t="str">
        <f t="shared" si="20"/>
        <v>Q3 2022</v>
      </c>
      <c r="I47" s="42" t="str">
        <f t="shared" si="20"/>
        <v>Q4 2022</v>
      </c>
      <c r="J47" s="42" t="str">
        <f t="shared" si="20"/>
        <v>Q1 2023</v>
      </c>
      <c r="K47" s="42" t="str">
        <f t="shared" si="20"/>
        <v>Q2 2023</v>
      </c>
      <c r="L47" s="42" t="str">
        <f t="shared" si="20"/>
        <v>Q3 2023</v>
      </c>
      <c r="M47" s="42" t="str">
        <f t="shared" si="20"/>
        <v>Q4 2023</v>
      </c>
      <c r="N47" s="42" t="str">
        <f t="shared" si="20"/>
        <v>Q1 2024</v>
      </c>
      <c r="O47" s="42" t="str">
        <f t="shared" si="20"/>
        <v>Q2 2024</v>
      </c>
      <c r="P47" s="42" t="str">
        <f t="shared" si="20"/>
        <v>Q3 2024</v>
      </c>
      <c r="Q47" s="42" t="str">
        <f t="shared" si="20"/>
        <v>Q4 2024</v>
      </c>
      <c r="R47" s="42" t="str">
        <f t="shared" si="20"/>
        <v>Q1 2025</v>
      </c>
      <c r="S47" s="42" t="str">
        <f t="shared" si="20"/>
        <v>Q2 2025</v>
      </c>
      <c r="T47" s="42" t="str">
        <f t="shared" si="20"/>
        <v>Q3 2025</v>
      </c>
      <c r="U47" s="42" t="str">
        <f t="shared" si="20"/>
        <v>Q4 2025</v>
      </c>
      <c r="V47" s="42" t="str">
        <f t="shared" si="20"/>
        <v>Q1 2026</v>
      </c>
      <c r="W47" s="42" t="str">
        <f t="shared" si="20"/>
        <v>Q2 2026</v>
      </c>
      <c r="X47" s="43" t="str">
        <f t="shared" si="20"/>
        <v>Q3 2026</v>
      </c>
      <c r="Y47" s="43" t="str">
        <f t="shared" si="20"/>
        <v>Q4 2026</v>
      </c>
      <c r="Z47" s="43" t="str">
        <f t="shared" si="20"/>
        <v>Q1 2027</v>
      </c>
      <c r="AA47" s="43" t="str">
        <f t="shared" si="20"/>
        <v>Q2 2027</v>
      </c>
      <c r="AB47" s="43" t="str">
        <f t="shared" si="20"/>
        <v>Q3 2027</v>
      </c>
      <c r="AC47" s="43" t="str">
        <f t="shared" si="20"/>
        <v>Q4 2027</v>
      </c>
      <c r="AD47" s="43" t="str">
        <f t="shared" si="20"/>
        <v>Q1 2028</v>
      </c>
      <c r="AE47" s="43" t="str">
        <f t="shared" si="20"/>
        <v>Q2 2028</v>
      </c>
      <c r="AF47" s="43" t="str">
        <f t="shared" si="20"/>
        <v>Q3 2028</v>
      </c>
      <c r="AG47" s="43" t="str">
        <f t="shared" si="20"/>
        <v>Q4 2028</v>
      </c>
      <c r="AH47" s="98">
        <v>2029</v>
      </c>
      <c r="AI47" s="98">
        <v>2030</v>
      </c>
      <c r="AK47" s="66"/>
    </row>
    <row r="48" spans="1:37" ht="14.25" customHeight="1">
      <c r="B48" t="s">
        <v>89</v>
      </c>
      <c r="F48" s="107">
        <f t="shared" ref="F48:W48" si="21">F10</f>
        <v>5661</v>
      </c>
      <c r="G48" s="107">
        <f t="shared" si="21"/>
        <v>6507</v>
      </c>
      <c r="H48" s="107">
        <f t="shared" si="21"/>
        <v>7103</v>
      </c>
      <c r="I48" s="107">
        <f t="shared" si="21"/>
        <v>7643</v>
      </c>
      <c r="J48" s="107">
        <f t="shared" si="21"/>
        <v>8288</v>
      </c>
      <c r="K48" s="107">
        <f t="shared" si="21"/>
        <v>6704</v>
      </c>
      <c r="L48" s="107">
        <f t="shared" si="21"/>
        <v>5931</v>
      </c>
      <c r="M48" s="107">
        <f t="shared" si="21"/>
        <v>6051</v>
      </c>
      <c r="N48" s="107">
        <f t="shared" si="21"/>
        <v>7192</v>
      </c>
      <c r="O48" s="107">
        <f t="shared" si="21"/>
        <v>13507</v>
      </c>
      <c r="P48" s="107">
        <f t="shared" si="21"/>
        <v>18120</v>
      </c>
      <c r="Q48" s="107">
        <f t="shared" si="21"/>
        <v>22103</v>
      </c>
      <c r="R48" s="107">
        <f t="shared" si="21"/>
        <v>26044</v>
      </c>
      <c r="S48" s="107">
        <f t="shared" si="21"/>
        <v>30040</v>
      </c>
      <c r="T48" s="107">
        <f t="shared" si="21"/>
        <v>35082</v>
      </c>
      <c r="U48" s="107">
        <f t="shared" si="21"/>
        <v>39331</v>
      </c>
      <c r="V48" s="107">
        <f t="shared" si="21"/>
        <v>44062</v>
      </c>
      <c r="W48" s="107">
        <f t="shared" si="21"/>
        <v>46743</v>
      </c>
      <c r="X48" s="52">
        <f t="shared" ref="X48:AG48" si="22">W48*(1+X49)</f>
        <v>51065.611953128537</v>
      </c>
      <c r="Y48" s="52">
        <f t="shared" si="22"/>
        <v>55195.778853549295</v>
      </c>
      <c r="Z48" s="52">
        <f t="shared" si="22"/>
        <v>60239.531059132241</v>
      </c>
      <c r="AA48" s="52">
        <f t="shared" si="22"/>
        <v>64481.781341899288</v>
      </c>
      <c r="AB48" s="52">
        <f t="shared" si="22"/>
        <v>63741.608062253988</v>
      </c>
      <c r="AC48" s="52">
        <f t="shared" si="22"/>
        <v>68779.720852372979</v>
      </c>
      <c r="AD48" s="52">
        <f t="shared" si="22"/>
        <v>70894.501651359533</v>
      </c>
      <c r="AE48" s="52">
        <f t="shared" si="22"/>
        <v>73009.282450346087</v>
      </c>
      <c r="AF48" s="52">
        <f t="shared" si="22"/>
        <v>82763.886949683103</v>
      </c>
      <c r="AG48" s="52">
        <f t="shared" si="22"/>
        <v>93130.10917272458</v>
      </c>
      <c r="AH48" s="52">
        <f>SUM(AD48:AG48)*(1+AVERAGE((SUM(AD48:AG48)/SUM(Z48:AC48)-1),$D$43))</f>
        <v>364277.75319050165</v>
      </c>
      <c r="AI48" s="52">
        <f>AH48*(1+$D$43)</f>
        <v>377027.47455216915</v>
      </c>
    </row>
    <row r="49" spans="1:37" ht="14.25" customHeight="1">
      <c r="A49" s="1" t="s">
        <v>265</v>
      </c>
      <c r="B49" s="27" t="s">
        <v>267</v>
      </c>
      <c r="G49" s="97">
        <f t="shared" ref="G49:W49" si="23">G11</f>
        <v>0.14944356120826718</v>
      </c>
      <c r="H49" s="97">
        <f t="shared" si="23"/>
        <v>9.1593668357153879E-2</v>
      </c>
      <c r="I49" s="97">
        <f t="shared" si="23"/>
        <v>7.6024215120371608E-2</v>
      </c>
      <c r="J49" s="97">
        <f t="shared" si="23"/>
        <v>8.4390945963626951E-2</v>
      </c>
      <c r="K49" s="97">
        <f t="shared" si="23"/>
        <v>-0.19111969111969107</v>
      </c>
      <c r="L49" s="97">
        <f t="shared" si="23"/>
        <v>-0.11530429594272074</v>
      </c>
      <c r="M49" s="97">
        <f t="shared" si="23"/>
        <v>2.0232675771370667E-2</v>
      </c>
      <c r="N49" s="97">
        <f t="shared" si="23"/>
        <v>0.1885638737398776</v>
      </c>
      <c r="O49" s="97">
        <f t="shared" si="23"/>
        <v>0.87805895439377091</v>
      </c>
      <c r="P49" s="97">
        <f t="shared" si="23"/>
        <v>0.34152661582882948</v>
      </c>
      <c r="Q49" s="97">
        <f t="shared" si="23"/>
        <v>0.21981236203090515</v>
      </c>
      <c r="R49" s="97">
        <f t="shared" si="23"/>
        <v>0.17830158801972584</v>
      </c>
      <c r="S49" s="97">
        <f t="shared" si="23"/>
        <v>0.1534326524343419</v>
      </c>
      <c r="T49" s="97">
        <f t="shared" si="23"/>
        <v>0.16784287616511318</v>
      </c>
      <c r="U49" s="97">
        <f t="shared" si="23"/>
        <v>0.12111624194743742</v>
      </c>
      <c r="V49" s="97">
        <f t="shared" si="23"/>
        <v>0.12028679667437903</v>
      </c>
      <c r="W49" s="97">
        <f t="shared" si="23"/>
        <v>6.0846080522899637E-2</v>
      </c>
      <c r="X49" s="97">
        <f t="shared" ref="X49:AI49" si="24">CHOOSE($D$37,X50,X51,X52)</f>
        <v>9.2476134461385404E-2</v>
      </c>
      <c r="Y49" s="97">
        <f t="shared" si="24"/>
        <v>8.0879612374207904E-2</v>
      </c>
      <c r="Z49" s="97">
        <f t="shared" si="24"/>
        <v>9.1379310344827505E-2</v>
      </c>
      <c r="AA49" s="97">
        <f t="shared" si="24"/>
        <v>7.0423029664735903E-2</v>
      </c>
      <c r="AB49" s="97">
        <f t="shared" si="24"/>
        <v>-1.14787970220721E-2</v>
      </c>
      <c r="AC49" s="97">
        <f t="shared" si="24"/>
        <v>7.9039624874202505E-2</v>
      </c>
      <c r="AD49" s="97">
        <f t="shared" si="24"/>
        <v>3.0747155888080299E-2</v>
      </c>
      <c r="AE49" s="97">
        <f t="shared" si="24"/>
        <v>2.9829969175698499E-2</v>
      </c>
      <c r="AF49" s="97">
        <f t="shared" si="24"/>
        <v>0.13360773003037199</v>
      </c>
      <c r="AG49" s="97">
        <f t="shared" si="24"/>
        <v>0.125250548338114</v>
      </c>
      <c r="AH49" s="97">
        <f t="shared" si="24"/>
        <v>0.13908781022562722</v>
      </c>
      <c r="AI49" s="97">
        <f t="shared" si="24"/>
        <v>3.499999999999992E-2</v>
      </c>
    </row>
    <row r="50" spans="1:37" ht="14.25" customHeight="1">
      <c r="B50" s="2" t="s">
        <v>290</v>
      </c>
      <c r="X50" s="103">
        <f>X51</f>
        <v>9.2476134461385404E-2</v>
      </c>
      <c r="Y50" s="103">
        <f>(1+$I$37)^(1/4)-1</f>
        <v>7.7912335889252615E-2</v>
      </c>
      <c r="Z50" s="103">
        <f>(1+$I$37)^(1/4)-1</f>
        <v>7.7912335889252615E-2</v>
      </c>
      <c r="AA50" s="103">
        <f>(1+$I$37)^(1/4)-1</f>
        <v>7.7912335889252615E-2</v>
      </c>
      <c r="AB50" s="103">
        <f>(1+$I$37)^(1/4)-1</f>
        <v>7.7912335889252615E-2</v>
      </c>
      <c r="AC50" s="103">
        <f>(1+$I$37)^(1/4)-1</f>
        <v>7.7912335889252615E-2</v>
      </c>
      <c r="AD50" s="103">
        <f>(1+($I$37-($I$37-$D$43)*(1/3)))^(1/4)-1</f>
        <v>5.6312302409221138E-2</v>
      </c>
      <c r="AE50" s="103">
        <f>(1+($I$37-($I$37-$D$43)*(1/3)))^(1/4)-1</f>
        <v>5.6312302409221138E-2</v>
      </c>
      <c r="AF50" s="103">
        <f>(1+($I$37-($I$37-$D$43)*(1/3)))^(1/4)-1</f>
        <v>5.6312302409221138E-2</v>
      </c>
      <c r="AG50" s="103">
        <f>(1+($I$37-($I$37-$D$43)*(1/3)))^(1/4)-1</f>
        <v>5.6312302409221138E-2</v>
      </c>
      <c r="AH50" s="103">
        <f>$I$37-($I$37-$D$43)*(2/3)</f>
        <v>0.14000000000000001</v>
      </c>
      <c r="AI50" s="103">
        <f>$D$43</f>
        <v>3.5000000000000003E-2</v>
      </c>
    </row>
    <row r="51" spans="1:37" ht="14.25" customHeight="1">
      <c r="B51" s="2" t="s">
        <v>291</v>
      </c>
      <c r="X51" s="103">
        <v>9.2476134461385404E-2</v>
      </c>
      <c r="Y51" s="103">
        <v>8.0879612374207904E-2</v>
      </c>
      <c r="Z51" s="103">
        <v>9.1379310344827505E-2</v>
      </c>
      <c r="AA51" s="103">
        <v>7.0423029664735903E-2</v>
      </c>
      <c r="AB51" s="103">
        <v>-1.14787970220721E-2</v>
      </c>
      <c r="AC51" s="103">
        <v>7.9039624874202505E-2</v>
      </c>
      <c r="AD51" s="103">
        <v>3.0747155888080299E-2</v>
      </c>
      <c r="AE51" s="103">
        <v>2.9829969175698499E-2</v>
      </c>
      <c r="AF51" s="103">
        <v>0.13360773003037199</v>
      </c>
      <c r="AG51" s="103">
        <v>0.125250548338114</v>
      </c>
      <c r="AH51" s="103">
        <f>AH48/SUM(AD48:AG48)-1</f>
        <v>0.13908781022562722</v>
      </c>
      <c r="AI51" s="103">
        <f>AI48/AH48-1</f>
        <v>3.499999999999992E-2</v>
      </c>
    </row>
    <row r="52" spans="1:37" ht="14.25" customHeight="1">
      <c r="B52" s="2" t="s">
        <v>292</v>
      </c>
      <c r="X52" s="103">
        <f>X51</f>
        <v>9.2476134461385404E-2</v>
      </c>
      <c r="Y52" s="108">
        <f>(1+$R$37)^(1/4)-1</f>
        <v>0.17405488594401852</v>
      </c>
      <c r="Z52" s="108">
        <f>(1+$R$37)^(1/4)-1</f>
        <v>0.17405488594401852</v>
      </c>
      <c r="AA52" s="108">
        <f>(1+$R$37)^(1/4)-1</f>
        <v>0.17405488594401852</v>
      </c>
      <c r="AB52" s="108">
        <f>(1+$R$37)^(1/4)-1</f>
        <v>0.17405488594401852</v>
      </c>
      <c r="AC52" s="108">
        <f>(1+$R$37)^(1/4)-1</f>
        <v>0.17405488594401852</v>
      </c>
      <c r="AD52" s="108">
        <f>(1+($R$37-($R$37-$D$43)*(1/3)))^(1/4)-1</f>
        <v>0.12672727083182656</v>
      </c>
      <c r="AE52" s="108">
        <f>(1+($R$37-($R$37-$D$43)*(1/3)))^(1/4)-1</f>
        <v>0.12672727083182656</v>
      </c>
      <c r="AF52" s="108">
        <f>(1+($R$37-($R$37-$D$43)*(1/3)))^(1/4)-1</f>
        <v>0.12672727083182656</v>
      </c>
      <c r="AG52" s="108">
        <f>(1+($R$37-($R$37-$D$43)*(1/3)))^(1/4)-1</f>
        <v>0.12672727083182656</v>
      </c>
      <c r="AH52" s="108">
        <f>$R$37-($R$37-$D$43)*(2/3)</f>
        <v>0.32333333333333336</v>
      </c>
      <c r="AI52" s="108">
        <f>$D$43</f>
        <v>3.5000000000000003E-2</v>
      </c>
      <c r="AK52" s="66"/>
    </row>
    <row r="53" spans="1:37" ht="14.25" customHeight="1"/>
    <row r="54" spans="1:37" ht="14.25" customHeight="1">
      <c r="B54" t="s">
        <v>270</v>
      </c>
      <c r="F54" s="107">
        <f t="shared" ref="F54:W54" si="25">F16</f>
        <v>1909</v>
      </c>
      <c r="G54" s="107">
        <f t="shared" si="25"/>
        <v>2390</v>
      </c>
      <c r="H54" s="107">
        <f t="shared" si="25"/>
        <v>2616</v>
      </c>
      <c r="I54" s="107">
        <f t="shared" si="25"/>
        <v>2919</v>
      </c>
      <c r="J54" s="107">
        <f t="shared" si="25"/>
        <v>1818</v>
      </c>
      <c r="K54" s="107">
        <f t="shared" si="25"/>
        <v>480</v>
      </c>
      <c r="L54" s="107">
        <f t="shared" si="25"/>
        <v>624</v>
      </c>
      <c r="M54" s="107">
        <f t="shared" si="25"/>
        <v>1307</v>
      </c>
      <c r="N54" s="107">
        <f t="shared" si="25"/>
        <v>2224</v>
      </c>
      <c r="O54" s="107">
        <f t="shared" si="25"/>
        <v>6922</v>
      </c>
      <c r="P54" s="107">
        <f t="shared" si="25"/>
        <v>10588</v>
      </c>
      <c r="Q54" s="107">
        <f t="shared" si="25"/>
        <v>13847</v>
      </c>
      <c r="R54" s="107">
        <f t="shared" si="25"/>
        <v>17204</v>
      </c>
      <c r="S54" s="107">
        <f t="shared" si="25"/>
        <v>19025</v>
      </c>
      <c r="T54" s="107">
        <f t="shared" si="25"/>
        <v>22280</v>
      </c>
      <c r="U54" s="107">
        <f t="shared" si="25"/>
        <v>24484</v>
      </c>
      <c r="V54" s="107">
        <f t="shared" si="25"/>
        <v>22090</v>
      </c>
      <c r="W54" s="107">
        <f t="shared" si="25"/>
        <v>28970</v>
      </c>
      <c r="X54" s="52">
        <f t="shared" ref="X54:AI54" si="26">X48*X55</f>
        <v>31561.329123784082</v>
      </c>
      <c r="Y54" s="52">
        <f t="shared" si="26"/>
        <v>36213.506401845931</v>
      </c>
      <c r="Z54" s="52">
        <f t="shared" si="26"/>
        <v>39470.268832285205</v>
      </c>
      <c r="AA54" s="52">
        <f t="shared" si="26"/>
        <v>42198.336062977884</v>
      </c>
      <c r="AB54" s="52">
        <f t="shared" si="26"/>
        <v>41644.263493643411</v>
      </c>
      <c r="AC54" s="52">
        <f t="shared" si="26"/>
        <v>44404.757363253862</v>
      </c>
      <c r="AD54" s="52">
        <f t="shared" si="26"/>
        <v>45885.103922544426</v>
      </c>
      <c r="AE54" s="52">
        <f t="shared" si="26"/>
        <v>47365.450481835047</v>
      </c>
      <c r="AF54" s="52">
        <f t="shared" si="26"/>
        <v>52443.845948909402</v>
      </c>
      <c r="AG54" s="52">
        <f t="shared" si="26"/>
        <v>56326.920300683902</v>
      </c>
      <c r="AH54" s="52">
        <f t="shared" si="26"/>
        <v>220322.34422938884</v>
      </c>
      <c r="AI54" s="52">
        <f t="shared" si="26"/>
        <v>228033.62627741741</v>
      </c>
    </row>
    <row r="55" spans="1:37" ht="14.25" customHeight="1">
      <c r="B55" s="27" t="s">
        <v>269</v>
      </c>
      <c r="F55" s="97">
        <f t="shared" ref="F55:W55" si="27">F17</f>
        <v>0.33721957251369017</v>
      </c>
      <c r="G55" s="97">
        <f t="shared" si="27"/>
        <v>0.36729675733825112</v>
      </c>
      <c r="H55" s="97">
        <f t="shared" si="27"/>
        <v>0.36829508658313387</v>
      </c>
      <c r="I55" s="97">
        <f t="shared" si="27"/>
        <v>0.38191809498887869</v>
      </c>
      <c r="J55" s="97">
        <f t="shared" si="27"/>
        <v>0.21935328185328185</v>
      </c>
      <c r="K55" s="97">
        <f t="shared" si="27"/>
        <v>7.1599045346062054E-2</v>
      </c>
      <c r="L55" s="97">
        <f t="shared" si="27"/>
        <v>0.10520991401112798</v>
      </c>
      <c r="M55" s="97">
        <f t="shared" si="27"/>
        <v>0.21599735580895721</v>
      </c>
      <c r="N55" s="97">
        <f t="shared" si="27"/>
        <v>0.3092324805339266</v>
      </c>
      <c r="O55" s="97">
        <f t="shared" si="27"/>
        <v>0.51247501295624487</v>
      </c>
      <c r="P55" s="97">
        <f t="shared" si="27"/>
        <v>0.58432671081677701</v>
      </c>
      <c r="Q55" s="97">
        <f t="shared" si="27"/>
        <v>0.62647604397593082</v>
      </c>
      <c r="R55" s="97">
        <f t="shared" si="27"/>
        <v>0.66057441253263705</v>
      </c>
      <c r="S55" s="97">
        <f t="shared" si="27"/>
        <v>0.63332223701731027</v>
      </c>
      <c r="T55" s="97">
        <f t="shared" si="27"/>
        <v>0.63508351861353396</v>
      </c>
      <c r="U55" s="97">
        <f t="shared" si="27"/>
        <v>0.62251150491978335</v>
      </c>
      <c r="V55" s="97">
        <f t="shared" si="27"/>
        <v>0.50133902228677774</v>
      </c>
      <c r="W55" s="97">
        <f t="shared" si="27"/>
        <v>0.61977194446227246</v>
      </c>
      <c r="X55" s="20">
        <f t="shared" ref="X55:AI55" si="28">CHOOSE($D$38,X56,X57,X58)</f>
        <v>0.618054458110738</v>
      </c>
      <c r="Y55" s="97">
        <f t="shared" si="28"/>
        <v>0.65609195402298903</v>
      </c>
      <c r="Z55" s="97">
        <f t="shared" si="28"/>
        <v>0.65522204669124096</v>
      </c>
      <c r="AA55" s="97">
        <f t="shared" si="28"/>
        <v>0.65442261650978995</v>
      </c>
      <c r="AB55" s="97">
        <f t="shared" si="28"/>
        <v>0.653329352045387</v>
      </c>
      <c r="AC55" s="97">
        <f t="shared" si="28"/>
        <v>0.64560828123398595</v>
      </c>
      <c r="AD55" s="97">
        <f t="shared" si="28"/>
        <v>0.64723078452818905</v>
      </c>
      <c r="AE55" s="97">
        <f t="shared" si="28"/>
        <v>0.64875929323163095</v>
      </c>
      <c r="AF55" s="97">
        <f t="shared" si="28"/>
        <v>0.63365614982284502</v>
      </c>
      <c r="AG55" s="97">
        <f t="shared" si="28"/>
        <v>0.60481965286024397</v>
      </c>
      <c r="AH55" s="97">
        <f t="shared" si="28"/>
        <v>0.60481965286024397</v>
      </c>
      <c r="AI55" s="97">
        <f t="shared" si="28"/>
        <v>0.60481965286024397</v>
      </c>
    </row>
    <row r="56" spans="1:37" ht="14.25" customHeight="1">
      <c r="B56" s="2" t="s">
        <v>290</v>
      </c>
      <c r="X56" s="108">
        <f>X57</f>
        <v>0.618054458110738</v>
      </c>
      <c r="Y56" s="108">
        <f t="shared" ref="Y56:AI56" si="29">$I$39</f>
        <v>0.4</v>
      </c>
      <c r="Z56" s="108">
        <f t="shared" si="29"/>
        <v>0.4</v>
      </c>
      <c r="AA56" s="108">
        <f t="shared" si="29"/>
        <v>0.4</v>
      </c>
      <c r="AB56" s="108">
        <f t="shared" si="29"/>
        <v>0.4</v>
      </c>
      <c r="AC56" s="108">
        <f t="shared" si="29"/>
        <v>0.4</v>
      </c>
      <c r="AD56" s="108">
        <f t="shared" si="29"/>
        <v>0.4</v>
      </c>
      <c r="AE56" s="108">
        <f t="shared" si="29"/>
        <v>0.4</v>
      </c>
      <c r="AF56" s="108">
        <f t="shared" si="29"/>
        <v>0.4</v>
      </c>
      <c r="AG56" s="108">
        <f t="shared" si="29"/>
        <v>0.4</v>
      </c>
      <c r="AH56" s="108">
        <f t="shared" si="29"/>
        <v>0.4</v>
      </c>
      <c r="AI56" s="108">
        <f t="shared" si="29"/>
        <v>0.4</v>
      </c>
    </row>
    <row r="57" spans="1:37" ht="14.25" customHeight="1">
      <c r="B57" s="2" t="s">
        <v>291</v>
      </c>
      <c r="X57" s="108">
        <v>0.618054458110738</v>
      </c>
      <c r="Y57" s="108">
        <v>0.65609195402298903</v>
      </c>
      <c r="Z57" s="108">
        <v>0.65522204669124096</v>
      </c>
      <c r="AA57" s="108">
        <v>0.65442261650978995</v>
      </c>
      <c r="AB57" s="108">
        <v>0.653329352045387</v>
      </c>
      <c r="AC57" s="108">
        <v>0.64560828123398595</v>
      </c>
      <c r="AD57" s="108">
        <v>0.64723078452818905</v>
      </c>
      <c r="AE57" s="108">
        <v>0.64875929323163095</v>
      </c>
      <c r="AF57" s="108">
        <v>0.63365614982284502</v>
      </c>
      <c r="AG57" s="108">
        <v>0.60481965286024397</v>
      </c>
      <c r="AH57" s="108">
        <v>0.60481965286024397</v>
      </c>
      <c r="AI57" s="108">
        <v>0.60481965286024397</v>
      </c>
      <c r="AK57" s="66"/>
    </row>
    <row r="58" spans="1:37" ht="14.25" customHeight="1">
      <c r="B58" s="2" t="s">
        <v>292</v>
      </c>
      <c r="X58" s="108">
        <f>X57</f>
        <v>0.618054458110738</v>
      </c>
      <c r="Y58" s="108">
        <f t="shared" ref="Y58:AI58" si="30">$R$39</f>
        <v>0.7</v>
      </c>
      <c r="Z58" s="108">
        <f t="shared" si="30"/>
        <v>0.7</v>
      </c>
      <c r="AA58" s="108">
        <f t="shared" si="30"/>
        <v>0.7</v>
      </c>
      <c r="AB58" s="108">
        <f t="shared" si="30"/>
        <v>0.7</v>
      </c>
      <c r="AC58" s="108">
        <f t="shared" si="30"/>
        <v>0.7</v>
      </c>
      <c r="AD58" s="108">
        <f t="shared" si="30"/>
        <v>0.7</v>
      </c>
      <c r="AE58" s="108">
        <f t="shared" si="30"/>
        <v>0.7</v>
      </c>
      <c r="AF58" s="108">
        <f t="shared" si="30"/>
        <v>0.7</v>
      </c>
      <c r="AG58" s="108">
        <f t="shared" si="30"/>
        <v>0.7</v>
      </c>
      <c r="AH58" s="108">
        <f t="shared" si="30"/>
        <v>0.7</v>
      </c>
      <c r="AI58" s="108">
        <f t="shared" si="30"/>
        <v>0.7</v>
      </c>
    </row>
    <row r="59" spans="1:37" ht="14.25" customHeight="1"/>
    <row r="60" spans="1:37" ht="14.25" customHeight="1">
      <c r="B60" t="s">
        <v>271</v>
      </c>
      <c r="X60" s="52">
        <f t="shared" ref="X60:AI60" si="31">X54*X61</f>
        <v>5365.4259510432939</v>
      </c>
      <c r="Y60" s="52">
        <f t="shared" si="31"/>
        <v>6156.2960883138085</v>
      </c>
      <c r="Z60" s="52">
        <f t="shared" si="31"/>
        <v>6709.9457014884856</v>
      </c>
      <c r="AA60" s="52">
        <f t="shared" si="31"/>
        <v>7173.7171307062408</v>
      </c>
      <c r="AB60" s="52">
        <f t="shared" si="31"/>
        <v>7079.5247939193805</v>
      </c>
      <c r="AC60" s="52">
        <f t="shared" si="31"/>
        <v>7548.8087517531576</v>
      </c>
      <c r="AD60" s="52">
        <f t="shared" si="31"/>
        <v>7800.4676668325528</v>
      </c>
      <c r="AE60" s="52">
        <f t="shared" si="31"/>
        <v>8052.126581911959</v>
      </c>
      <c r="AF60" s="52">
        <f t="shared" si="31"/>
        <v>8915.4538113145991</v>
      </c>
      <c r="AG60" s="52">
        <f t="shared" si="31"/>
        <v>9575.5764511162633</v>
      </c>
      <c r="AH60" s="52">
        <f t="shared" si="31"/>
        <v>37454.798518996104</v>
      </c>
      <c r="AI60" s="52">
        <f t="shared" si="31"/>
        <v>38765.716467160964</v>
      </c>
    </row>
    <row r="61" spans="1:37" ht="14.25" customHeight="1">
      <c r="B61" s="27" t="s">
        <v>272</v>
      </c>
      <c r="X61" s="102">
        <f t="shared" ref="X61:AI61" si="32">$M$40</f>
        <v>0.17</v>
      </c>
      <c r="Y61" s="102">
        <f t="shared" si="32"/>
        <v>0.17</v>
      </c>
      <c r="Z61" s="102">
        <f t="shared" si="32"/>
        <v>0.17</v>
      </c>
      <c r="AA61" s="102">
        <f t="shared" si="32"/>
        <v>0.17</v>
      </c>
      <c r="AB61" s="102">
        <f t="shared" si="32"/>
        <v>0.17</v>
      </c>
      <c r="AC61" s="102">
        <f t="shared" si="32"/>
        <v>0.17</v>
      </c>
      <c r="AD61" s="102">
        <f t="shared" si="32"/>
        <v>0.17</v>
      </c>
      <c r="AE61" s="102">
        <f t="shared" si="32"/>
        <v>0.17</v>
      </c>
      <c r="AF61" s="102">
        <f t="shared" si="32"/>
        <v>0.17</v>
      </c>
      <c r="AG61" s="102">
        <f t="shared" si="32"/>
        <v>0.17</v>
      </c>
      <c r="AH61" s="102">
        <f t="shared" si="32"/>
        <v>0.17</v>
      </c>
      <c r="AI61" s="102">
        <f t="shared" si="32"/>
        <v>0.17</v>
      </c>
    </row>
    <row r="62" spans="1:37" ht="14.25" customHeight="1">
      <c r="AK62" s="66"/>
    </row>
    <row r="63" spans="1:37" ht="14.25" customHeight="1">
      <c r="B63" s="109" t="s">
        <v>293</v>
      </c>
      <c r="C63" s="109"/>
      <c r="D63" s="109"/>
      <c r="E63" s="109"/>
      <c r="F63" s="109"/>
      <c r="G63" s="109"/>
      <c r="H63" s="109"/>
      <c r="I63" s="109"/>
      <c r="J63" s="109"/>
      <c r="K63" s="109"/>
      <c r="L63" s="109"/>
      <c r="M63" s="109"/>
      <c r="N63" s="109"/>
      <c r="O63" s="109"/>
      <c r="P63" s="109"/>
      <c r="Q63" s="109"/>
      <c r="R63" s="109"/>
      <c r="S63" s="109"/>
      <c r="T63" s="109"/>
      <c r="U63" s="109"/>
      <c r="V63" s="109"/>
      <c r="W63" s="109"/>
      <c r="X63" s="110">
        <f t="shared" ref="X63:AI63" si="33">X54-X60</f>
        <v>26195.903172740789</v>
      </c>
      <c r="Y63" s="110">
        <f t="shared" si="33"/>
        <v>30057.210313532123</v>
      </c>
      <c r="Z63" s="110">
        <f t="shared" si="33"/>
        <v>32760.323130796718</v>
      </c>
      <c r="AA63" s="110">
        <f t="shared" si="33"/>
        <v>35024.618932271645</v>
      </c>
      <c r="AB63" s="110">
        <f t="shared" si="33"/>
        <v>34564.738699724032</v>
      </c>
      <c r="AC63" s="110">
        <f t="shared" si="33"/>
        <v>36855.948611500702</v>
      </c>
      <c r="AD63" s="110">
        <f t="shared" si="33"/>
        <v>38084.63625571187</v>
      </c>
      <c r="AE63" s="110">
        <f t="shared" si="33"/>
        <v>39313.323899923089</v>
      </c>
      <c r="AF63" s="110">
        <f t="shared" si="33"/>
        <v>43528.392137594805</v>
      </c>
      <c r="AG63" s="110">
        <f t="shared" si="33"/>
        <v>46751.343849567638</v>
      </c>
      <c r="AH63" s="110">
        <f t="shared" si="33"/>
        <v>182867.54571039273</v>
      </c>
      <c r="AI63" s="110">
        <f t="shared" si="33"/>
        <v>189267.90981025645</v>
      </c>
    </row>
    <row r="64" spans="1:37" ht="14.25" customHeight="1"/>
    <row r="65" spans="2:37" ht="14.25" customHeight="1">
      <c r="B65" t="s">
        <v>274</v>
      </c>
      <c r="F65" s="107">
        <f t="shared" ref="F65:AI65" si="34">F23</f>
        <v>281</v>
      </c>
      <c r="G65" s="107">
        <f t="shared" si="34"/>
        <v>286</v>
      </c>
      <c r="H65" s="107">
        <f t="shared" si="34"/>
        <v>298</v>
      </c>
      <c r="I65" s="107">
        <f t="shared" si="34"/>
        <v>309</v>
      </c>
      <c r="J65" s="107">
        <f t="shared" si="34"/>
        <v>334</v>
      </c>
      <c r="K65" s="107">
        <f t="shared" si="34"/>
        <v>378</v>
      </c>
      <c r="L65" s="107">
        <f t="shared" si="34"/>
        <v>406</v>
      </c>
      <c r="M65" s="107">
        <f t="shared" si="34"/>
        <v>426</v>
      </c>
      <c r="N65" s="107">
        <f t="shared" si="34"/>
        <v>384</v>
      </c>
      <c r="O65" s="107">
        <f t="shared" si="34"/>
        <v>365</v>
      </c>
      <c r="P65" s="107">
        <f t="shared" si="34"/>
        <v>372</v>
      </c>
      <c r="Q65" s="107">
        <f t="shared" si="34"/>
        <v>387</v>
      </c>
      <c r="R65" s="107">
        <f t="shared" si="34"/>
        <v>410</v>
      </c>
      <c r="S65" s="107">
        <f t="shared" si="34"/>
        <v>433</v>
      </c>
      <c r="T65" s="107">
        <f t="shared" si="34"/>
        <v>478</v>
      </c>
      <c r="U65" s="107">
        <f t="shared" si="34"/>
        <v>543</v>
      </c>
      <c r="V65" s="107">
        <f t="shared" si="34"/>
        <v>611</v>
      </c>
      <c r="W65" s="107">
        <f t="shared" si="34"/>
        <v>669</v>
      </c>
      <c r="X65" s="107">
        <f t="shared" si="34"/>
        <v>709.94288882173282</v>
      </c>
      <c r="Y65" s="107">
        <f t="shared" si="34"/>
        <v>767.36279447745994</v>
      </c>
      <c r="Z65" s="107">
        <f t="shared" si="34"/>
        <v>837.4838774210898</v>
      </c>
      <c r="AA65" s="107">
        <f t="shared" si="34"/>
        <v>896.4620293644532</v>
      </c>
      <c r="AB65" s="107">
        <f t="shared" si="34"/>
        <v>886.17172369138382</v>
      </c>
      <c r="AC65" s="107">
        <f t="shared" si="34"/>
        <v>956.21440430607618</v>
      </c>
      <c r="AD65" s="107">
        <f t="shared" si="34"/>
        <v>985.61527765770279</v>
      </c>
      <c r="AE65" s="107">
        <f t="shared" si="34"/>
        <v>1015.0161510093295</v>
      </c>
      <c r="AF65" s="107">
        <f t="shared" si="34"/>
        <v>1150.6301548898514</v>
      </c>
      <c r="AG65" s="107">
        <f t="shared" si="34"/>
        <v>1294.7472127241742</v>
      </c>
      <c r="AH65" s="107">
        <f t="shared" si="34"/>
        <v>5064.3944239996672</v>
      </c>
      <c r="AI65" s="107">
        <f t="shared" si="34"/>
        <v>5241.6482288396546</v>
      </c>
    </row>
    <row r="66" spans="2:37" ht="14.25" customHeight="1">
      <c r="B66" s="27" t="s">
        <v>269</v>
      </c>
      <c r="F66" s="97">
        <f t="shared" ref="F66:AI66" si="35">F26</f>
        <v>4.9637873167284935E-2</v>
      </c>
      <c r="G66" s="97">
        <f t="shared" si="35"/>
        <v>4.3952666359305365E-2</v>
      </c>
      <c r="H66" s="97">
        <f t="shared" si="35"/>
        <v>4.1954103899760661E-2</v>
      </c>
      <c r="I66" s="97">
        <f t="shared" si="35"/>
        <v>4.0429150856993328E-2</v>
      </c>
      <c r="J66" s="97">
        <f t="shared" si="35"/>
        <v>4.0299227799227802E-2</v>
      </c>
      <c r="K66" s="97">
        <f t="shared" si="35"/>
        <v>5.6384248210023864E-2</v>
      </c>
      <c r="L66" s="97">
        <f t="shared" si="35"/>
        <v>6.8453886359804414E-2</v>
      </c>
      <c r="M66" s="97">
        <f t="shared" si="35"/>
        <v>7.0401586514625678E-2</v>
      </c>
      <c r="N66" s="97">
        <f t="shared" si="35"/>
        <v>5.3392658509454953E-2</v>
      </c>
      <c r="O66" s="97">
        <f t="shared" si="35"/>
        <v>2.7023025098097283E-2</v>
      </c>
      <c r="P66" s="97">
        <f t="shared" si="35"/>
        <v>2.052980132450331E-2</v>
      </c>
      <c r="Q66" s="97">
        <f t="shared" si="35"/>
        <v>1.7508935438628241E-2</v>
      </c>
      <c r="R66" s="97">
        <f t="shared" si="35"/>
        <v>1.5742589463984026E-2</v>
      </c>
      <c r="S66" s="97">
        <f t="shared" si="35"/>
        <v>1.4414114513981358E-2</v>
      </c>
      <c r="T66" s="97">
        <f t="shared" si="35"/>
        <v>1.3625220911008495E-2</v>
      </c>
      <c r="U66" s="97">
        <f t="shared" si="35"/>
        <v>1.3805903740052377E-2</v>
      </c>
      <c r="V66" s="97">
        <f t="shared" si="35"/>
        <v>1.3866824020698108E-2</v>
      </c>
      <c r="W66" s="97">
        <f t="shared" si="35"/>
        <v>1.4312303446505359E-2</v>
      </c>
      <c r="X66" s="108">
        <f t="shared" si="35"/>
        <v>1.3902563029566087E-2</v>
      </c>
      <c r="Y66" s="108">
        <f t="shared" si="35"/>
        <v>1.3902563029566085E-2</v>
      </c>
      <c r="Z66" s="108">
        <f t="shared" si="35"/>
        <v>1.3902563029566085E-2</v>
      </c>
      <c r="AA66" s="108">
        <f t="shared" si="35"/>
        <v>1.3902563029566085E-2</v>
      </c>
      <c r="AB66" s="108">
        <f t="shared" si="35"/>
        <v>1.3902563029566085E-2</v>
      </c>
      <c r="AC66" s="108">
        <f t="shared" si="35"/>
        <v>1.3902563029566085E-2</v>
      </c>
      <c r="AD66" s="108">
        <f t="shared" si="35"/>
        <v>1.3902563029566085E-2</v>
      </c>
      <c r="AE66" s="108">
        <f t="shared" si="35"/>
        <v>1.3902563029566085E-2</v>
      </c>
      <c r="AF66" s="108">
        <f t="shared" si="35"/>
        <v>1.3902563029566085E-2</v>
      </c>
      <c r="AG66" s="108">
        <f t="shared" si="35"/>
        <v>1.3902563029566087E-2</v>
      </c>
      <c r="AH66" s="108">
        <f t="shared" si="35"/>
        <v>1.3902563029566085E-2</v>
      </c>
      <c r="AI66" s="108">
        <f t="shared" si="35"/>
        <v>1.3902563029566085E-2</v>
      </c>
    </row>
    <row r="67" spans="2:37" ht="14.25" customHeight="1">
      <c r="AK67" s="66"/>
    </row>
    <row r="68" spans="2:37" ht="14.25" customHeight="1">
      <c r="B68" t="s">
        <v>277</v>
      </c>
      <c r="F68" s="107">
        <f t="shared" ref="F68:AI68" si="36">F28</f>
        <v>298</v>
      </c>
      <c r="G68" s="107">
        <f t="shared" si="36"/>
        <v>183</v>
      </c>
      <c r="H68" s="107">
        <f t="shared" si="36"/>
        <v>222</v>
      </c>
      <c r="I68" s="107">
        <f t="shared" si="36"/>
        <v>273</v>
      </c>
      <c r="J68" s="107">
        <f t="shared" si="36"/>
        <v>361</v>
      </c>
      <c r="K68" s="107">
        <f t="shared" si="36"/>
        <v>433</v>
      </c>
      <c r="L68" s="107">
        <f t="shared" si="36"/>
        <v>530</v>
      </c>
      <c r="M68" s="107">
        <f t="shared" si="36"/>
        <v>509</v>
      </c>
      <c r="N68" s="107">
        <f t="shared" si="36"/>
        <v>248</v>
      </c>
      <c r="O68" s="107">
        <f t="shared" si="36"/>
        <v>289</v>
      </c>
      <c r="P68" s="107">
        <f t="shared" si="36"/>
        <v>278</v>
      </c>
      <c r="Q68" s="107">
        <f t="shared" si="36"/>
        <v>254</v>
      </c>
      <c r="R68" s="107">
        <f t="shared" si="36"/>
        <v>369</v>
      </c>
      <c r="S68" s="107">
        <f t="shared" si="36"/>
        <v>977</v>
      </c>
      <c r="T68" s="107">
        <f t="shared" si="36"/>
        <v>813</v>
      </c>
      <c r="U68" s="107">
        <f t="shared" si="36"/>
        <v>1077</v>
      </c>
      <c r="V68" s="107">
        <f t="shared" si="36"/>
        <v>1227</v>
      </c>
      <c r="W68" s="107">
        <f t="shared" si="36"/>
        <v>1895</v>
      </c>
      <c r="X68" s="107">
        <f t="shared" si="36"/>
        <v>1746.1363644287239</v>
      </c>
      <c r="Y68" s="107">
        <f t="shared" si="36"/>
        <v>1887.363196736228</v>
      </c>
      <c r="Z68" s="107">
        <f t="shared" si="36"/>
        <v>2059.8291440241933</v>
      </c>
      <c r="AA68" s="107">
        <f t="shared" si="36"/>
        <v>2204.8885529380968</v>
      </c>
      <c r="AB68" s="107">
        <f t="shared" si="36"/>
        <v>2179.5790847826302</v>
      </c>
      <c r="AC68" s="107">
        <f t="shared" si="36"/>
        <v>2351.8521980275063</v>
      </c>
      <c r="AD68" s="107">
        <f t="shared" si="36"/>
        <v>2424.1649641859822</v>
      </c>
      <c r="AE68" s="107">
        <f t="shared" si="36"/>
        <v>2496.477730344458</v>
      </c>
      <c r="AF68" s="107">
        <f t="shared" si="36"/>
        <v>2830.0264529671563</v>
      </c>
      <c r="AG68" s="107">
        <f t="shared" si="36"/>
        <v>3184.48881801266</v>
      </c>
      <c r="AH68" s="107">
        <f t="shared" si="36"/>
        <v>12456.105141404405</v>
      </c>
      <c r="AI68" s="107">
        <f t="shared" si="36"/>
        <v>12892.068821353556</v>
      </c>
    </row>
    <row r="69" spans="2:37" ht="14.25" customHeight="1">
      <c r="B69" s="27" t="s">
        <v>269</v>
      </c>
      <c r="F69" s="97">
        <f t="shared" ref="F69:AI69" si="37">F29</f>
        <v>5.2640876170287933E-2</v>
      </c>
      <c r="G69" s="97">
        <f t="shared" si="37"/>
        <v>2.8123559243891195E-2</v>
      </c>
      <c r="H69" s="97">
        <f t="shared" si="37"/>
        <v>3.1254399549486132E-2</v>
      </c>
      <c r="I69" s="97">
        <f t="shared" si="37"/>
        <v>3.5718958524139734E-2</v>
      </c>
      <c r="J69" s="97">
        <f t="shared" si="37"/>
        <v>4.355694980694981E-2</v>
      </c>
      <c r="K69" s="97">
        <f t="shared" si="37"/>
        <v>6.4588305489260145E-2</v>
      </c>
      <c r="L69" s="97">
        <f t="shared" si="37"/>
        <v>8.9360984656887535E-2</v>
      </c>
      <c r="M69" s="97">
        <f t="shared" si="37"/>
        <v>8.4118327549165428E-2</v>
      </c>
      <c r="N69" s="97">
        <f t="shared" si="37"/>
        <v>3.4482758620689655E-2</v>
      </c>
      <c r="O69" s="97">
        <f t="shared" si="37"/>
        <v>2.1396313022877027E-2</v>
      </c>
      <c r="P69" s="97">
        <f t="shared" si="37"/>
        <v>1.5342163355408389E-2</v>
      </c>
      <c r="Q69" s="97">
        <f t="shared" si="37"/>
        <v>1.149165271682577E-2</v>
      </c>
      <c r="R69" s="97">
        <f t="shared" si="37"/>
        <v>1.4168330517585623E-2</v>
      </c>
      <c r="S69" s="97">
        <f t="shared" si="37"/>
        <v>3.2523302263648468E-2</v>
      </c>
      <c r="T69" s="97">
        <f t="shared" si="37"/>
        <v>2.3174277407217378E-2</v>
      </c>
      <c r="U69" s="97">
        <f t="shared" si="37"/>
        <v>2.7382980346291729E-2</v>
      </c>
      <c r="V69" s="97">
        <f t="shared" si="37"/>
        <v>2.7847124506377378E-2</v>
      </c>
      <c r="W69" s="97">
        <f t="shared" si="37"/>
        <v>4.0540829642941187E-2</v>
      </c>
      <c r="X69" s="108">
        <f t="shared" si="37"/>
        <v>3.4193977074659279E-2</v>
      </c>
      <c r="Y69" s="108">
        <f t="shared" si="37"/>
        <v>3.4193977074659279E-2</v>
      </c>
      <c r="Z69" s="108">
        <f t="shared" si="37"/>
        <v>3.4193977074659279E-2</v>
      </c>
      <c r="AA69" s="108">
        <f t="shared" si="37"/>
        <v>3.4193977074659279E-2</v>
      </c>
      <c r="AB69" s="108">
        <f t="shared" si="37"/>
        <v>3.4193977074659279E-2</v>
      </c>
      <c r="AC69" s="108">
        <f t="shared" si="37"/>
        <v>3.4193977074659279E-2</v>
      </c>
      <c r="AD69" s="108">
        <f t="shared" si="37"/>
        <v>3.4193977074659279E-2</v>
      </c>
      <c r="AE69" s="108">
        <f t="shared" si="37"/>
        <v>3.4193977074659279E-2</v>
      </c>
      <c r="AF69" s="108">
        <f t="shared" si="37"/>
        <v>3.4193977074659279E-2</v>
      </c>
      <c r="AG69" s="108">
        <f t="shared" si="37"/>
        <v>3.4193977074659279E-2</v>
      </c>
      <c r="AH69" s="108">
        <f t="shared" si="37"/>
        <v>3.4193977074659279E-2</v>
      </c>
      <c r="AI69" s="108">
        <f t="shared" si="37"/>
        <v>3.4193977074659279E-2</v>
      </c>
    </row>
    <row r="70" spans="2:37" ht="14.25" customHeight="1"/>
    <row r="71" spans="2:37" ht="14.25" customHeight="1">
      <c r="B71" t="s">
        <v>278</v>
      </c>
      <c r="F71" s="107">
        <f t="shared" ref="F71:AI71" si="38">F31</f>
        <v>887</v>
      </c>
      <c r="G71" s="107">
        <f t="shared" si="38"/>
        <v>249</v>
      </c>
      <c r="H71" s="107">
        <f t="shared" si="38"/>
        <v>192</v>
      </c>
      <c r="I71" s="107">
        <f t="shared" si="38"/>
        <v>390</v>
      </c>
      <c r="J71" s="107">
        <f t="shared" si="38"/>
        <v>389</v>
      </c>
      <c r="K71" s="107">
        <f t="shared" si="38"/>
        <v>382</v>
      </c>
      <c r="L71" s="107">
        <f t="shared" si="38"/>
        <v>417</v>
      </c>
      <c r="M71" s="107">
        <f t="shared" si="38"/>
        <v>-10</v>
      </c>
      <c r="N71" s="107">
        <f t="shared" si="38"/>
        <v>-911</v>
      </c>
      <c r="O71" s="107">
        <f t="shared" si="38"/>
        <v>136</v>
      </c>
      <c r="P71" s="107">
        <f t="shared" si="38"/>
        <v>2836</v>
      </c>
      <c r="Q71" s="107">
        <f t="shared" si="38"/>
        <v>2455</v>
      </c>
      <c r="R71" s="107">
        <f t="shared" si="38"/>
        <v>-662</v>
      </c>
      <c r="S71" s="107">
        <f t="shared" si="38"/>
        <v>2546</v>
      </c>
      <c r="T71" s="107">
        <f t="shared" si="38"/>
        <v>1810</v>
      </c>
      <c r="U71" s="107">
        <f t="shared" si="38"/>
        <v>6195</v>
      </c>
      <c r="V71" s="107">
        <f t="shared" si="38"/>
        <v>-9167</v>
      </c>
      <c r="W71" s="107">
        <f t="shared" si="38"/>
        <v>11469</v>
      </c>
      <c r="X71" s="107">
        <f t="shared" si="38"/>
        <v>443.59484805713146</v>
      </c>
      <c r="Y71" s="107">
        <f t="shared" si="38"/>
        <v>3372.0412062651158</v>
      </c>
      <c r="Z71" s="107">
        <f t="shared" si="38"/>
        <v>2158.0138436962079</v>
      </c>
      <c r="AA71" s="107">
        <f t="shared" si="38"/>
        <v>2134.3022903227502</v>
      </c>
      <c r="AB71" s="107">
        <f t="shared" si="38"/>
        <v>-1099.7731471599291</v>
      </c>
      <c r="AC71" s="107">
        <f t="shared" si="38"/>
        <v>2438.793157356311</v>
      </c>
      <c r="AD71" s="107">
        <f t="shared" si="38"/>
        <v>1274.858810660804</v>
      </c>
      <c r="AE71" s="107">
        <f t="shared" si="38"/>
        <v>813.90049398771225</v>
      </c>
      <c r="AF71" s="107">
        <f t="shared" si="38"/>
        <v>4354.3817618662979</v>
      </c>
      <c r="AG71" s="107">
        <f t="shared" si="38"/>
        <v>4500.2495456709366</v>
      </c>
      <c r="AH71" s="107">
        <f t="shared" si="38"/>
        <v>5780.6789433363374</v>
      </c>
      <c r="AI71" s="107">
        <f t="shared" si="38"/>
        <v>1656.971461392081</v>
      </c>
    </row>
    <row r="72" spans="2:37" ht="14.25" customHeight="1">
      <c r="B72" s="27" t="s">
        <v>269</v>
      </c>
      <c r="F72" s="97">
        <f t="shared" ref="F72:AI72" si="39">F32</f>
        <v>0.15668609786256846</v>
      </c>
      <c r="G72" s="97">
        <f t="shared" si="39"/>
        <v>3.8266482249884742E-2</v>
      </c>
      <c r="H72" s="97">
        <f t="shared" si="39"/>
        <v>2.7030832042798818E-2</v>
      </c>
      <c r="I72" s="97">
        <f t="shared" si="39"/>
        <v>5.102708360591391E-2</v>
      </c>
      <c r="J72" s="97">
        <f t="shared" si="39"/>
        <v>4.6935328185328189E-2</v>
      </c>
      <c r="K72" s="97">
        <f t="shared" si="39"/>
        <v>5.6980906921241053E-2</v>
      </c>
      <c r="L72" s="97">
        <f t="shared" si="39"/>
        <v>7.0308548305513405E-2</v>
      </c>
      <c r="M72" s="97">
        <f t="shared" si="39"/>
        <v>-1.6526194017517765E-3</v>
      </c>
      <c r="N72" s="97">
        <f t="shared" si="39"/>
        <v>-0.12666852057842046</v>
      </c>
      <c r="O72" s="97">
        <f t="shared" si="39"/>
        <v>1.0068853187236248E-2</v>
      </c>
      <c r="P72" s="97">
        <f t="shared" si="39"/>
        <v>0.15651214128035321</v>
      </c>
      <c r="Q72" s="97">
        <f t="shared" si="39"/>
        <v>0.11107089535357191</v>
      </c>
      <c r="R72" s="97">
        <f t="shared" si="39"/>
        <v>-2.5418522500383966E-2</v>
      </c>
      <c r="S72" s="97">
        <f t="shared" si="39"/>
        <v>8.4753661784287615E-2</v>
      </c>
      <c r="T72" s="97">
        <f t="shared" si="39"/>
        <v>5.15934097257853E-2</v>
      </c>
      <c r="U72" s="97">
        <f t="shared" si="39"/>
        <v>0.15750934377463069</v>
      </c>
      <c r="V72" s="97">
        <f t="shared" si="39"/>
        <v>-0.20804775089646407</v>
      </c>
      <c r="W72" s="97">
        <f t="shared" si="39"/>
        <v>0.24536294204479814</v>
      </c>
      <c r="X72" s="108">
        <f t="shared" si="39"/>
        <v>8.686762599933057E-3</v>
      </c>
      <c r="Y72" s="108">
        <f t="shared" si="39"/>
        <v>6.1092374748658536E-2</v>
      </c>
      <c r="Z72" s="108">
        <f t="shared" si="39"/>
        <v>3.5823881855551985E-2</v>
      </c>
      <c r="AA72" s="108">
        <f t="shared" si="39"/>
        <v>3.309930721370926E-2</v>
      </c>
      <c r="AB72" s="108">
        <f t="shared" si="39"/>
        <v>-1.7253614720322441E-2</v>
      </c>
      <c r="AC72" s="108">
        <f t="shared" si="39"/>
        <v>3.5458026394013346E-2</v>
      </c>
      <c r="AD72" s="108">
        <f t="shared" si="39"/>
        <v>1.7982477920928532E-2</v>
      </c>
      <c r="AE72" s="108">
        <f t="shared" si="39"/>
        <v>1.1147904303007626E-2</v>
      </c>
      <c r="AF72" s="108">
        <f t="shared" si="39"/>
        <v>5.2612098372247493E-2</v>
      </c>
      <c r="AG72" s="108">
        <f t="shared" si="39"/>
        <v>4.8322176207530362E-2</v>
      </c>
      <c r="AH72" s="108">
        <f t="shared" si="39"/>
        <v>1.5868877230922444E-2</v>
      </c>
      <c r="AI72" s="108">
        <f t="shared" si="39"/>
        <v>4.3948294838730816E-3</v>
      </c>
      <c r="AK72" s="66"/>
    </row>
    <row r="73" spans="2:37" ht="14.25" customHeight="1"/>
    <row r="74" spans="2:37" ht="14.25" customHeight="1">
      <c r="B74" s="111" t="s">
        <v>294</v>
      </c>
      <c r="C74" s="38"/>
      <c r="D74" s="38"/>
      <c r="E74" s="38"/>
      <c r="F74" s="38"/>
      <c r="G74" s="38"/>
      <c r="H74" s="38"/>
      <c r="I74" s="38"/>
      <c r="J74" s="38"/>
      <c r="K74" s="38"/>
      <c r="L74" s="38"/>
      <c r="M74" s="38"/>
      <c r="N74" s="38"/>
      <c r="O74" s="38"/>
      <c r="P74" s="38"/>
      <c r="Q74" s="38"/>
      <c r="R74" s="38"/>
      <c r="S74" s="38"/>
      <c r="T74" s="38"/>
      <c r="U74" s="38"/>
      <c r="V74" s="38"/>
      <c r="W74" s="38"/>
      <c r="X74" s="68">
        <f t="shared" ref="X74:AI74" si="40">X63+X65-X68-X71</f>
        <v>24716.114849076668</v>
      </c>
      <c r="Y74" s="68">
        <f t="shared" si="40"/>
        <v>25565.16870500824</v>
      </c>
      <c r="Z74" s="68">
        <f t="shared" si="40"/>
        <v>29379.964020497409</v>
      </c>
      <c r="AA74" s="68">
        <f t="shared" si="40"/>
        <v>31581.89011837525</v>
      </c>
      <c r="AB74" s="68">
        <f t="shared" si="40"/>
        <v>34371.104485792719</v>
      </c>
      <c r="AC74" s="68">
        <f t="shared" si="40"/>
        <v>33021.517660422964</v>
      </c>
      <c r="AD74" s="68">
        <f t="shared" si="40"/>
        <v>35371.227758522786</v>
      </c>
      <c r="AE74" s="68">
        <f t="shared" si="40"/>
        <v>37017.961826600251</v>
      </c>
      <c r="AF74" s="68">
        <f t="shared" si="40"/>
        <v>37494.614077651204</v>
      </c>
      <c r="AG74" s="68">
        <f t="shared" si="40"/>
        <v>40361.352698608214</v>
      </c>
      <c r="AH74" s="68">
        <f t="shared" si="40"/>
        <v>169695.15604965168</v>
      </c>
      <c r="AI74" s="112">
        <f t="shared" si="40"/>
        <v>179960.51775635045</v>
      </c>
    </row>
    <row r="75" spans="2:37" ht="14.25" customHeight="1">
      <c r="B75" s="86" t="s">
        <v>295</v>
      </c>
      <c r="C75" s="28"/>
      <c r="D75" s="28"/>
      <c r="E75" s="28"/>
      <c r="F75" s="28"/>
      <c r="G75" s="28"/>
      <c r="H75" s="28"/>
      <c r="I75" s="28"/>
      <c r="J75" s="28"/>
      <c r="K75" s="28"/>
      <c r="L75" s="28"/>
      <c r="M75" s="28"/>
      <c r="N75" s="28"/>
      <c r="O75" s="28"/>
      <c r="P75" s="28"/>
      <c r="X75" s="113">
        <f t="shared" ref="X75:AI75" si="41">X74*X78</f>
        <v>24716.114849076668</v>
      </c>
      <c r="Y75" s="113">
        <f t="shared" si="41"/>
        <v>25309.889373985101</v>
      </c>
      <c r="Z75" s="113">
        <f t="shared" si="41"/>
        <v>28165.352567702863</v>
      </c>
      <c r="AA75" s="113">
        <f t="shared" si="41"/>
        <v>29317.328888202235</v>
      </c>
      <c r="AB75" s="113">
        <f t="shared" si="41"/>
        <v>30895.990107748807</v>
      </c>
      <c r="AC75" s="113">
        <f t="shared" si="41"/>
        <v>28671.657710623578</v>
      </c>
      <c r="AD75" s="113">
        <f t="shared" si="41"/>
        <v>29812.847667186179</v>
      </c>
      <c r="AE75" s="113">
        <f t="shared" si="41"/>
        <v>30212.605364533945</v>
      </c>
      <c r="AF75" s="113">
        <f t="shared" si="41"/>
        <v>29559.134057473522</v>
      </c>
      <c r="AG75" s="113">
        <f t="shared" si="41"/>
        <v>30811.360885388818</v>
      </c>
      <c r="AH75" s="113">
        <f t="shared" si="41"/>
        <v>119544.08291623986</v>
      </c>
      <c r="AI75" s="114">
        <f t="shared" si="41"/>
        <v>111461.59847156405</v>
      </c>
    </row>
    <row r="76" spans="2:37" ht="14.25" customHeight="1">
      <c r="B76" t="s">
        <v>296</v>
      </c>
      <c r="Q76" s="38"/>
      <c r="R76" s="38"/>
      <c r="S76" s="38"/>
      <c r="T76" s="38"/>
      <c r="U76" s="38"/>
      <c r="V76" s="38"/>
      <c r="W76" s="38"/>
      <c r="X76" s="115">
        <v>45956</v>
      </c>
      <c r="Y76" s="115">
        <v>46047</v>
      </c>
      <c r="Z76" s="115">
        <v>46138</v>
      </c>
      <c r="AA76" s="115">
        <v>46229</v>
      </c>
      <c r="AB76" s="115">
        <v>46320</v>
      </c>
      <c r="AC76" s="115">
        <v>46418</v>
      </c>
      <c r="AD76" s="115">
        <v>46502</v>
      </c>
      <c r="AE76" s="115">
        <v>46593</v>
      </c>
      <c r="AF76" s="115">
        <v>46691</v>
      </c>
      <c r="AG76" s="115">
        <v>46782</v>
      </c>
      <c r="AH76" s="115">
        <v>47146</v>
      </c>
      <c r="AI76" s="115">
        <v>47510</v>
      </c>
    </row>
    <row r="77" spans="2:37" ht="14.25" customHeight="1">
      <c r="B77" t="s">
        <v>297</v>
      </c>
      <c r="X77" s="116">
        <v>0</v>
      </c>
      <c r="Y77" s="116">
        <f t="shared" ref="Y77:AG77" si="42">(Y76-$D$5)/365-0.125</f>
        <v>7.773972602739726E-2</v>
      </c>
      <c r="Z77" s="116">
        <f t="shared" si="42"/>
        <v>0.32705479452054792</v>
      </c>
      <c r="AA77" s="116">
        <f t="shared" si="42"/>
        <v>0.57636986301369864</v>
      </c>
      <c r="AB77" s="116">
        <f t="shared" si="42"/>
        <v>0.8256849315068493</v>
      </c>
      <c r="AC77" s="116">
        <f t="shared" si="42"/>
        <v>1.0941780821917808</v>
      </c>
      <c r="AD77" s="116">
        <f t="shared" si="42"/>
        <v>1.3243150684931506</v>
      </c>
      <c r="AE77" s="116">
        <f t="shared" si="42"/>
        <v>1.5736301369863013</v>
      </c>
      <c r="AF77" s="116">
        <f t="shared" si="42"/>
        <v>1.8421232876712328</v>
      </c>
      <c r="AG77" s="116">
        <f t="shared" si="42"/>
        <v>2.0914383561643834</v>
      </c>
      <c r="AH77" s="116">
        <f>(AH76-$D$5)/365-0.5</f>
        <v>2.7136986301369861</v>
      </c>
      <c r="AI77" s="116">
        <f>(AI76-$D$5)/365-0.5</f>
        <v>3.7109589041095887</v>
      </c>
      <c r="AK77" s="66"/>
    </row>
    <row r="78" spans="2:37" ht="14.25" customHeight="1">
      <c r="B78" t="s">
        <v>298</v>
      </c>
      <c r="X78" s="116">
        <f t="shared" ref="X78:AI78" si="43">1 / (1 + $D$42) ^ X77</f>
        <v>1</v>
      </c>
      <c r="Y78" s="116">
        <f t="shared" si="43"/>
        <v>0.99001456497436968</v>
      </c>
      <c r="Z78" s="116">
        <f t="shared" si="43"/>
        <v>0.95865851122393642</v>
      </c>
      <c r="AA78" s="116">
        <f t="shared" si="43"/>
        <v>0.92829557630385684</v>
      </c>
      <c r="AB78" s="116">
        <f t="shared" si="43"/>
        <v>0.89889430584110708</v>
      </c>
      <c r="AC78" s="116">
        <f t="shared" si="43"/>
        <v>0.86827195544035241</v>
      </c>
      <c r="AD78" s="116">
        <f t="shared" si="43"/>
        <v>0.84285589040665121</v>
      </c>
      <c r="AE78" s="116">
        <f t="shared" si="43"/>
        <v>0.81616069264039992</v>
      </c>
      <c r="AF78" s="116">
        <f t="shared" si="43"/>
        <v>0.78835680229316851</v>
      </c>
      <c r="AG78" s="116">
        <f t="shared" si="43"/>
        <v>0.76338771684555784</v>
      </c>
      <c r="AH78" s="116">
        <f t="shared" si="43"/>
        <v>0.7044637319008803</v>
      </c>
      <c r="AI78" s="116">
        <f t="shared" si="43"/>
        <v>0.61936695815952547</v>
      </c>
    </row>
    <row r="79" spans="2:37" ht="14.25" customHeight="1"/>
    <row r="80" spans="2:37" ht="14.25" customHeight="1">
      <c r="B80" t="s">
        <v>299</v>
      </c>
      <c r="E80" s="117">
        <f>(AI74*(1+D43))/(D42-D43)</f>
        <v>1811938.8507007598</v>
      </c>
    </row>
    <row r="81" spans="2:37" ht="14.25" customHeight="1">
      <c r="B81" t="s">
        <v>300</v>
      </c>
      <c r="E81" s="117">
        <f>E80/(1+D42)^((AI76-$D$5)/365)</f>
        <v>1052105.9257621903</v>
      </c>
    </row>
    <row r="82" spans="2:37" ht="14.25" customHeight="1">
      <c r="B82" t="s">
        <v>301</v>
      </c>
      <c r="E82" s="117">
        <f>E81+SUM(X75:AI75)</f>
        <v>1570583.8886219158</v>
      </c>
      <c r="AK82" s="66"/>
    </row>
    <row r="83" spans="2:37" ht="14.25" customHeight="1">
      <c r="B83" t="s">
        <v>302</v>
      </c>
      <c r="E83" s="117">
        <f>'Balance Sheet'!T11+'Balance Sheet'!T12</f>
        <v>56791</v>
      </c>
    </row>
    <row r="84" spans="2:37" ht="14.25" customHeight="1">
      <c r="B84" t="s">
        <v>303</v>
      </c>
      <c r="E84" s="117">
        <f>Debt!U8</f>
        <v>8466</v>
      </c>
      <c r="U84" s="66"/>
    </row>
    <row r="85" spans="2:37" ht="14.25" customHeight="1">
      <c r="B85" t="s">
        <v>304</v>
      </c>
      <c r="E85" s="117">
        <f>E82+E83-E84</f>
        <v>1618908.8886219158</v>
      </c>
    </row>
    <row r="86" spans="2:37" ht="14.25" customHeight="1"/>
    <row r="87" spans="2:37" ht="14.25" customHeight="1">
      <c r="B87" t="s">
        <v>305</v>
      </c>
      <c r="E87" s="23">
        <v>24532</v>
      </c>
      <c r="AK87" s="66"/>
    </row>
    <row r="88" spans="2:37" ht="14.25" customHeight="1">
      <c r="B88" t="s">
        <v>306</v>
      </c>
      <c r="E88" s="118">
        <f>E85/E87</f>
        <v>65.991720553640789</v>
      </c>
    </row>
    <row r="89" spans="2:37" ht="14.25" customHeight="1"/>
    <row r="90" spans="2:37" ht="14.25" customHeight="1"/>
    <row r="91" spans="2:37" ht="14.25" customHeight="1">
      <c r="B91" t="s">
        <v>307</v>
      </c>
    </row>
    <row r="92" spans="2:37" ht="14.25" customHeight="1">
      <c r="B92" t="s">
        <v>308</v>
      </c>
      <c r="D92" s="78">
        <f>AVERAGE(T26:W26)</f>
        <v>1.3902563029566085E-2</v>
      </c>
    </row>
    <row r="93" spans="2:37" ht="14.25" customHeight="1">
      <c r="B93" t="s">
        <v>309</v>
      </c>
      <c r="D93" s="78">
        <f>AVERAGE(V29:W29)</f>
        <v>3.4193977074659279E-2</v>
      </c>
    </row>
    <row r="94" spans="2:37" ht="14.25" customHeight="1">
      <c r="B94" t="s">
        <v>310</v>
      </c>
      <c r="D94" s="78">
        <f>'Working Capital'!AF17/SUM(AD48:AG48)</f>
        <v>0.1299613861659617</v>
      </c>
    </row>
    <row r="95" spans="2:37" ht="14.25" customHeight="1">
      <c r="B95" t="s">
        <v>311</v>
      </c>
      <c r="D95" s="19">
        <f>W25</f>
        <v>143</v>
      </c>
    </row>
    <row r="97" spans="2:35" ht="14.25" customHeight="1">
      <c r="B97" t="s">
        <v>312</v>
      </c>
    </row>
    <row r="98" spans="2:35" ht="14.25" customHeight="1">
      <c r="B98" t="s">
        <v>313</v>
      </c>
      <c r="X98" s="19">
        <f>'Balance Sheet'!T17</f>
        <v>9141</v>
      </c>
      <c r="Y98">
        <f t="shared" ref="Y98:AI98" si="44">X101</f>
        <v>10320.19347560699</v>
      </c>
      <c r="Z98">
        <f t="shared" si="44"/>
        <v>11583.193877865757</v>
      </c>
      <c r="AA98">
        <f t="shared" si="44"/>
        <v>12948.539144468861</v>
      </c>
      <c r="AB98">
        <f t="shared" si="44"/>
        <v>14399.965668042505</v>
      </c>
      <c r="AC98">
        <f t="shared" si="44"/>
        <v>15836.373029133751</v>
      </c>
      <c r="AD98">
        <f t="shared" si="44"/>
        <v>17375.01082285518</v>
      </c>
      <c r="AE98">
        <f t="shared" si="44"/>
        <v>18956.560509383457</v>
      </c>
      <c r="AF98">
        <f t="shared" si="44"/>
        <v>20581.022088718582</v>
      </c>
      <c r="AG98">
        <f t="shared" si="44"/>
        <v>22403.418386795885</v>
      </c>
      <c r="AH98">
        <f t="shared" si="44"/>
        <v>24436.159992084369</v>
      </c>
      <c r="AI98">
        <f t="shared" si="44"/>
        <v>31970.870709489111</v>
      </c>
    </row>
    <row r="99" spans="2:35" ht="14.25" customHeight="1">
      <c r="B99" t="s">
        <v>314</v>
      </c>
      <c r="X99" s="89">
        <f t="shared" ref="X99:AI99" si="45">X28</f>
        <v>1746.1363644287239</v>
      </c>
      <c r="Y99" s="89">
        <f t="shared" si="45"/>
        <v>1887.363196736228</v>
      </c>
      <c r="Z99" s="89">
        <f t="shared" si="45"/>
        <v>2059.8291440241933</v>
      </c>
      <c r="AA99" s="89">
        <f t="shared" si="45"/>
        <v>2204.8885529380968</v>
      </c>
      <c r="AB99" s="89">
        <f t="shared" si="45"/>
        <v>2179.5790847826302</v>
      </c>
      <c r="AC99" s="89">
        <f t="shared" si="45"/>
        <v>2351.8521980275063</v>
      </c>
      <c r="AD99" s="89">
        <f t="shared" si="45"/>
        <v>2424.1649641859822</v>
      </c>
      <c r="AE99" s="89">
        <f t="shared" si="45"/>
        <v>2496.477730344458</v>
      </c>
      <c r="AF99" s="89">
        <f t="shared" si="45"/>
        <v>2830.0264529671563</v>
      </c>
      <c r="AG99" s="89">
        <f t="shared" si="45"/>
        <v>3184.48881801266</v>
      </c>
      <c r="AH99" s="25">
        <f t="shared" si="45"/>
        <v>12456.105141404405</v>
      </c>
      <c r="AI99" s="25">
        <f t="shared" si="45"/>
        <v>12892.068821353556</v>
      </c>
    </row>
    <row r="100" spans="2:35" ht="14.25" customHeight="1">
      <c r="B100" t="s">
        <v>315</v>
      </c>
      <c r="X100" s="119">
        <f t="shared" ref="X100:AI100" si="46">X24</f>
        <v>566.94288882173282</v>
      </c>
      <c r="Y100" s="119">
        <f t="shared" si="46"/>
        <v>624.36279447745994</v>
      </c>
      <c r="Z100" s="119">
        <f t="shared" si="46"/>
        <v>694.4838774210898</v>
      </c>
      <c r="AA100" s="119">
        <f t="shared" si="46"/>
        <v>753.4620293644532</v>
      </c>
      <c r="AB100" s="119">
        <f t="shared" si="46"/>
        <v>743.17172369138382</v>
      </c>
      <c r="AC100" s="119">
        <f t="shared" si="46"/>
        <v>813.21440430607618</v>
      </c>
      <c r="AD100" s="119">
        <f t="shared" si="46"/>
        <v>842.61527765770279</v>
      </c>
      <c r="AE100" s="119">
        <f t="shared" si="46"/>
        <v>872.01615100932952</v>
      </c>
      <c r="AF100" s="119">
        <f t="shared" si="46"/>
        <v>1007.6301548898514</v>
      </c>
      <c r="AG100" s="119">
        <f t="shared" si="46"/>
        <v>1151.7472127241742</v>
      </c>
      <c r="AH100" s="119">
        <f t="shared" si="46"/>
        <v>4921.3944239996672</v>
      </c>
      <c r="AI100" s="119">
        <f t="shared" si="46"/>
        <v>5098.6482288396546</v>
      </c>
    </row>
    <row r="101" spans="2:35" ht="14.25" customHeight="1">
      <c r="B101" t="s">
        <v>316</v>
      </c>
      <c r="X101">
        <f t="shared" ref="X101:AI101" si="47">X98+X99-X100</f>
        <v>10320.19347560699</v>
      </c>
      <c r="Y101">
        <f t="shared" si="47"/>
        <v>11583.193877865757</v>
      </c>
      <c r="Z101">
        <f t="shared" si="47"/>
        <v>12948.539144468861</v>
      </c>
      <c r="AA101">
        <f t="shared" si="47"/>
        <v>14399.965668042505</v>
      </c>
      <c r="AB101">
        <f t="shared" si="47"/>
        <v>15836.373029133751</v>
      </c>
      <c r="AC101">
        <f t="shared" si="47"/>
        <v>17375.01082285518</v>
      </c>
      <c r="AD101">
        <f t="shared" si="47"/>
        <v>18956.560509383457</v>
      </c>
      <c r="AE101">
        <f t="shared" si="47"/>
        <v>20581.022088718582</v>
      </c>
      <c r="AF101">
        <f t="shared" si="47"/>
        <v>22403.418386795885</v>
      </c>
      <c r="AG101">
        <f t="shared" si="47"/>
        <v>24436.159992084369</v>
      </c>
      <c r="AH101">
        <f t="shared" si="47"/>
        <v>31970.870709489111</v>
      </c>
      <c r="AI101">
        <f t="shared" si="47"/>
        <v>39764.29130200301</v>
      </c>
    </row>
    <row r="104" spans="2:35" ht="14.25" customHeight="1">
      <c r="B104" t="s">
        <v>317</v>
      </c>
    </row>
    <row r="105" spans="2:35" ht="14.25" customHeight="1">
      <c r="C105" t="s">
        <v>318</v>
      </c>
      <c r="D105" s="78">
        <f>$D$43+(-0.01)</f>
        <v>2.5000000000000001E-2</v>
      </c>
      <c r="E105" s="78">
        <f>$D$43+(-0.005)</f>
        <v>3.0000000000000002E-2</v>
      </c>
      <c r="F105" s="78">
        <f>$D$43+(0)</f>
        <v>3.5000000000000003E-2</v>
      </c>
      <c r="G105" s="78">
        <f>$D$43+(0.005)</f>
        <v>0.04</v>
      </c>
      <c r="H105" s="78">
        <f>$D$43+(0.01)</f>
        <v>4.5000000000000005E-2</v>
      </c>
    </row>
    <row r="106" spans="2:35" ht="14.25" customHeight="1">
      <c r="C106" s="78">
        <f>$D$42+(-0.01)</f>
        <v>0.12779548661688431</v>
      </c>
      <c r="D106" s="120">
        <f t="shared" ref="D106:H110" si="48">(SUMPRODUCT($X$74:$AI$74,1/(1+$C106)^($X$77:$AI$77))+($AI$74*(1+D$105))/($C106-D$105)/(1+$C106)^(($AI$76-$D$5)/365)+$E$83-$E$84)/$E$87</f>
        <v>67.560733361255075</v>
      </c>
      <c r="E106" s="120">
        <f t="shared" si="48"/>
        <v>70.040506258005252</v>
      </c>
      <c r="F106" s="120">
        <f t="shared" si="48"/>
        <v>72.787509058617886</v>
      </c>
      <c r="G106" s="120">
        <f t="shared" si="48"/>
        <v>75.847398421679912</v>
      </c>
      <c r="H106" s="120">
        <f t="shared" si="48"/>
        <v>79.276859785353622</v>
      </c>
    </row>
    <row r="107" spans="2:35" ht="14.25" customHeight="1">
      <c r="C107" s="78">
        <f>$D$42+(-0.005)</f>
        <v>0.13279548661688431</v>
      </c>
      <c r="D107" s="120">
        <f t="shared" si="48"/>
        <v>64.551297694944651</v>
      </c>
      <c r="E107" s="120">
        <f t="shared" si="48"/>
        <v>66.769296893986493</v>
      </c>
      <c r="F107" s="120">
        <f t="shared" si="48"/>
        <v>69.214095843790915</v>
      </c>
      <c r="G107" s="120">
        <f t="shared" si="48"/>
        <v>71.922355769870862</v>
      </c>
      <c r="H107" s="120">
        <f t="shared" si="48"/>
        <v>74.93908940347724</v>
      </c>
    </row>
    <row r="108" spans="2:35" ht="14.25" customHeight="1">
      <c r="C108" s="78">
        <f>$D$42+(0)</f>
        <v>0.13779548661688432</v>
      </c>
      <c r="D108" s="120">
        <f t="shared" si="48"/>
        <v>61.811890297257527</v>
      </c>
      <c r="E108" s="120">
        <f t="shared" si="48"/>
        <v>63.804866527830043</v>
      </c>
      <c r="F108" s="120">
        <f t="shared" si="48"/>
        <v>65.991720553640789</v>
      </c>
      <c r="G108" s="120">
        <f t="shared" si="48"/>
        <v>68.402189605201954</v>
      </c>
      <c r="H108" s="120">
        <f t="shared" si="48"/>
        <v>71.072420110627036</v>
      </c>
    </row>
    <row r="109" spans="2:35" ht="14.25" customHeight="1">
      <c r="C109" s="78">
        <f>$D$42+(0.005)</f>
        <v>0.14279548661688432</v>
      </c>
      <c r="D109" s="120">
        <f t="shared" si="48"/>
        <v>59.308019417151172</v>
      </c>
      <c r="E109" s="120">
        <f t="shared" si="48"/>
        <v>61.106307992952516</v>
      </c>
      <c r="F109" s="120">
        <f t="shared" si="48"/>
        <v>63.071420675424712</v>
      </c>
      <c r="G109" s="120">
        <f t="shared" si="48"/>
        <v>65.227700572250995</v>
      </c>
      <c r="H109" s="120">
        <f t="shared" si="48"/>
        <v>67.60446916149246</v>
      </c>
    </row>
    <row r="110" spans="2:35" ht="14.25" customHeight="1">
      <c r="C110" s="78">
        <f>$D$42+(0.01)</f>
        <v>0.14779548661688433</v>
      </c>
      <c r="D110" s="120">
        <f t="shared" si="48"/>
        <v>57.010814827347176</v>
      </c>
      <c r="E110" s="120">
        <f t="shared" si="48"/>
        <v>58.639663496032313</v>
      </c>
      <c r="F110" s="120">
        <f t="shared" si="48"/>
        <v>60.412919420498639</v>
      </c>
      <c r="G110" s="120">
        <f t="shared" si="48"/>
        <v>62.350677216065456</v>
      </c>
      <c r="H110" s="120">
        <f t="shared" si="48"/>
        <v>64.47694112793566</v>
      </c>
    </row>
    <row r="111" spans="2:35" ht="14.25" customHeight="1">
      <c r="B111" t="s">
        <v>319</v>
      </c>
    </row>
    <row r="113" spans="1:19" ht="14.25" customHeight="1">
      <c r="B113" t="s">
        <v>320</v>
      </c>
    </row>
    <row r="114" spans="1:19" ht="14.25" customHeight="1">
      <c r="B114" t="s">
        <v>321</v>
      </c>
      <c r="D114">
        <f>AI54+AI65</f>
        <v>233275.27450625706</v>
      </c>
    </row>
    <row r="115" spans="1:19" ht="14.25" customHeight="1">
      <c r="B115" t="s">
        <v>322</v>
      </c>
      <c r="D115" s="121">
        <f>E80/D114</f>
        <v>7.7673849255385132</v>
      </c>
    </row>
    <row r="116" spans="1:19" ht="14.25" customHeight="1">
      <c r="B116" t="s">
        <v>323</v>
      </c>
      <c r="D116">
        <v>20</v>
      </c>
    </row>
    <row r="117" spans="1:19" ht="14.25" customHeight="1">
      <c r="B117" t="s">
        <v>324</v>
      </c>
      <c r="D117">
        <f>D116*D114</f>
        <v>4665505.4901251411</v>
      </c>
    </row>
    <row r="118" spans="1:19" ht="14.25" customHeight="1">
      <c r="B118" t="s">
        <v>325</v>
      </c>
      <c r="D118">
        <f>D117/(1+$D$42)^(($AI$76-$D$5)/365)</f>
        <v>2709035.1150306812</v>
      </c>
    </row>
    <row r="119" spans="1:19" ht="14.25" customHeight="1">
      <c r="B119" t="s">
        <v>326</v>
      </c>
      <c r="D119" s="120">
        <f>(SUMPRODUCT($X$74:$AI$74,1/(1+$D$42)^($X$77:$AI$77))+D118+$E$83-$E$84)/$E$87</f>
        <v>133.53326585237269</v>
      </c>
    </row>
    <row r="120" spans="1:19" ht="14.25" customHeight="1">
      <c r="B120" t="s">
        <v>327</v>
      </c>
      <c r="D120" s="120">
        <f>J4</f>
        <v>65.991720553640789</v>
      </c>
    </row>
    <row r="121" spans="1:19" ht="14.25" customHeight="1">
      <c r="A121" s="59"/>
      <c r="B121" s="59"/>
      <c r="C121" s="59"/>
      <c r="D121" s="59"/>
      <c r="E121" s="59"/>
      <c r="F121" s="59"/>
      <c r="G121" s="59"/>
      <c r="H121" s="59"/>
      <c r="I121" s="59"/>
      <c r="J121" s="59"/>
      <c r="K121" s="59"/>
      <c r="L121" s="59"/>
      <c r="M121" s="59"/>
      <c r="N121" s="59"/>
      <c r="O121" s="59"/>
      <c r="P121" s="59"/>
      <c r="Q121" s="59"/>
      <c r="R121" s="59"/>
      <c r="S121" s="59"/>
    </row>
    <row r="122" spans="1:19" ht="14.25" customHeight="1">
      <c r="A122" s="59"/>
      <c r="B122" s="59"/>
      <c r="C122" s="59"/>
      <c r="D122" s="59"/>
      <c r="E122" s="59"/>
      <c r="F122" s="59"/>
      <c r="G122" s="59"/>
      <c r="H122" s="59"/>
      <c r="I122" s="59"/>
      <c r="J122" s="59"/>
      <c r="K122" s="59"/>
      <c r="L122" s="59"/>
      <c r="M122" s="59"/>
      <c r="N122" s="59"/>
      <c r="O122" s="59"/>
      <c r="P122" s="59"/>
      <c r="Q122" s="59"/>
      <c r="R122" s="59"/>
      <c r="S122" s="59"/>
    </row>
    <row r="123" spans="1:19" ht="15" customHeight="1">
      <c r="A123" s="59"/>
      <c r="B123" s="60" t="s">
        <v>328</v>
      </c>
      <c r="C123" s="59"/>
      <c r="D123" s="59"/>
      <c r="E123" s="59"/>
      <c r="F123" s="59"/>
      <c r="G123" s="59"/>
      <c r="H123" s="59"/>
      <c r="I123" s="59"/>
      <c r="J123" s="59"/>
      <c r="K123" s="59"/>
      <c r="L123" s="59"/>
      <c r="M123" s="59"/>
      <c r="N123" s="59"/>
      <c r="O123" s="59"/>
      <c r="P123" s="59"/>
      <c r="Q123" s="59"/>
      <c r="R123" s="59"/>
      <c r="S123" s="59"/>
    </row>
    <row r="124" spans="1:19" ht="14.25" customHeight="1">
      <c r="A124" s="59"/>
      <c r="B124" s="59"/>
      <c r="C124" s="59"/>
      <c r="D124" s="59"/>
      <c r="E124" s="59"/>
      <c r="F124" s="59"/>
      <c r="G124" s="59"/>
      <c r="H124" s="59"/>
      <c r="I124" s="59"/>
      <c r="J124" s="59"/>
      <c r="K124" s="59"/>
      <c r="L124" s="59"/>
      <c r="M124" s="59"/>
      <c r="N124" s="59"/>
      <c r="O124" s="59"/>
      <c r="P124" s="59"/>
      <c r="Q124" s="59"/>
      <c r="R124" s="59"/>
      <c r="S124" s="59"/>
    </row>
    <row r="125" spans="1:19" ht="29.1" customHeight="1">
      <c r="A125" s="59"/>
      <c r="B125" s="133" t="s">
        <v>329</v>
      </c>
      <c r="C125" s="133"/>
      <c r="D125" s="133"/>
      <c r="E125" s="133"/>
      <c r="F125" s="133"/>
      <c r="G125" s="133"/>
      <c r="H125" s="133"/>
      <c r="I125" s="59"/>
      <c r="J125" s="59"/>
      <c r="K125" s="59"/>
      <c r="L125" s="59"/>
      <c r="M125" s="59"/>
      <c r="N125" s="59"/>
      <c r="O125" s="59"/>
      <c r="P125" s="59"/>
      <c r="Q125" s="59"/>
      <c r="R125" s="59"/>
      <c r="S125" s="59"/>
    </row>
    <row r="126" spans="1:19" ht="29.1" customHeight="1">
      <c r="A126" s="59"/>
      <c r="B126" s="133"/>
      <c r="C126" s="133"/>
      <c r="D126" s="133"/>
      <c r="E126" s="133"/>
      <c r="F126" s="133"/>
      <c r="G126" s="133"/>
      <c r="H126" s="133"/>
      <c r="I126" s="59"/>
      <c r="J126" s="59"/>
      <c r="K126" s="59"/>
      <c r="L126" s="59"/>
      <c r="M126" s="59"/>
      <c r="N126" s="59"/>
      <c r="O126" s="59"/>
      <c r="P126" s="59"/>
      <c r="Q126" s="59"/>
      <c r="R126" s="59"/>
      <c r="S126" s="59"/>
    </row>
    <row r="127" spans="1:19" ht="29.1" customHeight="1">
      <c r="A127" s="59"/>
      <c r="B127" s="133"/>
      <c r="C127" s="133"/>
      <c r="D127" s="133"/>
      <c r="E127" s="133"/>
      <c r="F127" s="133"/>
      <c r="G127" s="133"/>
      <c r="H127" s="133"/>
      <c r="I127" s="59"/>
      <c r="J127" s="59"/>
      <c r="K127" s="59"/>
      <c r="L127" s="59"/>
      <c r="M127" s="59"/>
      <c r="N127" s="59"/>
      <c r="O127" s="59"/>
      <c r="P127" s="59"/>
      <c r="Q127" s="59"/>
      <c r="R127" s="59"/>
      <c r="S127" s="59"/>
    </row>
    <row r="128" spans="1:19" ht="14.25" customHeight="1">
      <c r="A128" s="59"/>
      <c r="B128" s="59"/>
      <c r="C128" s="59"/>
      <c r="D128" s="59"/>
      <c r="E128" s="59"/>
      <c r="F128" s="59"/>
      <c r="G128" s="59"/>
      <c r="H128" s="59"/>
      <c r="I128" s="59"/>
      <c r="J128" s="59"/>
      <c r="K128" s="59"/>
      <c r="L128" s="59"/>
      <c r="M128" s="59"/>
      <c r="N128" s="59"/>
      <c r="O128" s="59"/>
      <c r="P128" s="59"/>
      <c r="Q128" s="59"/>
      <c r="R128" s="59"/>
      <c r="S128" s="59"/>
    </row>
    <row r="129" spans="1:19" ht="29.1" customHeight="1">
      <c r="A129" s="59"/>
      <c r="B129" s="133" t="s">
        <v>330</v>
      </c>
      <c r="C129" s="133"/>
      <c r="D129" s="133"/>
      <c r="E129" s="133"/>
      <c r="F129" s="133"/>
      <c r="G129" s="133"/>
      <c r="H129" s="133"/>
      <c r="I129" s="59"/>
      <c r="J129" s="59"/>
      <c r="K129" s="59"/>
      <c r="L129" s="59"/>
      <c r="M129" s="59"/>
      <c r="N129" s="59"/>
      <c r="O129" s="59"/>
      <c r="P129" s="59"/>
      <c r="Q129" s="59"/>
      <c r="R129" s="59"/>
      <c r="S129" s="59"/>
    </row>
    <row r="130" spans="1:19" ht="29.1" customHeight="1">
      <c r="A130" s="59"/>
      <c r="B130" s="133"/>
      <c r="C130" s="133"/>
      <c r="D130" s="133"/>
      <c r="E130" s="133"/>
      <c r="F130" s="133"/>
      <c r="G130" s="133"/>
      <c r="H130" s="133"/>
      <c r="I130" s="59"/>
      <c r="J130" s="59"/>
      <c r="K130" s="59"/>
      <c r="L130" s="59"/>
      <c r="M130" s="59"/>
      <c r="N130" s="59"/>
      <c r="O130" s="59"/>
      <c r="P130" s="59"/>
      <c r="Q130" s="59"/>
      <c r="R130" s="59"/>
      <c r="S130" s="59"/>
    </row>
    <row r="131" spans="1:19" ht="29.1" customHeight="1">
      <c r="A131" s="59"/>
      <c r="B131" s="133"/>
      <c r="C131" s="133"/>
      <c r="D131" s="133"/>
      <c r="E131" s="133"/>
      <c r="F131" s="133"/>
      <c r="G131" s="133"/>
      <c r="H131" s="133"/>
      <c r="I131" s="59"/>
      <c r="J131" s="59"/>
      <c r="K131" s="59"/>
      <c r="L131" s="59"/>
      <c r="M131" s="59"/>
      <c r="N131" s="59"/>
      <c r="O131" s="59"/>
      <c r="P131" s="59"/>
      <c r="Q131" s="59"/>
      <c r="R131" s="59"/>
      <c r="S131" s="59"/>
    </row>
    <row r="132" spans="1:19" ht="14.25" customHeight="1">
      <c r="A132" s="59"/>
      <c r="B132" s="59"/>
      <c r="C132" s="59"/>
      <c r="D132" s="59"/>
      <c r="E132" s="59"/>
      <c r="F132" s="59"/>
      <c r="G132" s="59"/>
      <c r="H132" s="59"/>
      <c r="I132" s="59"/>
      <c r="J132" s="59"/>
      <c r="K132" s="59"/>
      <c r="L132" s="59"/>
      <c r="M132" s="59"/>
      <c r="N132" s="59"/>
      <c r="O132" s="59"/>
      <c r="P132" s="59"/>
      <c r="Q132" s="59"/>
      <c r="R132" s="59"/>
      <c r="S132" s="59"/>
    </row>
    <row r="133" spans="1:19" ht="29.1" customHeight="1">
      <c r="A133" s="59"/>
      <c r="B133" s="133" t="s">
        <v>331</v>
      </c>
      <c r="C133" s="133"/>
      <c r="D133" s="133"/>
      <c r="E133" s="133"/>
      <c r="F133" s="133"/>
      <c r="G133" s="133"/>
      <c r="H133" s="133"/>
      <c r="I133" s="59"/>
      <c r="J133" s="59"/>
      <c r="K133" s="59"/>
      <c r="L133" s="59"/>
      <c r="M133" s="59"/>
      <c r="N133" s="59"/>
      <c r="O133" s="59"/>
      <c r="P133" s="59"/>
      <c r="Q133" s="59"/>
      <c r="R133" s="59"/>
      <c r="S133" s="59"/>
    </row>
    <row r="134" spans="1:19" ht="29.1" customHeight="1">
      <c r="A134" s="59"/>
      <c r="B134" s="133"/>
      <c r="C134" s="133"/>
      <c r="D134" s="133"/>
      <c r="E134" s="133"/>
      <c r="F134" s="133"/>
      <c r="G134" s="133"/>
      <c r="H134" s="133"/>
      <c r="I134" s="59"/>
      <c r="J134" s="59"/>
      <c r="K134" s="59"/>
      <c r="L134" s="59"/>
      <c r="M134" s="59"/>
      <c r="N134" s="59"/>
      <c r="O134" s="59"/>
      <c r="P134" s="59"/>
      <c r="Q134" s="59"/>
      <c r="R134" s="59"/>
      <c r="S134" s="59"/>
    </row>
    <row r="135" spans="1:19" ht="29.1" customHeight="1">
      <c r="A135" s="59"/>
      <c r="B135" s="133"/>
      <c r="C135" s="133"/>
      <c r="D135" s="133"/>
      <c r="E135" s="133"/>
      <c r="F135" s="133"/>
      <c r="G135" s="133"/>
      <c r="H135" s="133"/>
      <c r="I135" s="59"/>
      <c r="J135" s="59"/>
      <c r="K135" s="59"/>
      <c r="L135" s="59"/>
      <c r="M135" s="59"/>
      <c r="N135" s="59"/>
      <c r="O135" s="59"/>
      <c r="P135" s="59"/>
      <c r="Q135" s="59"/>
      <c r="R135" s="59"/>
      <c r="S135" s="59"/>
    </row>
    <row r="136" spans="1:19" ht="14.25" customHeight="1">
      <c r="A136" s="59"/>
      <c r="B136" s="59"/>
      <c r="C136" s="59"/>
      <c r="D136" s="59"/>
      <c r="E136" s="59"/>
      <c r="F136" s="59"/>
      <c r="G136" s="59"/>
      <c r="H136" s="59"/>
      <c r="I136" s="59"/>
      <c r="J136" s="59"/>
      <c r="K136" s="59"/>
      <c r="L136" s="59"/>
      <c r="M136" s="59"/>
      <c r="N136" s="59"/>
      <c r="O136" s="59"/>
      <c r="P136" s="59"/>
      <c r="Q136" s="59"/>
      <c r="R136" s="59"/>
      <c r="S136" s="59"/>
    </row>
    <row r="137" spans="1:19" ht="29.1" customHeight="1">
      <c r="A137" s="59"/>
      <c r="B137" s="133" t="s">
        <v>332</v>
      </c>
      <c r="C137" s="133"/>
      <c r="D137" s="133"/>
      <c r="E137" s="133"/>
      <c r="F137" s="133"/>
      <c r="G137" s="133"/>
      <c r="H137" s="133"/>
      <c r="I137" s="59"/>
      <c r="J137" s="59"/>
      <c r="K137" s="59"/>
      <c r="L137" s="59"/>
      <c r="M137" s="59"/>
      <c r="N137" s="59"/>
      <c r="O137" s="59"/>
      <c r="P137" s="59"/>
      <c r="Q137" s="59"/>
      <c r="R137" s="59"/>
      <c r="S137" s="59"/>
    </row>
    <row r="138" spans="1:19" ht="29.1" customHeight="1">
      <c r="A138" s="59"/>
      <c r="B138" s="133"/>
      <c r="C138" s="133"/>
      <c r="D138" s="133"/>
      <c r="E138" s="133"/>
      <c r="F138" s="133"/>
      <c r="G138" s="133"/>
      <c r="H138" s="133"/>
      <c r="I138" s="59"/>
      <c r="J138" s="59"/>
      <c r="K138" s="59"/>
      <c r="L138" s="59"/>
      <c r="M138" s="59"/>
      <c r="N138" s="59"/>
      <c r="O138" s="59"/>
      <c r="P138" s="59"/>
      <c r="Q138" s="59"/>
      <c r="R138" s="59"/>
      <c r="S138" s="59"/>
    </row>
    <row r="139" spans="1:19" ht="29.1" customHeight="1">
      <c r="A139" s="59"/>
      <c r="B139" s="133"/>
      <c r="C139" s="133"/>
      <c r="D139" s="133"/>
      <c r="E139" s="133"/>
      <c r="F139" s="133"/>
      <c r="G139" s="133"/>
      <c r="H139" s="133"/>
      <c r="I139" s="59"/>
      <c r="J139" s="59"/>
      <c r="K139" s="59"/>
      <c r="L139" s="59"/>
      <c r="M139" s="59"/>
      <c r="N139" s="59"/>
      <c r="O139" s="59"/>
      <c r="P139" s="59"/>
      <c r="Q139" s="59"/>
      <c r="R139" s="59"/>
      <c r="S139" s="59"/>
    </row>
    <row r="140" spans="1:19" ht="14.25" customHeight="1">
      <c r="A140" s="59"/>
      <c r="B140" s="59"/>
      <c r="C140" s="59"/>
      <c r="D140" s="59"/>
      <c r="E140" s="59"/>
      <c r="F140" s="59"/>
      <c r="G140" s="59"/>
      <c r="H140" s="59"/>
      <c r="I140" s="59"/>
      <c r="J140" s="59"/>
      <c r="K140" s="59"/>
      <c r="L140" s="59"/>
      <c r="M140" s="59"/>
      <c r="N140" s="59"/>
      <c r="O140" s="59"/>
      <c r="P140" s="59"/>
      <c r="Q140" s="59"/>
      <c r="R140" s="59"/>
      <c r="S140" s="59"/>
    </row>
    <row r="141" spans="1:19" ht="29.1" customHeight="1">
      <c r="A141" s="59"/>
      <c r="B141" s="133" t="s">
        <v>333</v>
      </c>
      <c r="C141" s="133"/>
      <c r="D141" s="133"/>
      <c r="E141" s="133"/>
      <c r="F141" s="133"/>
      <c r="G141" s="133"/>
      <c r="H141" s="133"/>
      <c r="I141" s="59"/>
      <c r="J141" s="59"/>
      <c r="K141" s="59"/>
      <c r="L141" s="59"/>
      <c r="M141" s="59"/>
      <c r="N141" s="59"/>
      <c r="O141" s="59"/>
      <c r="P141" s="59"/>
      <c r="Q141" s="59"/>
      <c r="R141" s="59"/>
      <c r="S141" s="59"/>
    </row>
    <row r="142" spans="1:19" ht="29.1" customHeight="1">
      <c r="A142" s="59"/>
      <c r="B142" s="133"/>
      <c r="C142" s="133"/>
      <c r="D142" s="133"/>
      <c r="E142" s="133"/>
      <c r="F142" s="133"/>
      <c r="G142" s="133"/>
      <c r="H142" s="133"/>
      <c r="I142" s="59"/>
      <c r="J142" s="59"/>
      <c r="K142" s="59"/>
      <c r="L142" s="59"/>
      <c r="M142" s="59"/>
      <c r="N142" s="59"/>
      <c r="O142" s="59"/>
      <c r="P142" s="59"/>
      <c r="Q142" s="59"/>
      <c r="R142" s="59"/>
      <c r="S142" s="59"/>
    </row>
    <row r="143" spans="1:19" ht="29.1" customHeight="1">
      <c r="A143" s="59"/>
      <c r="B143" s="133"/>
      <c r="C143" s="133"/>
      <c r="D143" s="133"/>
      <c r="E143" s="133"/>
      <c r="F143" s="133"/>
      <c r="G143" s="133"/>
      <c r="H143" s="133"/>
      <c r="I143" s="59"/>
      <c r="J143" s="59"/>
      <c r="K143" s="59"/>
      <c r="L143" s="59"/>
      <c r="M143" s="59"/>
      <c r="N143" s="59"/>
      <c r="O143" s="59"/>
      <c r="P143" s="59"/>
      <c r="Q143" s="59"/>
      <c r="R143" s="59"/>
      <c r="S143" s="59"/>
    </row>
    <row r="144" spans="1:19" ht="14.25" customHeight="1">
      <c r="A144" s="59"/>
      <c r="B144" s="59"/>
      <c r="C144" s="59"/>
      <c r="D144" s="59"/>
      <c r="E144" s="59"/>
      <c r="F144" s="59"/>
      <c r="G144" s="59"/>
      <c r="H144" s="59"/>
      <c r="I144" s="59"/>
      <c r="J144" s="59"/>
      <c r="K144" s="59"/>
      <c r="L144" s="59"/>
      <c r="M144" s="59"/>
      <c r="N144" s="59"/>
      <c r="O144" s="59"/>
      <c r="P144" s="59"/>
      <c r="Q144" s="59"/>
      <c r="R144" s="59"/>
      <c r="S144" s="59"/>
    </row>
    <row r="145" spans="1:19" ht="29.1" customHeight="1">
      <c r="A145" s="59"/>
      <c r="B145" s="133" t="s">
        <v>334</v>
      </c>
      <c r="C145" s="133"/>
      <c r="D145" s="133"/>
      <c r="E145" s="133"/>
      <c r="F145" s="133"/>
      <c r="G145" s="133"/>
      <c r="H145" s="133"/>
      <c r="I145" s="59"/>
      <c r="J145" s="59"/>
      <c r="K145" s="59"/>
      <c r="L145" s="59"/>
      <c r="M145" s="59"/>
      <c r="N145" s="59"/>
      <c r="O145" s="59"/>
      <c r="P145" s="59"/>
      <c r="Q145" s="59"/>
      <c r="R145" s="59"/>
      <c r="S145" s="59"/>
    </row>
    <row r="146" spans="1:19" ht="29.1" customHeight="1">
      <c r="A146" s="59"/>
      <c r="B146" s="133"/>
      <c r="C146" s="133"/>
      <c r="D146" s="133"/>
      <c r="E146" s="133"/>
      <c r="F146" s="133"/>
      <c r="G146" s="133"/>
      <c r="H146" s="133"/>
      <c r="I146" s="59"/>
      <c r="J146" s="59"/>
      <c r="K146" s="59"/>
      <c r="L146" s="59"/>
      <c r="M146" s="59"/>
      <c r="N146" s="59"/>
      <c r="O146" s="59"/>
      <c r="P146" s="59"/>
      <c r="Q146" s="59"/>
      <c r="R146" s="59"/>
      <c r="S146" s="59"/>
    </row>
    <row r="147" spans="1:19" ht="29.1" customHeight="1">
      <c r="A147" s="59"/>
      <c r="B147" s="133"/>
      <c r="C147" s="133"/>
      <c r="D147" s="133"/>
      <c r="E147" s="133"/>
      <c r="F147" s="133"/>
      <c r="G147" s="133"/>
      <c r="H147" s="133"/>
      <c r="I147" s="59"/>
      <c r="J147" s="59"/>
      <c r="K147" s="59"/>
      <c r="L147" s="59"/>
      <c r="M147" s="59"/>
      <c r="N147" s="59"/>
      <c r="O147" s="59"/>
      <c r="P147" s="59"/>
      <c r="Q147" s="59"/>
      <c r="R147" s="59"/>
      <c r="S147" s="59"/>
    </row>
    <row r="148" spans="1:19" ht="14.25" customHeight="1">
      <c r="A148" s="59"/>
      <c r="B148" s="59"/>
      <c r="C148" s="59"/>
      <c r="D148" s="59"/>
      <c r="E148" s="59"/>
      <c r="F148" s="59"/>
      <c r="G148" s="59"/>
      <c r="H148" s="59"/>
      <c r="I148" s="59"/>
      <c r="J148" s="59"/>
      <c r="K148" s="59"/>
      <c r="L148" s="59"/>
      <c r="M148" s="59"/>
      <c r="N148" s="59"/>
      <c r="O148" s="59"/>
      <c r="P148" s="59"/>
      <c r="Q148" s="59"/>
      <c r="R148" s="59"/>
      <c r="S148" s="59"/>
    </row>
    <row r="149" spans="1:19" ht="29.1" customHeight="1">
      <c r="A149" s="59"/>
      <c r="B149" s="133" t="s">
        <v>335</v>
      </c>
      <c r="C149" s="133"/>
      <c r="D149" s="133"/>
      <c r="E149" s="133"/>
      <c r="F149" s="133"/>
      <c r="G149" s="133"/>
      <c r="H149" s="133"/>
      <c r="I149" s="59"/>
      <c r="J149" s="59"/>
      <c r="K149" s="59"/>
      <c r="L149" s="59"/>
      <c r="M149" s="59"/>
      <c r="N149" s="59"/>
      <c r="O149" s="59"/>
      <c r="P149" s="59"/>
      <c r="Q149" s="59"/>
      <c r="R149" s="59"/>
      <c r="S149" s="59"/>
    </row>
    <row r="150" spans="1:19" ht="29.1" customHeight="1">
      <c r="A150" s="59"/>
      <c r="B150" s="133"/>
      <c r="C150" s="133"/>
      <c r="D150" s="133"/>
      <c r="E150" s="133"/>
      <c r="F150" s="133"/>
      <c r="G150" s="133"/>
      <c r="H150" s="133"/>
      <c r="I150" s="59"/>
      <c r="J150" s="59"/>
      <c r="K150" s="59"/>
      <c r="L150" s="59"/>
      <c r="M150" s="59"/>
      <c r="N150" s="59"/>
      <c r="O150" s="59"/>
      <c r="P150" s="59"/>
      <c r="Q150" s="59"/>
      <c r="R150" s="59"/>
      <c r="S150" s="59"/>
    </row>
    <row r="151" spans="1:19" ht="29.1" customHeight="1">
      <c r="A151" s="59"/>
      <c r="B151" s="133"/>
      <c r="C151" s="133"/>
      <c r="D151" s="133"/>
      <c r="E151" s="133"/>
      <c r="F151" s="133"/>
      <c r="G151" s="133"/>
      <c r="H151" s="133"/>
      <c r="I151" s="59"/>
      <c r="J151" s="59"/>
      <c r="K151" s="59"/>
      <c r="L151" s="59"/>
      <c r="M151" s="59"/>
      <c r="N151" s="59"/>
      <c r="O151" s="59"/>
      <c r="P151" s="59"/>
      <c r="Q151" s="59"/>
      <c r="R151" s="59"/>
      <c r="S151" s="59"/>
    </row>
    <row r="152" spans="1:19" ht="14.25" customHeight="1">
      <c r="A152" s="59"/>
      <c r="B152" s="59"/>
      <c r="C152" s="59"/>
      <c r="D152" s="59"/>
      <c r="E152" s="59"/>
      <c r="F152" s="59"/>
      <c r="G152" s="59"/>
      <c r="H152" s="59"/>
      <c r="I152" s="59"/>
      <c r="J152" s="59"/>
      <c r="K152" s="59"/>
      <c r="L152" s="59"/>
      <c r="M152" s="59"/>
      <c r="N152" s="59"/>
      <c r="O152" s="59"/>
      <c r="P152" s="59"/>
      <c r="Q152" s="59"/>
      <c r="R152" s="59"/>
      <c r="S152" s="59"/>
    </row>
    <row r="153" spans="1:19" ht="29.1" customHeight="1">
      <c r="A153" s="59"/>
      <c r="B153" s="133" t="s">
        <v>336</v>
      </c>
      <c r="C153" s="133"/>
      <c r="D153" s="133"/>
      <c r="E153" s="133"/>
      <c r="F153" s="133"/>
      <c r="G153" s="133"/>
      <c r="H153" s="133"/>
      <c r="I153" s="59"/>
      <c r="J153" s="59"/>
      <c r="K153" s="59"/>
      <c r="L153" s="59"/>
      <c r="M153" s="59"/>
      <c r="N153" s="59"/>
      <c r="O153" s="59"/>
      <c r="P153" s="59"/>
      <c r="Q153" s="59"/>
      <c r="R153" s="59"/>
      <c r="S153" s="59"/>
    </row>
    <row r="154" spans="1:19" ht="29.1" customHeight="1">
      <c r="A154" s="59"/>
      <c r="B154" s="133"/>
      <c r="C154" s="133"/>
      <c r="D154" s="133"/>
      <c r="E154" s="133"/>
      <c r="F154" s="133"/>
      <c r="G154" s="133"/>
      <c r="H154" s="133"/>
      <c r="I154" s="59"/>
      <c r="J154" s="59"/>
      <c r="K154" s="59"/>
      <c r="L154" s="59"/>
      <c r="M154" s="59"/>
      <c r="N154" s="59"/>
      <c r="O154" s="59"/>
      <c r="P154" s="59"/>
      <c r="Q154" s="59"/>
      <c r="R154" s="59"/>
      <c r="S154" s="59"/>
    </row>
    <row r="155" spans="1:19" ht="29.1" customHeight="1">
      <c r="A155" s="59"/>
      <c r="B155" s="133"/>
      <c r="C155" s="133"/>
      <c r="D155" s="133"/>
      <c r="E155" s="133"/>
      <c r="F155" s="133"/>
      <c r="G155" s="133"/>
      <c r="H155" s="133"/>
      <c r="I155" s="59"/>
      <c r="J155" s="59"/>
      <c r="K155" s="59"/>
      <c r="L155" s="59"/>
      <c r="M155" s="59"/>
      <c r="N155" s="59"/>
      <c r="O155" s="59"/>
      <c r="P155" s="59"/>
      <c r="Q155" s="59"/>
      <c r="R155" s="59"/>
      <c r="S155" s="59"/>
    </row>
    <row r="156" spans="1:19" ht="14.25" customHeight="1">
      <c r="A156" s="59"/>
      <c r="B156" s="59"/>
      <c r="C156" s="59"/>
      <c r="D156" s="59"/>
      <c r="E156" s="59"/>
      <c r="F156" s="59"/>
      <c r="G156" s="59"/>
      <c r="H156" s="59"/>
      <c r="I156" s="59"/>
      <c r="J156" s="59"/>
      <c r="K156" s="59"/>
      <c r="L156" s="59"/>
      <c r="M156" s="59"/>
      <c r="N156" s="59"/>
      <c r="O156" s="59"/>
      <c r="P156" s="59"/>
      <c r="Q156" s="59"/>
      <c r="R156" s="59"/>
      <c r="S156" s="59"/>
    </row>
    <row r="157" spans="1:19" ht="29.1" customHeight="1">
      <c r="A157" s="59"/>
      <c r="B157" s="133" t="s">
        <v>337</v>
      </c>
      <c r="C157" s="133"/>
      <c r="D157" s="133"/>
      <c r="E157" s="133"/>
      <c r="F157" s="133"/>
      <c r="G157" s="133"/>
      <c r="H157" s="133"/>
      <c r="I157" s="59"/>
      <c r="J157" s="59"/>
      <c r="K157" s="59"/>
      <c r="L157" s="59"/>
      <c r="M157" s="59"/>
      <c r="N157" s="59"/>
      <c r="O157" s="59"/>
      <c r="P157" s="59"/>
      <c r="Q157" s="59"/>
      <c r="R157" s="59"/>
      <c r="S157" s="59"/>
    </row>
    <row r="158" spans="1:19" ht="29.1" customHeight="1">
      <c r="A158" s="59"/>
      <c r="B158" s="133"/>
      <c r="C158" s="133"/>
      <c r="D158" s="133"/>
      <c r="E158" s="133"/>
      <c r="F158" s="133"/>
      <c r="G158" s="133"/>
      <c r="H158" s="133"/>
      <c r="I158" s="59"/>
      <c r="J158" s="59"/>
      <c r="K158" s="59"/>
      <c r="L158" s="59"/>
      <c r="M158" s="59"/>
      <c r="N158" s="59"/>
      <c r="O158" s="59"/>
      <c r="P158" s="59"/>
      <c r="Q158" s="59"/>
      <c r="R158" s="59"/>
      <c r="S158" s="59"/>
    </row>
    <row r="159" spans="1:19" ht="29.1" customHeight="1">
      <c r="A159" s="59"/>
      <c r="B159" s="133"/>
      <c r="C159" s="133"/>
      <c r="D159" s="133"/>
      <c r="E159" s="133"/>
      <c r="F159" s="133"/>
      <c r="G159" s="133"/>
      <c r="H159" s="133"/>
      <c r="I159" s="59"/>
      <c r="J159" s="59"/>
      <c r="K159" s="59"/>
      <c r="L159" s="59"/>
      <c r="M159" s="59"/>
      <c r="N159" s="59"/>
      <c r="O159" s="59"/>
      <c r="P159" s="59"/>
      <c r="Q159" s="59"/>
      <c r="R159" s="59"/>
      <c r="S159" s="59"/>
    </row>
    <row r="160" spans="1:19" ht="14.25" customHeight="1">
      <c r="A160" s="59"/>
      <c r="B160" s="59"/>
      <c r="C160" s="59"/>
      <c r="D160" s="59"/>
      <c r="E160" s="59"/>
      <c r="F160" s="59"/>
      <c r="G160" s="59"/>
      <c r="H160" s="59"/>
      <c r="I160" s="59"/>
      <c r="J160" s="59"/>
      <c r="K160" s="59"/>
      <c r="L160" s="59"/>
      <c r="M160" s="59"/>
      <c r="N160" s="59"/>
      <c r="O160" s="59"/>
      <c r="P160" s="59"/>
      <c r="Q160" s="59"/>
      <c r="R160" s="59"/>
      <c r="S160" s="59"/>
    </row>
    <row r="161" spans="1:19" ht="29.1" customHeight="1">
      <c r="A161" s="59"/>
      <c r="B161" s="133" t="s">
        <v>338</v>
      </c>
      <c r="C161" s="133"/>
      <c r="D161" s="133"/>
      <c r="E161" s="133"/>
      <c r="F161" s="133"/>
      <c r="G161" s="133"/>
      <c r="H161" s="133"/>
      <c r="I161" s="59"/>
      <c r="J161" s="59"/>
      <c r="K161" s="59"/>
      <c r="L161" s="59"/>
      <c r="M161" s="59"/>
      <c r="N161" s="59"/>
      <c r="O161" s="59"/>
      <c r="P161" s="59"/>
      <c r="Q161" s="59"/>
      <c r="R161" s="59"/>
      <c r="S161" s="59"/>
    </row>
    <row r="162" spans="1:19" ht="29.1" customHeight="1">
      <c r="A162" s="59"/>
      <c r="B162" s="133"/>
      <c r="C162" s="133"/>
      <c r="D162" s="133"/>
      <c r="E162" s="133"/>
      <c r="F162" s="133"/>
      <c r="G162" s="133"/>
      <c r="H162" s="133"/>
      <c r="I162" s="59"/>
      <c r="J162" s="59"/>
      <c r="K162" s="59"/>
      <c r="L162" s="59"/>
      <c r="M162" s="59"/>
      <c r="N162" s="59"/>
      <c r="O162" s="59"/>
      <c r="P162" s="59"/>
      <c r="Q162" s="59"/>
      <c r="R162" s="59"/>
      <c r="S162" s="59"/>
    </row>
    <row r="163" spans="1:19" ht="29.1" customHeight="1">
      <c r="A163" s="59"/>
      <c r="B163" s="133"/>
      <c r="C163" s="133"/>
      <c r="D163" s="133"/>
      <c r="E163" s="133"/>
      <c r="F163" s="133"/>
      <c r="G163" s="133"/>
      <c r="H163" s="133"/>
      <c r="I163" s="59"/>
      <c r="J163" s="59"/>
      <c r="K163" s="59"/>
      <c r="L163" s="59"/>
      <c r="M163" s="59"/>
      <c r="N163" s="59"/>
      <c r="O163" s="59"/>
      <c r="P163" s="59"/>
      <c r="Q163" s="59"/>
      <c r="R163" s="59"/>
      <c r="S163" s="59"/>
    </row>
    <row r="164" spans="1:19" ht="14.25" customHeight="1">
      <c r="A164" s="59"/>
      <c r="B164" s="59"/>
      <c r="C164" s="59"/>
      <c r="D164" s="59"/>
      <c r="E164" s="59"/>
      <c r="F164" s="59"/>
      <c r="G164" s="59"/>
      <c r="H164" s="59"/>
      <c r="I164" s="59"/>
      <c r="J164" s="59"/>
      <c r="K164" s="59"/>
      <c r="L164" s="59"/>
      <c r="M164" s="59"/>
      <c r="N164" s="59"/>
      <c r="O164" s="59"/>
      <c r="P164" s="59"/>
      <c r="Q164" s="59"/>
      <c r="R164" s="59"/>
      <c r="S164" s="59"/>
    </row>
    <row r="165" spans="1:19" ht="29.1" customHeight="1">
      <c r="A165" s="59"/>
      <c r="B165" s="133" t="s">
        <v>339</v>
      </c>
      <c r="C165" s="133"/>
      <c r="D165" s="133"/>
      <c r="E165" s="133"/>
      <c r="F165" s="133"/>
      <c r="G165" s="133"/>
      <c r="H165" s="133"/>
      <c r="I165" s="59"/>
      <c r="J165" s="59"/>
      <c r="K165" s="59"/>
      <c r="L165" s="59"/>
      <c r="M165" s="59"/>
      <c r="N165" s="59"/>
      <c r="O165" s="59"/>
      <c r="P165" s="59"/>
      <c r="Q165" s="59"/>
      <c r="R165" s="59"/>
      <c r="S165" s="59"/>
    </row>
    <row r="166" spans="1:19" ht="29.1" customHeight="1">
      <c r="A166" s="59"/>
      <c r="B166" s="133"/>
      <c r="C166" s="133"/>
      <c r="D166" s="133"/>
      <c r="E166" s="133"/>
      <c r="F166" s="133"/>
      <c r="G166" s="133"/>
      <c r="H166" s="133"/>
      <c r="I166" s="59"/>
      <c r="J166" s="59"/>
      <c r="K166" s="59"/>
      <c r="L166" s="59"/>
      <c r="M166" s="59"/>
      <c r="N166" s="59"/>
      <c r="O166" s="59"/>
      <c r="P166" s="59"/>
      <c r="Q166" s="59"/>
      <c r="R166" s="59"/>
      <c r="S166" s="59"/>
    </row>
    <row r="167" spans="1:19" ht="29.1" customHeight="1">
      <c r="A167" s="59"/>
      <c r="B167" s="133"/>
      <c r="C167" s="133"/>
      <c r="D167" s="133"/>
      <c r="E167" s="133"/>
      <c r="F167" s="133"/>
      <c r="G167" s="133"/>
      <c r="H167" s="133"/>
      <c r="I167" s="59"/>
      <c r="J167" s="59"/>
      <c r="K167" s="59"/>
      <c r="L167" s="59"/>
      <c r="M167" s="59"/>
      <c r="N167" s="59"/>
      <c r="O167" s="59"/>
      <c r="P167" s="59"/>
      <c r="Q167" s="59"/>
      <c r="R167" s="59"/>
      <c r="S167" s="59"/>
    </row>
  </sheetData>
  <mergeCells count="11">
    <mergeCell ref="B125:H127"/>
    <mergeCell ref="B129:H131"/>
    <mergeCell ref="B133:H135"/>
    <mergeCell ref="B137:H139"/>
    <mergeCell ref="B141:H143"/>
    <mergeCell ref="B165:H167"/>
    <mergeCell ref="B145:H147"/>
    <mergeCell ref="B149:H151"/>
    <mergeCell ref="B153:H155"/>
    <mergeCell ref="B157:H159"/>
    <mergeCell ref="B161:H163"/>
  </mergeCells>
  <dataValidations count="1">
    <dataValidation type="list" error="Enter 1 (Conservative), 2 (Base), or 3 (Optimistic)." prompt="1=Conservative, 2=Base, 3=Optimistic" sqref="D37:D40" xr:uid="{00000000-0002-0000-0900-000000000000}">
      <formula1>"1,2,3"</formula1>
      <formula2>0</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2026-09-14T21:13:07Z</dcterms:created>
  <dcterms:modified xsi:type="dcterms:W3CDTF">2026-09-14T21:24:04Z</dcterms:modified>
  <cp:category/>
  <cp:contentStatus/>
</cp:coreProperties>
</file>