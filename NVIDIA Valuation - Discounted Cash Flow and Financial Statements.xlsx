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8e86df9c034ecb" /></Relationships>
</file>

<file path=xl/workbook.xml><?xml version="1.0" encoding="utf-8"?>
<x:workbook xmlns:x="http://schemas.openxmlformats.org/spreadsheetml/2006/main">
  <x:sheets>
    <x:sheet xmlns:r="http://schemas.openxmlformats.org/officeDocument/2006/relationships" name="Cover Page" sheetId="1" r:id="R91b526d865b640b6"/>
    <x:sheet xmlns:r="http://schemas.openxmlformats.org/officeDocument/2006/relationships" name="Revenue Streams" sheetId="2" r:id="R426e88be3e1b42a1"/>
    <x:sheet xmlns:r="http://schemas.openxmlformats.org/officeDocument/2006/relationships" name="Income Statement" sheetId="3" r:id="Rcc40ad998735476c"/>
    <x:sheet xmlns:r="http://schemas.openxmlformats.org/officeDocument/2006/relationships" name="Balance Sheet" sheetId="4" r:id="Rc101c520340740ba"/>
    <x:sheet xmlns:r="http://schemas.openxmlformats.org/officeDocument/2006/relationships" name="Cash Flow Statement" sheetId="5" r:id="R4b1fa07c5bb24694"/>
    <x:sheet xmlns:r="http://schemas.openxmlformats.org/officeDocument/2006/relationships" name="Working Capital" sheetId="6" r:id="Rf9abe714a50943a4"/>
    <x:sheet xmlns:r="http://schemas.openxmlformats.org/officeDocument/2006/relationships" name="Debt" sheetId="7" r:id="R5bb8de8ce8a34741"/>
    <x:sheet xmlns:r="http://schemas.openxmlformats.org/officeDocument/2006/relationships" name="Fixed Assets" sheetId="8" r:id="R05f33780e8cf478a"/>
    <x:sheet xmlns:r="http://schemas.openxmlformats.org/officeDocument/2006/relationships" name="WACC" sheetId="9" r:id="Rc5b9d79ce3d540c2"/>
    <x:sheet xmlns:r="http://schemas.openxmlformats.org/officeDocument/2006/relationships" name="DCF Valuation" sheetId="10" r:id="R5f627817c9e741ea"/>
    <x:sheet xmlns:r="http://schemas.openxmlformats.org/officeDocument/2006/relationships" name="Valuation Audit" sheetId="11" r:id="R31f0a8b90d4a463e"/>
    <x:sheet xmlns:r="http://schemas.openxmlformats.org/officeDocument/2006/relationships" name="Growth Comparison" sheetId="12" r:id="Radb1fa69f49d49f7"/>
  </x:sheets>
</x:workbook>
</file>

<file path=xl/sharedStrings.xml><?xml version="1.0" encoding="utf-8"?>
<x:sst xmlns:x="http://schemas.openxmlformats.org/spreadsheetml/2006/main">
  <x:si>
    <x:t xml:space="preserve">NVIDIA DCF Valuation Using Financial Statements</x:t>
  </x:si>
  <x:si>
    <x:t xml:space="preserve">Date</x:t>
  </x:si>
  <x:si>
    <x:t xml:space="preserve">November 12, 2025</x:t>
  </x:si>
  <x:si>
    <x:t xml:space="preserve">Prepared By</x:t>
  </x:si>
  <x:si>
    <x:t xml:space="preserve">Braeden Tuazon</x:t>
  </x:si>
  <x:si>
    <x:t xml:space="preserve">Purpose</x:t>
  </x:si>
  <x:si>
    <x:t xml:space="preserve">This model estimates NVIDIA's share value with a discounted cash flow model, or DCF. It uses reported financial statements, forecast assumptions, and market inputs such as WACC, beta, and the risk-free rate.</x:t>
  </x:si>
  <x:si>
    <x:t xml:space="preserve">Data Sources</x:t>
  </x:si>
  <x:si>
    <x:t xml:space="preserve">Sources include NVIDIA SEC filings and earnings releases, the U.S. Treasury, Yahoo Finance, AlphaSpread, ValueInvesting, GuruFocus, TradingView, and model calculations.</x:t>
  </x:si>
  <x:si>
    <x:t xml:space="preserve">Key Valuation Results</x:t>
  </x:si>
  <x:si>
    <x:t xml:space="preserve">Values</x:t>
  </x:si>
  <x:si>
    <x:t xml:space="preserve">Market Share Price</x:t>
  </x:si>
  <x:si>
    <x:t xml:space="preserve">DCF Implied Share Price</x:t>
  </x:si>
  <x:si>
    <x:t xml:space="preserve">Upside Potential</x:t>
  </x:si>
  <x:si>
    <x:t xml:space="preserve">WACC</x:t>
  </x:si>
  <x:si>
    <x:t xml:space="preserve">Terminal Growth Rate</x:t>
  </x:si>
  <x:si>
    <x:t xml:space="preserve">Valuation Date</x:t>
  </x:si>
  <x:si>
    <x:t xml:space="preserve">Key Assumptions Table</x:t>
  </x:si>
  <x:si>
    <x:t xml:space="preserve">Cost of Equity</x:t>
  </x:si>
  <x:si>
    <x:t xml:space="preserve">Beta</x:t>
  </x:si>
  <x:si>
    <x:t xml:space="preserve">Risk-Free Rate</x:t>
  </x:si>
  <x:si>
    <x:t xml:space="preserve">Market Risk Premium</x:t>
  </x:si>
  <x:si>
    <x:t xml:space="preserve">Cost of Debt</x:t>
  </x:si>
  <x:si>
    <x:t xml:space="preserve">Tax Rate</x:t>
  </x:si>
  <x:si>
    <x:t xml:space="preserve">Workbook Tabs Overview</x:t>
  </x:si>
  <x:si>
    <x:t xml:space="preserve">Description</x:t>
  </x:si>
  <x:si>
    <x:t xml:space="preserve">Revenue Streams</x:t>
  </x:si>
  <x:si>
    <x:t xml:space="preserve">Breakdown of NVIDIA's product/service revenue over time</x:t>
  </x:si>
  <x:si>
    <x:t xml:space="preserve">Income Statement</x:t>
  </x:si>
  <x:si>
    <x:t xml:space="preserve">Quarterly income performance including revenue, expenses, and net income</x:t>
  </x:si>
  <x:si>
    <x:t xml:space="preserve">Balance Sheet</x:t>
  </x:si>
  <x:si>
    <x:t xml:space="preserve">Snapshot of assets, liabilities, and equity over time</x:t>
  </x:si>
  <x:si>
    <x:t xml:space="preserve">Cash Flow Statement</x:t>
  </x:si>
  <x:si>
    <x:t xml:space="preserve">Cash inflows/outflows from operations, investing and financing activities</x:t>
  </x:si>
  <x:si>
    <x:t xml:space="preserve">Working Capital</x:t>
  </x:si>
  <x:si>
    <x:t xml:space="preserve">Detailed calculation of current assets and liabilities for forecasting purposes</x:t>
  </x:si>
  <x:si>
    <x:t xml:space="preserve">Debt</x:t>
  </x:si>
  <x:si>
    <x:t xml:space="preserve">NVIDIA's debt levels, interest expense, and cost of debt inputs</x:t>
  </x:si>
  <x:si>
    <x:t xml:space="preserve">Fixed Assets</x:t>
  </x:si>
  <x:si>
    <x:t xml:space="preserve">Capital expenditures, depreciation, and asset base tracking</x:t>
  </x:si>
  <x:si>
    <x:t xml:space="preserve">WACC inputs</x:t>
  </x:si>
  <x:si>
    <x:t xml:space="preserve">The model uses $8,500 million of bond face value and $8,466 million of balance sheet debt. The 2.00 beta and 4.86% market risk premium are model choices. Beta comparisons appear on the WACC tab.</x:t>
  </x:si>
  <x:si>
    <x:t xml:space="preserve">DCF Valuation</x:t>
  </x:si>
  <x:si>
    <x:t xml:space="preserve">Free Cash Flow forecast, terminal value, and intrinsic value estimation</x:t>
  </x:si>
  <x:si>
    <x:t xml:space="preserve">Historical financials</x:t>
  </x:si>
  <x:si>
    <x:t xml:space="preserve">NVIDIA filings through Q2 FY2026, which ended July 27, 2025. These results were public before the November 12, 2025 valuation date. SEC filing: https://www.sec.gov/Archives/edgar/data/1045810/000104581025000209/nvda-20250727.htm</x:t>
  </x:si>
  <x:si>
    <x:t xml:space="preserve">Market data</x:t>
  </x:si>
  <x:si>
    <x:t xml:space="preserve">As of November 12, 2025: NVIDIA closing share price $193.80 and U.S. 10-year Treasury yield 4.08%. Q2 FY2026 share counts: 24,347 million at period end and 24,532 million diluted weighted average.</x:t>
  </x:si>
  <x:si>
    <x:t xml:space="preserve">Forecasts and cutoff</x:t>
  </x:si>
  <x:si>
    <x:t xml:space="preserve">Revenue, margins, equipment spending, and terminal growth are forecasts. NVIDIA released Q3 FY2026 results on November 19, 2025, after the valuation date, so they are not included.</x:t>
  </x:si>
  <x:si>
    <x:t xml:space="preserve">Final audit: interpretation</x:t>
  </x:si>
  <x:si>
    <x:t xml:space="preserve">Historical as-of November 12, 2025 DCF. The share price is an estimate as of that date, not a 2030 price target. Forecasts are analyst scenarios, not company guidance.</x:t>
  </x:si>
  <x:si>
    <x:t xml:space="preserve">Sensitivity correction</x:t>
  </x:si>
  <x:si>
    <x:t xml:space="preserve">Sensitivity formulas now apply the same partial-quarter weighting and cash-flow timing as the main DCF. The centre sensitivity result should match the base DCF when both use the same WACC and terminal growth.</x:t>
  </x:si>
  <x:si>
    <x:t xml:space="preserve">Beta validation limitation</x:t>
  </x:si>
  <x:si>
    <x:t xml:space="preserve">Beta 2.00 retained as original analyst assumption, not independently reproduced from historical return observations. The Henry Fund used 2.36 based on averaged 2-, 3-, 4-, and 5-year betas; its method differs. Source: https://students.tippie.uiowa.edu/sites/students.tippie.uiowa.edu/files/2026-04/f25_NVDA.pdf</x:t>
  </x:si>
  <x:si>
    <x:t xml:space="preserve">Forecast caution</x:t>
  </x:si>
  <x:si>
    <x:t xml:space="preserve">FY2030 growth is set equal to the 3.5% terminal growth rate, making the long-run transition conservative. This is a model assumption, not a published company forecast. Do not interpret the sensitivity range as a probability distribution.</x:t>
  </x:si>
  <x:si>
    <x:t xml:space="preserve">Source validation</x:t>
  </x:si>
  <x:si>
    <x:t xml:space="preserve">NVIDIA Q2 FY2026 report and Q3 revenue guidance: https://investor.nvidia.com/news/press-release-details/2025/NVIDIA-Announces-Financial-Results-for-Second-Quarter-Fiscal-2026/default.aspx ; SEC Q2 10-Q: https://www.sec.gov/Archives/edgar/data/1045810/000104581025000209/nvda-20250727.htm ; Nov 12 2025 10-year yield 4.08%: https://useconomicdata.com/indicators/treasury-10-year/</x:t>
  </x:si>
  <x:si>
    <x:t xml:space="preserve">Publication qualification</x:t>
  </x:si>
  <x:si>
    <x:t xml:space="preserve">Not an investment recommendation. The forecast remains an analyst model and does not represent a verified consensus forecast. Share dilution, stock compensation, reinvestment, and forecast assumptions may materially affect fair value.</x:t>
  </x:si>
  <x:si>
    <x:t xml:space="preserve">($ in millions)</x:t>
  </x:si>
  <x:si>
    <x:t xml:space="preserve">Q1 2020</x:t>
  </x:si>
  <x:si>
    <x:t xml:space="preserve">Q2 2020</x:t>
  </x:si>
  <x:si>
    <x:t xml:space="preserve">Q3 2020</x:t>
  </x:si>
  <x:si>
    <x:t xml:space="preserve">Q4 2020</x:t>
  </x:si>
  <x:si>
    <x:t xml:space="preserve">Q1 2021</x:t>
  </x:si>
  <x:si>
    <x:t xml:space="preserve">Q2 2021</x:t>
  </x:si>
  <x:si>
    <x:t xml:space="preserve">Q3 2021</x:t>
  </x:si>
  <x:si>
    <x:t xml:space="preserve">Q4 2021</x:t>
  </x:si>
  <x:si>
    <x:t xml:space="preserve">Q1 2022</x:t>
  </x:si>
  <x:si>
    <x:t xml:space="preserve">Q2 2022</x:t>
  </x:si>
  <x:si>
    <x:t xml:space="preserve">Q3 2022</x:t>
  </x:si>
  <x:si>
    <x:t xml:space="preserve">Q4 2022</x:t>
  </x:si>
  <x:si>
    <x:t xml:space="preserve">Q1 2023</x:t>
  </x:si>
  <x:si>
    <x:t xml:space="preserve">Q2 2023</x:t>
  </x:si>
  <x:si>
    <x:t xml:space="preserve">Q3 2023</x:t>
  </x:si>
  <x:si>
    <x:t xml:space="preserve">Q4 2023</x:t>
  </x:si>
  <x:si>
    <x:t xml:space="preserve">Q1 2024</x:t>
  </x:si>
  <x:si>
    <x:t xml:space="preserve">Q2 2024</x:t>
  </x:si>
  <x:si>
    <x:t xml:space="preserve">Q3 2024</x:t>
  </x:si>
  <x:si>
    <x:t xml:space="preserve">Q4 2024</x:t>
  </x:si>
  <x:si>
    <x:t xml:space="preserve">Data Center</x:t>
  </x:si>
  <x:si>
    <x:t xml:space="preserve">Gaming</x:t>
  </x:si>
  <x:si>
    <x:t xml:space="preserve">Professional Visualization</x:t>
  </x:si>
  <x:si>
    <x:t xml:space="preserve">Auto</x:t>
  </x:si>
  <x:si>
    <x:t xml:space="preserve">OEM &amp; Other</x:t>
  </x:si>
  <x:si>
    <x:t xml:space="preserve">Total</x:t>
  </x:si>
  <x:si>
    <x:t xml:space="preserve">Q1 2025</x:t>
  </x:si>
  <x:si>
    <x:t xml:space="preserve">Q2 2025</x:t>
  </x:si>
  <x:si>
    <x:t xml:space="preserve">Q3 2025</x:t>
  </x:si>
  <x:si>
    <x:t xml:space="preserve">% change</x:t>
  </x:si>
  <x:si>
    <x:t xml:space="preserve">% of total</x:t>
  </x:si>
  <x:si>
    <x:t xml:space="preserve">Original Equipment Manufacturers</x:t>
  </x:si>
  <x:si>
    <x:t xml:space="preserve">All figures in millions USD (except per-share amounts)</x:t>
  </x:si>
  <x:si>
    <x:t xml:space="preserve">Fiscal Year</x:t>
  </x:si>
  <x:si>
    <x:t xml:space="preserve">Q4 2025</x:t>
  </x:si>
  <x:si>
    <x:t xml:space="preserve">Q1 2026</x:t>
  </x:si>
  <x:si>
    <x:t xml:space="preserve">Q2 2026</x:t>
  </x:si>
  <x:si>
    <x:t xml:space="preserve">Quarterly Date</x:t>
  </x:si>
  <x:si>
    <x:t xml:space="preserve">Revenue</x:t>
  </x:si>
  <x:si>
    <x:t xml:space="preserve">Cost of revenue</x:t>
  </x:si>
  <x:si>
    <x:t xml:space="preserve">Gross profit</x:t>
  </x:si>
  <x:si>
    <x:t xml:space="preserve">Operating Expenses</x:t>
  </x:si>
  <x:si>
    <x:t xml:space="preserve">    Research and development</x:t>
  </x:si>
  <x:si>
    <x:t xml:space="preserve">    Sales, general and administrative</x:t>
  </x:si>
  <x:si>
    <x:t xml:space="preserve">    Acquisition termination cost</x:t>
  </x:si>
  <x:si>
    <x:t xml:space="preserve">—</x:t>
  </x:si>
  <x:si>
    <x:t xml:space="preserve">        Total operating expenses</x:t>
  </x:si>
  <x:si>
    <x:t xml:space="preserve">Operating income</x:t>
  </x:si>
  <x:si>
    <x:t xml:space="preserve">    Interest income</x:t>
  </x:si>
  <x:si>
    <x:t xml:space="preserve">    Interest expense</x:t>
  </x:si>
  <x:si>
    <x:t xml:space="preserve">    Other income (expense), net</x:t>
  </x:si>
  <x:si>
    <x:t xml:space="preserve">        Total other income (expense), net</x:t>
  </x:si>
  <x:si>
    <x:t xml:space="preserve">Income before income tax</x:t>
  </x:si>
  <x:si>
    <x:t xml:space="preserve">Income tax expense</x:t>
  </x:si>
  <x:si>
    <x:t xml:space="preserve">Net income</x:t>
  </x:si>
  <x:si>
    <x:t xml:space="preserve">Net income per share:</x:t>
  </x:si>
  <x:si>
    <x:t xml:space="preserve">Basic</x:t>
  </x:si>
  <x:si>
    <x:t xml:space="preserve">Diluted</x:t>
  </x:si>
  <x:si>
    <x:t xml:space="preserve">Weighted average shares used in per share:</x:t>
  </x:si>
  <x:si>
    <x:t xml:space="preserve">Assets</x:t>
  </x:si>
  <x:si>
    <x:t xml:space="preserve">Current assets:</x:t>
  </x:si>
  <x:si>
    <x:t xml:space="preserve">    Cash and cash equivalents</x:t>
  </x:si>
  <x:si>
    <x:t xml:space="preserve">    Marketable securities</x:t>
  </x:si>
  <x:si>
    <x:t xml:space="preserve">    Accounts receivable, net</x:t>
  </x:si>
  <x:si>
    <x:t xml:space="preserve">    Inventories</x:t>
  </x:si>
  <x:si>
    <x:t xml:space="preserve">    Prepaid expenses and other current assets</x:t>
  </x:si>
  <x:si>
    <x:t xml:space="preserve">Total current assets</x:t>
  </x:si>
  <x:si>
    <x:t xml:space="preserve">    Property and equipment, net</x:t>
  </x:si>
  <x:si>
    <x:t xml:space="preserve">    Operating lease assets</x:t>
  </x:si>
  <x:si>
    <x:t xml:space="preserve">    Goodwill</x:t>
  </x:si>
  <x:si>
    <x:t xml:space="preserve">    Intangible assets, net</x:t>
  </x:si>
  <x:si>
    <x:t xml:space="preserve">    Deferred income tax assets</x:t>
  </x:si>
  <x:si>
    <x:t xml:space="preserve">    Other assets</x:t>
  </x:si>
  <x:si>
    <x:t xml:space="preserve">Total assets</x:t>
  </x:si>
  <x:si>
    <x:t xml:space="preserve">Liabilities and Shareholders' Equity</x:t>
  </x:si>
  <x:si>
    <x:t xml:space="preserve">    Current liabilities:</x:t>
  </x:si>
  <x:si>
    <x:t xml:space="preserve">    Accounts payable</x:t>
  </x:si>
  <x:si>
    <x:t xml:space="preserve">    Accrued and other current liabilities</x:t>
  </x:si>
  <x:si>
    <x:t xml:space="preserve">    Short-term debt</x:t>
  </x:si>
  <x:si>
    <x:t xml:space="preserve">Total current liabilities</x:t>
  </x:si>
  <x:si>
    <x:t xml:space="preserve">    Long-term debt</x:t>
  </x:si>
  <x:si>
    <x:t xml:space="preserve">    Long-term operating lease liabilities</x:t>
  </x:si>
  <x:si>
    <x:t xml:space="preserve">    Other long-term liabilities</x:t>
  </x:si>
  <x:si>
    <x:t xml:space="preserve">Total liabilities</x:t>
  </x:si>
  <x:si>
    <x:t xml:space="preserve">Commitments and Contingencies</x:t>
  </x:si>
  <x:si>
    <x:t xml:space="preserve">Shareholders’ equity</x:t>
  </x:si>
  <x:si>
    <x:t xml:space="preserve">Preferred stock</x:t>
  </x:si>
  <x:si>
    <x:t xml:space="preserve">Common stock</x:t>
  </x:si>
  <x:si>
    <x:t xml:space="preserve">Additional paid-in capital</x:t>
  </x:si>
  <x:si>
    <x:t xml:space="preserve">Accumulated other comprehensive loss</x:t>
  </x:si>
  <x:si>
    <x:t xml:space="preserve">Retained earnings</x:t>
  </x:si>
  <x:si>
    <x:t xml:space="preserve">Total shareholders' equity</x:t>
  </x:si>
  <x:si>
    <x:t xml:space="preserve">Total liabilities and shareholders' equity</x:t>
  </x:si>
  <x:si>
    <x:t xml:space="preserve">Cash flows from operating activities:</x:t>
  </x:si>
  <x:si>
    <x:t xml:space="preserve">Adjustments to reconcile net income to net cash provided by operating activities:</x:t>
  </x:si>
  <x:si>
    <x:t xml:space="preserve">    Stock-based compensation expense</x:t>
  </x:si>
  <x:si>
    <x:t xml:space="preserve">    Depreciation and amortization</x:t>
  </x:si>
  <x:si>
    <x:t xml:space="preserve">    Deferred income taxes</x:t>
  </x:si>
  <x:si>
    <x:t xml:space="preserve">    (Gains) losses on investments in non-affiliates, net</x:t>
  </x:si>
  <x:si>
    <x:t xml:space="preserve">    Other</x:t>
  </x:si>
  <x:si>
    <x:t xml:space="preserve">Changes in operating assets and liabilities, net of acquisitions:</x:t>
  </x:si>
  <x:si>
    <x:t xml:space="preserve">    Accounts receivable</x:t>
  </x:si>
  <x:si>
    <x:t xml:space="preserve">    Prepaid expenses and other assets</x:t>
  </x:si>
  <x:si>
    <x:t xml:space="preserve">Net cash provided by operating activities</x:t>
  </x:si>
  <x:si>
    <x:t xml:space="preserve">Cash flows from investing activities:</x:t>
  </x:si>
  <x:si>
    <x:t xml:space="preserve">    Proceeds from maturities of marketable securities</x:t>
  </x:si>
  <x:si>
    <x:t xml:space="preserve">    Proceeds from sales of marketable securities</x:t>
  </x:si>
  <x:si>
    <x:t xml:space="preserve">    Purchases of marketable securities</x:t>
  </x:si>
  <x:si>
    <x:t xml:space="preserve">    Purchases related to property and equipment and intangible assets</x:t>
  </x:si>
  <x:si>
    <x:t xml:space="preserve">    Investments and other, net</x:t>
  </x:si>
  <x:si>
    <x:t xml:space="preserve">    Acquisitions, net of cash acquired</x:t>
  </x:si>
  <x:si>
    <x:t xml:space="preserve">Net cash used in investing activities</x:t>
  </x:si>
  <x:si>
    <x:t xml:space="preserve">Cash flows from financing activities:</x:t>
  </x:si>
  <x:si>
    <x:t xml:space="preserve">    Issuance of debt, net of issuance costs</x:t>
  </x:si>
  <x:si>
    <x:t xml:space="preserve">    Proceeds related to employee stock plans</x:t>
  </x:si>
  <x:si>
    <x:t xml:space="preserve">    Payments related to repurchases of common stock</x:t>
  </x:si>
  <x:si>
    <x:t xml:space="preserve">    Payments related to tax on restricted stock units</x:t>
  </x:si>
  <x:si>
    <x:t xml:space="preserve">    Dividends paid</x:t>
  </x:si>
  <x:si>
    <x:t xml:space="preserve">    Principal payments on property and equipment</x:t>
  </x:si>
  <x:si>
    <x:t xml:space="preserve">    Repayment of debt</x:t>
  </x:si>
  <x:si>
    <x:t xml:space="preserve">Net cash provided by (used in) financing activities</x:t>
  </x:si>
  <x:si>
    <x:t xml:space="preserve">    Change in cash and cash equivalents</x:t>
  </x:si>
  <x:si>
    <x:t xml:space="preserve">    Cash and cash equivalents at beginning of period</x:t>
  </x:si>
  <x:si>
    <x:t xml:space="preserve">Cash and cash equivalents at end of period</x:t>
  </x:si>
  <x:si>
    <x:t xml:space="preserve">Supplemental disclosures of cash flow information:</x:t>
  </x:si>
  <x:si>
    <x:t xml:space="preserve">Cash paid for income taxes, net</x:t>
  </x:si>
  <x:si>
    <x:t xml:space="preserve">Cash paid for interest</x:t>
  </x:si>
  <x:si>
    <x:t xml:space="preserve">Accumulated Amortization of Intangible Assets</x:t>
  </x:si>
  <x:si>
    <x:t xml:space="preserve">Total Annual</x:t>
  </x:si>
  <x:si>
    <x:t xml:space="preserve">Working Capital Schedule</x:t>
  </x:si>
  <x:si>
    <x:t xml:space="preserve">Historical</x:t>
  </x:si>
  <x:si>
    <x:t xml:space="preserve">Projected</x:t>
  </x:si>
  <x:si>
    <x:t xml:space="preserve">$ in millions</x:t>
  </x:si>
  <x:si>
    <x:t xml:space="preserve">Current assets</x:t>
  </x:si>
  <x:si>
    <x:t xml:space="preserve">Accounts Receivables</x:t>
  </x:si>
  <x:si>
    <x:t xml:space="preserve">Inventories</x:t>
  </x:si>
  <x:si>
    <x:t xml:space="preserve">Prepaid expenses and other current assets</x:t>
  </x:si>
  <x:si>
    <x:t xml:space="preserve">Current liabilities</x:t>
  </x:si>
  <x:si>
    <x:t xml:space="preserve">Accounts Payables</x:t>
  </x:si>
  <x:si>
    <x:t xml:space="preserve">Accrued and other current liabilities</x:t>
  </x:si>
  <x:si>
    <x:t xml:space="preserve">Net Working capital</x:t>
  </x:si>
  <x:si>
    <x:t xml:space="preserve">Changes in working capital</x:t>
  </x:si>
  <x:si>
    <x:t xml:space="preserve">Days Sales Outstanding (DSO)</x:t>
  </x:si>
  <x:si>
    <x:t xml:space="preserve">Days Inventory Outstanding (DIO)</x:t>
  </x:si>
  <x:si>
    <x:t xml:space="preserve">Other current assets (% of revenue)</x:t>
  </x:si>
  <x:si>
    <x:t xml:space="preserve">Days Payable Outstanding (DPO)</x:t>
  </x:si>
  <x:si>
    <x:t xml:space="preserve">(% of operating expenses)</x:t>
  </x:si>
  <x:si>
    <x:t xml:space="preserve">Cash Conversion Cycle (CCC)</x:t>
  </x:si>
  <x:si>
    <x:t xml:space="preserve">Debt Schedule</x:t>
  </x:si>
  <x:si>
    <x:t xml:space="preserve">Opening balance</x:t>
  </x:si>
  <x:si>
    <x:t xml:space="preserve">Add/Less: Debt incurred (repaid)</x:t>
  </x:si>
  <x:si>
    <x:t xml:space="preserve">Closing Balance</x:t>
  </x:si>
  <x:si>
    <x:t xml:space="preserve">Interest Expenses</x:t>
  </x:si>
  <x:si>
    <x:t xml:space="preserve">Net Interest Expenses</x:t>
  </x:si>
  <x:si>
    <x:t xml:space="preserve">Interest rate (pre tax)</x:t>
  </x:si>
  <x:si>
    <x:t xml:space="preserve">What this tab tracks</x:t>
  </x:si>
  <x:si>
    <x:t xml:space="preserve">About NVIDIA's debt
NVIDIA has borrowed money by selling bonds. Each bond has a date when it must be paid back. One bond is due in calendar 2026. This does not mean the model uses a 2026 valuation date. The valuation date is November 12, 2025.</x:t>
  </x:si>
  <x:si>
    <x:t xml:space="preserve">Long-Term Asset Schedule</x:t>
  </x:si>
  <x:si>
    <x:t xml:space="preserve">Property and Equipment Schedule</x:t>
  </x:si>
  <x:si>
    <x:t xml:space="preserve">Add: Net Purchases</x:t>
  </x:si>
  <x:si>
    <x:t xml:space="preserve">Total Fixed Assets</x:t>
  </x:si>
  <x:si>
    <x:t xml:space="preserve">Less: Depreciation</x:t>
  </x:si>
  <x:si>
    <x:t xml:space="preserve">Rate of depreciation</x:t>
  </x:si>
  <x:si>
    <x:t xml:space="preserve">Fixed asset turnover ratio</x:t>
  </x:si>
  <x:si>
    <x:t xml:space="preserve">Other intangible asset schedule</x:t>
  </x:si>
  <x:si>
    <x:t xml:space="preserve">Total Fixed assets</x:t>
  </x:si>
  <x:si>
    <x:t xml:space="preserve">Less: Amortization</x:t>
  </x:si>
  <x:si>
    <x:t xml:space="preserve">Closing balance</x:t>
  </x:si>
  <x:si>
    <x:t xml:space="preserve">Rate of amortization</x:t>
  </x:si>
  <x:si>
    <x:t xml:space="preserve">Equipment and depreciation
This tab estimates spending on equipment and buildings. It also estimates depreciation, which is the drop in value as those assets are used. The forecast uses NVIDIA's recent results. These amounts help calculate free cash flow.</x:t>
  </x:si>
  <x:si>
    <x:t xml:space="preserve">WACC (Weighted Average Cost of Capital)</x:t>
  </x:si>
  <x:si>
    <x:t xml:space="preserve">WACC = (% Equity × Cost of Equity) + (% Debt × Cost of Debt × (1 – Tax Rate))</x:t>
  </x:si>
  <x:si>
    <x:t xml:space="preserve">Cost of Equity = Risk-Free Rate + Company Beta × (Market Return – Risk-Free Rate)</x:t>
  </x:si>
  <x:si>
    <x:t xml:space="preserve">WACC (November 12, 2025)</x:t>
  </x:si>
  <x:si>
    <x:t xml:space="preserve">Market cap</x:t>
  </x:si>
  <x:si>
    <x:t xml:space="preserve">% </x:t>
  </x:si>
  <x:si>
    <x:t xml:space="preserve">Cost of equity</x:t>
  </x:si>
  <x:si>
    <x:t xml:space="preserve">Risk Free rate </x:t>
  </x:si>
  <x:si>
    <x:t xml:space="preserve">%</x:t>
  </x:si>
  <x:si>
    <x:t xml:space="preserve">Cost of debt</x:t>
  </x:si>
  <x:si>
    <x:t xml:space="preserve">Model Risk-Free
Rate</x:t>
  </x:si>
  <x:si>
    <x:t xml:space="preserve">Implied Cost of
Equity</x:t>
  </x:si>
  <x:si>
    <x:t xml:space="preserve">Model Cost of Debt
(After tax)</x:t>
  </x:si>
  <x:si>
    <x:t xml:space="preserve">Source
Beta</x:t>
  </x:si>
  <x:si>
    <x:t xml:space="preserve">Alphaspread</x:t>
  </x:si>
  <x:si>
    <x:t xml:space="preserve">ValueInvesting</x:t>
  </x:si>
  <x:si>
    <x:t xml:space="preserve">Yahoo Finance</x:t>
  </x:si>
  <x:si>
    <x:t xml:space="preserve">GuruFocus</x:t>
  </x:si>
  <x:si>
    <x:t xml:space="preserve">TradingView</x:t>
  </x:si>
  <x:si>
    <x:t xml:space="preserve">Effective
Interest Rate</x:t>
  </x:si>
  <x:si>
    <x:t xml:space="preserve">Notional
Value</x:t>
  </x:si>
  <x:si>
    <x:t xml:space="preserve">Annual Interest</x:t>
  </x:si>
  <x:si>
    <x:t xml:space="preserve">Note due 2026</x:t>
  </x:si>
  <x:si>
    <x:t xml:space="preserve">Note 2028</x:t>
  </x:si>
  <x:si>
    <x:t xml:space="preserve">Note 2030</x:t>
  </x:si>
  <x:si>
    <x:t xml:space="preserve">Note 2031</x:t>
  </x:si>
  <x:si>
    <x:t xml:space="preserve">Note 2040</x:t>
  </x:si>
  <x:si>
    <x:t xml:space="preserve">Note 2050</x:t>
  </x:si>
  <x:si>
    <x:t xml:space="preserve">Note 2060</x:t>
  </x:si>
  <x:si>
    <x:t xml:space="preserve">How this discount rate is built</x:t>
  </x:si>
  <x:si>
    <x:t xml:space="preserve">What WACC means
WACC is the rate used to turn future cash flows into today's value. It reflects the return expected by shareholders and lenders. A higher WACC lowers the DCF value because future cash is worth less today.</x:t>
  </x:si>
  <x:si>
    <x:t xml:space="preserve">Market value
Market value is the share price multiplied by shares outstanding. It is used to find how much of NVIDIA's funding comes from shareholders.</x:t>
  </x:si>
  <x:si>
    <x:t xml:space="preserve">Risk-free rate and beta
The model uses the 4.08% U.S. 10-year Treasury yield from November 12, 2025. Beta shows how much a stock tends to move compared with the market. Websites can use different methods, so their betas can differ. The table keeps the risk-free rate and debt cost the same so only beta changes. The table is for comparison and does not control the WACC above.</x:t>
  </x:si>
  <x:si>
    <x:t xml:space="preserve">Market risk premium
This is the extra return investors expect from stocks instead of safer government bonds. It is an estimate, not a known fact. The model uses 4.86%.</x:t>
  </x:si>
  <x:si>
    <x:t xml:space="preserve">Why the debt numbers differ
The WACC uses NVIDIA's $8.500 billion bond face value to calculate interest cost. The DCF uses the $8.466 billion balance-sheet value. The balance-sheet amount is slightly lower because of accounting adjustments.</x:t>
  </x:si>
  <x:si>
    <x:t xml:space="preserve">Tax rate
Interest can lower taxable income, so debt costs less after tax. The model uses a 17% tax rate based on NVIDIA's guidance available before November 12, 2025.</x:t>
  </x:si>
  <x:si>
    <x:t xml:space="preserve">Discounted Cash Flow</x:t>
  </x:si>
  <x:si>
    <x:t xml:space="preserve">Ticker</x:t>
  </x:si>
  <x:si>
    <x:t xml:space="preserve">NVDA</x:t>
  </x:si>
  <x:si>
    <x:t xml:space="preserve">Implied share price (Nov 12, 2025)</x:t>
  </x:si>
  <x:si>
    <x:t xml:space="preserve">Current share price  (Nov 12, 2025)</x:t>
  </x:si>
  <x:si>
    <x:t xml:space="preserve">Year Start</x:t>
  </x:si>
  <x:si>
    <x:t xml:space="preserve">Implied Gain/Loss</x:t>
  </x:si>
  <x:si>
    <x:t xml:space="preserve">Year End</x:t>
  </x:si>
  <x:si>
    <x:t xml:space="preserve">x</x:t>
  </x:si>
  <x:si>
    <x:t xml:space="preserve">Income Statement (End of January YE)</x:t>
  </x:si>
  <x:si>
    <x:t xml:space="preserve">% growth</x:t>
  </x:si>
  <x:si>
    <x:t xml:space="preserve">Gross Profit</x:t>
  </x:si>
  <x:si>
    <x:t xml:space="preserve">% of revenue</x:t>
  </x:si>
  <x:si>
    <x:t xml:space="preserve">EBIT</x:t>
  </x:si>
  <x:si>
    <x:t xml:space="preserve">Taxes</x:t>
  </x:si>
  <x:si>
    <x:t xml:space="preserve">% of EBIT</x:t>
  </x:si>
  <x:si>
    <x:t xml:space="preserve">Cash Flow Items</x:t>
  </x:si>
  <x:si>
    <x:t xml:space="preserve">D&amp;A</x:t>
  </x:si>
  <x:si>
    <x:t xml:space="preserve">Depreciation</x:t>
  </x:si>
  <x:si>
    <x:t xml:space="preserve">Amortization</x:t>
  </x:si>
  <x:si>
    <x:t xml:space="preserve">CapEx</x:t>
  </x:si>
  <x:si>
    <x:t xml:space="preserve">Change in NWC</x:t>
  </x:si>
  <x:si>
    <x:t xml:space="preserve">% of change in revenue</x:t>
  </x:si>
  <x:si>
    <x:t xml:space="preserve">Assumptions</x:t>
  </x:si>
  <x:si>
    <x:t xml:space="preserve">Scenarios</x:t>
  </x:si>
  <x:si>
    <x:t xml:space="preserve">Scenario 1 - Conservative</x:t>
  </x:si>
  <x:si>
    <x:t xml:space="preserve">Scenario 2 - Base</x:t>
  </x:si>
  <x:si>
    <x:t xml:space="preserve">Scenario 3 - Optimistic</x:t>
  </x:si>
  <x:si>
    <x:t xml:space="preserve">Revenue Growth, FY27 onward (absolute annual rate)</x:t>
  </x:si>
  <x:si>
    <x:t xml:space="preserve">EBIT Margin, FY28 onward (absolute annual rate)</x:t>
  </x:si>
  <x:si>
    <x:t xml:space="preserve">g</x:t>
  </x:si>
  <x:si>
    <x:t xml:space="preserve">Opex % of Revenue</x:t>
  </x:si>
  <x:si>
    <x:t xml:space="preserve"> </x:t>
  </x:si>
  <x:si>
    <x:t xml:space="preserve">Conservative</x:t>
  </x:si>
  <x:si>
    <x:t xml:space="preserve">Base</x:t>
  </x:si>
  <x:si>
    <x:t xml:space="preserve">Optimistic</x:t>
  </x:si>
  <x:si>
    <x:t xml:space="preserve">EBIAT</x:t>
  </x:si>
  <x:si>
    <x:t xml:space="preserve">Unlevered FCF</x:t>
  </x:si>
  <x:si>
    <x:t xml:space="preserve">Present value of Unlevered FCF</x:t>
  </x:si>
  <x:si>
    <x:t xml:space="preserve">Quarter / FY End Date</x:t>
  </x:si>
  <x:si>
    <x:t xml:space="preserve">Period (yrs from val. date, midyear conv.)</x:t>
  </x:si>
  <x:si>
    <x:t xml:space="preserve">Discount factor</x:t>
  </x:si>
  <x:si>
    <x:t xml:space="preserve">Terminal Value</x:t>
  </x:si>
  <x:si>
    <x:t xml:space="preserve">PV of Terminal Value</x:t>
  </x:si>
  <x:si>
    <x:t xml:space="preserve">Enterprise Value</x:t>
  </x:si>
  <x:si>
    <x:t xml:space="preserve">(+) Cash</x:t>
  </x:si>
  <x:si>
    <x:t xml:space="preserve">(-) Debt</x:t>
  </x:si>
  <x:si>
    <x:t xml:space="preserve">Equity Value</x:t>
  </x:si>
  <x:si>
    <x:t xml:space="preserve">Diluted Weighted-Avg Shares (mm) - NOT basic shares outstanding</x:t>
  </x:si>
  <x:si>
    <x:t xml:space="preserve">Implied Stock Price</x:t>
  </x:si>
  <x:si>
    <x:t xml:space="preserve">Forecast Support Assumptions and Linked Schedules</x:t>
  </x:si>
  <x:si>
    <x:t xml:space="preserve">D&amp;A % of revenue (trailing 4Q actual avg)</x:t>
  </x:si>
  <x:si>
    <x:t xml:space="preserve">CapEx % of revenue (trailing 4Q actual avg)</x:t>
  </x:si>
  <x:si>
    <x:t xml:space="preserve">NWC % of revenue (FY2028 ending balance)</x:t>
  </x:si>
  <x:si>
    <x:t xml:space="preserve">Amortization run-rate ($mm/qtr, held flat at last actual)</x:t>
  </x:si>
  <x:si>
    <x:t xml:space="preserve">PP&amp;E Roll-Forward Check (Opening + CapEx - Depreciation = Closing; must stay positive)</x:t>
  </x:si>
  <x:si>
    <x:t xml:space="preserve">Opening PP&amp;E, net</x:t>
  </x:si>
  <x:si>
    <x:t xml:space="preserve">(+) CapEx</x:t>
  </x:si>
  <x:si>
    <x:t xml:space="preserve">(-) Depreciation</x:t>
  </x:si>
  <x:si>
    <x:t xml:space="preserve">Closing PP&amp;E, net</x:t>
  </x:si>
  <x:si>
    <x:t xml:space="preserve">Sensitivity: Implied Share Price by WACC (rows) x Terminal Growth (columns)</x:t>
  </x:si>
  <x:si>
    <x:t xml:space="preserve">WACC \ g</x:t>
  </x:si>
  <x:si>
    <x:t xml:space="preserve">Each sensitivity result runs the full DCF again using the WACC and growth rate shown for that cell. It is not a copied value.</x:t>
  </x:si>
  <x:si>
    <x:t xml:space="preserve">Exit-Multiple Cross-Check (vs. Perpetuity-Growth Terminal Value)</x:t>
  </x:si>
  <x:si>
    <x:t xml:space="preserve">FY2030 EBITDA (EBIT + D&amp;A)</x:t>
  </x:si>
  <x:si>
    <x:t xml:space="preserve">Implied exit multiple from perpetuity-growth TV</x:t>
  </x:si>
  <x:si>
    <x:t xml:space="preserve">Assumed exit EV/EBITDA multiple (cross-check input)</x:t>
  </x:si>
  <x:si>
    <x:t xml:space="preserve">Terminal value under exit multiple</x:t>
  </x:si>
  <x:si>
    <x:t xml:space="preserve">PV of exit-multiple terminal value</x:t>
  </x:si>
  <x:si>
    <x:t xml:space="preserve">Implied share price under exit-multiple method</x:t>
  </x:si>
  <x:si>
    <x:t xml:space="preserve">vs. perpetuity-growth implied share price (base case)</x:t>
  </x:si>
  <x:si>
    <x:t xml:space="preserve">How to read this valuation</x:t>
  </x:si>
  <x:si>
    <x:t xml:space="preserve">What a DCF does
A DCF estimates what a company is worth today from the cash it may earn in the future. Future cash is worth less than cash received today, so the model reduces each future amount to today's value.</x:t>
  </x:si>
  <x:si>
    <x:t xml:space="preserve">Why the dates matter
Each forecast column is one fiscal quarter. The date row shows when that quarter ends. The model uses these dates to measure how far each cash flow is from November 12, 2025.</x:t>
  </x:si>
  <x:si>
    <x:t xml:space="preserve">Turning future cash into today's value
Each future cash flow is multiplied by a discount factor. Cash that is farther away, or uses a higher WACC, has a lower value today.</x:t>
  </x:si>
  <x:si>
    <x:t xml:space="preserve">Equipment and working capital
Equipment spending and depreciation use NVIDIA's recent results. Working capital links to the detailed schedule through fiscal 2028. Fiscal 2029 and 2030 use the fiscal 2028 working-capital ratio.</x:t>
  </x:si>
  <x:si>
    <x:t xml:space="preserve">Equipment balance check
The model starts with NVIDIA's equipment balance, adds new spending, and subtracts depreciation. The balance must stay above zero.</x:t>
  </x:si>
  <x:si>
    <x:t xml:space="preserve">Final forecast years
Fiscal 2029 and 2030 start from the last detailed forecast year. Growth then slows toward a rate that is easier to maintain over time.</x:t>
  </x:si>
  <x:si>
    <x:t xml:space="preserve">Why growth slows
Fast growth cannot last forever. In every scenario, growth slowly moves toward a long-term rate by the end of the forecast.</x:t>
  </x:si>
  <x:si>
    <x:t xml:space="preserve">Choosing a scenario
Use the dropdown menus to choose conservative, base, or optimistic assumptions. This shows how different views of revenue growth and profit margins change the estimated share value.</x:t>
  </x:si>
  <x:si>
    <x:t xml:space="preserve">From company value to share value
The DCF first finds the value of NVIDIA's operations. It then adds cash, subtracts debt, and divides by diluted shares to estimate a value per share.</x:t>
  </x:si>
  <x:si>
    <x:t xml:space="preserve">Why the sensitivity table matters
WACC and long-term growth are estimates. The table shows how the share value changes when either assumption changes.</x:t>
  </x:si>
  <x:si>
    <x:t xml:space="preserve">Second valuation check
The exit-multiple method gives another estimate of long-term value. It uses a multiple of fiscal 2030 EBITDA. Comparing it with the main DCF shows how much the result depends on the final-value method.</x:t>
  </x:si>
  <x:si>
    <x:t xml:space="preserve">NVIDIA DCF | Independent Audit</x:t>
  </x:si>
  <x:si>
    <x:t xml:space="preserve">As-of November 12, 2025; USD millions unless per share</x:t>
  </x:si>
  <x:si>
    <x:t xml:space="preserve">Item</x:t>
  </x:si>
  <x:si>
    <x:t xml:space="preserve">Result / assessment</x:t>
  </x:si>
  <x:si>
    <x:t xml:space="preserve">Existing model intrinsic value</x:t>
  </x:si>
  <x:si>
    <x:t xml:space="preserve">Independent DCF check</x:t>
  </x:si>
  <x:si>
    <x:t xml:space="preserve">Independent value per share</x:t>
  </x:si>
  <x:si>
    <x:t xml:space="preserve">Difference versus model</x:t>
  </x:si>
  <x:si>
    <x:t xml:space="preserve">Key assumption</x:t>
  </x:si>
  <x:si>
    <x:t xml:space="preserve">Current input</x:t>
  </x:si>
  <x:si>
    <x:t xml:space="preserve">Terminal growth</x:t>
  </x:si>
  <x:si>
    <x:t xml:space="preserve">Risk-free rate</x:t>
  </x:si>
  <x:si>
    <x:t xml:space="preserve">FY2030 revenue (millions)</x:t>
  </x:si>
  <x:si>
    <x:t xml:space="preserve">FY2030 free cash flow (millions)</x:t>
  </x:si>
  <x:si>
    <x:t xml:space="preserve">Assessment</x:t>
  </x:si>
  <x:si>
    <x:t xml:space="preserve">The model is internally coherent at its own assumptions. Forecasts are not independently established facts.</x:t>
  </x:si>
  <x:si>
    <x:t xml:space="preserve">Validation</x:t>
  </x:si>
  <x:si>
    <x:t xml:space="preserve">Q2 FY2026 revenue $46,743m and Q3 FY2026 guidance $54,000m verified against NVIDIA Aug 27 2025 earnings release.</x:t>
  </x:si>
  <x:si>
    <x:t xml:space="preserve">Shares outstanding: Aug 22 2025 SEC 10-Q states 24.3 billion; model uses 24.532 billion. Different dates / diluted convention; needs dated justification.</x:t>
  </x:si>
  <x:si>
    <x:t xml:space="preserve">Limitation</x:t>
  </x:si>
  <x:si>
    <x:t xml:space="preserve">Beta 2.00 not independently reconstructed from dated stock returns. Equity risk premium 4.86% is an assumption.</x:t>
  </x:si>
  <x:si>
    <x:t xml:space="preserve">Risk-free rate 4.08% requires same-date 10-year constant maturity confirmation; 10-year auction yield is not identical.</x:t>
  </x:si>
  <x:si>
    <x:t xml:space="preserve">FY2030 revenue growth 3.5% reflects the model's conservative terminal transition, not company guidance.</x:t>
  </x:si>
  <x:si>
    <x:t xml:space="preserve">Historical balance sheet and cash flow line items have not all been independently tied to SEC XBRL. Do not describe as audited.</x:t>
  </x:si>
  <x:si>
    <x:t xml:space="preserve">Sensitivity (value/share)</x:t>
  </x:si>
  <x:si>
    <x:t xml:space="preserve">Sources</x:t>
  </x:si>
  <x:si>
    <x:t xml:space="preserve">URLs / notes</x:t>
  </x:si>
  <x:si>
    <x:t xml:space="preserve">NVIDIA Q2 FY2026</x:t>
  </x:si>
  <x:si>
    <x:t xml:space="preserve">https://investor.nvidia.com/news/press-release-details/2025/NVIDIA-Announces-Financial-Results-for-Second-Quarter-Fiscal-2026/default.aspx</x:t>
  </x:si>
  <x:si>
    <x:t xml:space="preserve">NVIDIA SEC 10-Q</x:t>
  </x:si>
  <x:si>
    <x:t xml:space="preserve">https://www.sec.gov/Archives/edgar/data/1045810/000104581025000209/nvda-20250727.htm</x:t>
  </x:si>
  <x:si>
    <x:t xml:space="preserve">Treasury reference</x:t>
  </x:si>
  <x:si>
    <x:t xml:space="preserve">https://home.treasury.gov/resource-center/data-chart-center/interest-rates</x:t>
  </x:si>
  <x:si>
    <x:t xml:space="preserve">Independent comparison</x:t>
  </x:si>
  <x:si>
    <x:t xml:space="preserve">https://acquirersmultiple.com/2025/11/nvidia-corporation-nvda-our-calculation-of-intrinsic-value-2/ (published AFTER valuation date; contextual only)</x:t>
  </x:si>
  <x:si>
    <x:t xml:space="preserve">PUBLICATION REVIEW — 22 OCT 2026</x:t>
  </x:si>
  <x:si>
    <x:t xml:space="preserve">Historical as-of 12 Nov 2025; do not use later results</x:t>
  </x:si>
  <x:si>
    <x:t xml:space="preserve">Final publication decision</x:t>
  </x:si>
  <x:si>
    <x:t xml:space="preserve">NOT CERTIFIED: historical financial statements and beta remain unverified</x:t>
  </x:si>
  <x:si>
    <x:t xml:space="preserve">Market price 12 Nov 2025</x:t>
  </x:si>
  <x:si>
    <x:t xml:space="preserve">Discount to market</x:t>
  </x:si>
  <x:si>
    <x:t xml:space="preserve">Implied terminal share of enterprise value</x:t>
  </x:si>
  <x:si>
    <x:t xml:space="preserve">FY2030 FCF / revenue</x:t>
  </x:si>
  <x:si>
    <x:t xml:space="preserve">Share-count convention</x:t>
  </x:si>
  <x:si>
    <x:t xml:space="preserve">Model uses 24.532bn; SEC reports 24.3bn shares outstanding Aug 22. Different dates/conventions; confirm diluted vs basic.</x:t>
  </x:si>
  <x:si>
    <x:t xml:space="preserve">Risk-free-rate validation</x:t>
  </x:si>
  <x:si>
    <x:t xml:space="preserve">4.08% model assumption; independent Nov 12 Treasury series value not yet verified.</x:t>
  </x:si>
  <x:si>
    <x:t xml:space="preserve">Equity risk premium validation</x:t>
  </x:si>
  <x:si>
    <x:t xml:space="preserve">4.86% model assumption; no verified dated source. Damodaran Sep 2025 implied ERP was 4.01%, an alternative not interchangeable without methodology.</x:t>
  </x:si>
  <x:si>
    <x:t xml:space="preserve">Beta validation</x:t>
  </x:si>
  <x:si>
    <x:t xml:space="preserve">2.00 is an assumption, not an independently estimated regression beta. Cannot certify until historical return series and benchmark are obtained.</x:t>
  </x:si>
  <x:si>
    <x:t xml:space="preserve">Revenue forecast validation</x:t>
  </x:si>
  <x:si>
    <x:t xml:space="preserve">FY2030 revenue $377bn and ~3.5% terminal convergence are discretionary scenarios, not management guidance.</x:t>
  </x:si>
  <x:si>
    <x:t xml:space="preserve">Financial statements validation</x:t>
  </x:si>
  <x:si>
    <x:t xml:space="preserve">Market price source</x:t>
  </x:si>
  <x:si>
    <x:t xml:space="preserve">https://finance.yahoo.com/quote/NVDA/history/</x:t>
  </x:si>
  <x:si>
    <x:t xml:space="preserve">SEC source</x:t>
  </x:si>
  <x:si>
    <x:t xml:space="preserve">ERP source</x:t>
  </x:si>
  <x:si>
    <x:t xml:space="preserve">https://aswathdamodaran.blogspot.com/2025/</x:t>
  </x:si>
  <x:si>
    <x:t xml:space="preserve">Model interpretation</x:t>
  </x:si>
  <x:si>
    <x:t xml:space="preserve">A low value is driven by assumed growth slowdown and discounting; it is NOT proof of mispricing.</x:t>
  </x:si>
  <x:si>
    <x:t xml:space="preserve">Final verification needed</x:t>
  </x:si>
  <x:si>
    <x:t xml:space="preserve">Independently tie every historical source, recalculate beta and ERP, then document scenarios before publication.</x:t>
  </x:si>
</x:sst>
</file>

<file path=xl/styles.xml><?xml version="1.0" encoding="utf-8"?>
<x:styleSheet xmlns:x="http://schemas.openxmlformats.org/spreadsheetml/2006/main">
  <x:numFmts count="25">
    <x:numFmt numFmtId="42" formatCode="_-&quot;$&quot;* #,##0_-;\-&quot;$&quot;* #,##0_-;_-&quot;$&quot;* &quot;-&quot;_-;_-@_-"/>
    <x:numFmt numFmtId="41" formatCode="_-* #,##0_-;\-* #,##0_-;_-* &quot;-&quot;_-;_-@_-"/>
    <x:numFmt numFmtId="44" formatCode="_-&quot;$&quot;* #,##0.00_-;\-&quot;$&quot;* #,##0.00_-;_-&quot;$&quot;* &quot;-&quot;??_-;_-@_-"/>
    <x:numFmt numFmtId="43" formatCode="_-* #,##0.00_-;\-* #,##0.00_-;_-* &quot;-&quot;??_-;_-@_-"/>
    <x:numFmt numFmtId="164" formatCode="_(* #,##0.00_);_(* \(#,##0.00\);_(* \-??_);_(@_)"/>
    <x:numFmt numFmtId="165" formatCode="_(\$* #,##0.00_);_(\$* \(#,##0.00\);_(\$* \-??_);_(@_)"/>
    <x:numFmt numFmtId="166" formatCode="d\-mmm\-yy"/>
    <x:numFmt numFmtId="167" formatCode="\$#,##0.00"/>
    <x:numFmt numFmtId="168" formatCode="0.0%"/>
    <x:numFmt numFmtId="169" formatCode="_ * #,##0_)_ ;_ * \(#,##0\)_ ;_ * \-??_)_ ;_ @_ "/>
    <x:numFmt numFmtId="170" formatCode="m/d/yyyy"/>
    <x:numFmt numFmtId="171" formatCode="0_);\(0\)"/>
    <x:numFmt numFmtId="172" formatCode="#,##0_);\(#,##0\)"/>
    <x:numFmt numFmtId="173" formatCode="0.0"/>
    <x:numFmt numFmtId="174" formatCode="#,##0.0_);\(#,##0.0\)"/>
    <x:numFmt numFmtId="175" formatCode="0.0000%"/>
    <x:numFmt numFmtId="176" formatCode="[$$-409]#,##0.0_);\([$$-409]#,##0.0\)"/>
    <x:numFmt numFmtId="177" formatCode="d\ mmm\ yyyy;@"/>
    <x:numFmt numFmtId="178" formatCode="mm/dd/yyyy"/>
    <x:numFmt numFmtId="179" formatCode="[$$-409]#,##0_);\([$$-409]#,##0\)"/>
    <x:numFmt numFmtId="180" formatCode="\$0.00"/>
    <x:numFmt numFmtId="181" formatCode="0.0\x"/>
    <x:numFmt numFmtId="200" formatCode="#,##0.00"/>
    <x:numFmt numFmtId="201" formatCode="0.00%"/>
    <x:numFmt numFmtId="202" formatCode="$0.00"/>
  </x:numFmts>
  <x:fonts count="28">
    <x:font>
      <x:sz val="11"/>
      <x:color theme="1"/>
      <x:name val="Calibri"/>
    </x:font>
    <x:font>
      <x:sz val="10"/>
      <x:name val="Arial"/>
    </x:font>
    <x:font>
      <x:sz val="10"/>
      <x:name val="Arial"/>
    </x:font>
    <x:font>
      <x:b/>
      <x:sz val="20"/>
      <x:color theme="1"/>
      <x:name val="Calibri"/>
    </x:font>
    <x:font>
      <x:b/>
      <x:sz val="11"/>
      <x:color theme="1"/>
      <x:name val="Calibri"/>
    </x:font>
    <x:font>
      <x:sz val="20"/>
      <x:color theme="1"/>
      <x:name val="Calibri"/>
    </x:font>
    <x:font>
      <x:b/>
      <x:sz val="11"/>
      <x:color theme="0"/>
      <x:name val="Calibri"/>
    </x:font>
    <x:font>
      <x:i/>
      <x:sz val="11"/>
      <x:color theme="1"/>
      <x:name val="Calibri"/>
    </x:font>
    <x:font>
      <x:b/>
      <x:sz val="11"/>
      <x:color theme="1"/>
      <x:name val="Calibri"/>
    </x:font>
    <x:font>
      <x:sz val="11"/>
      <x:name val="Calibri"/>
    </x:font>
    <x:font>
      <x:b/>
      <x:sz val="11"/>
      <x:name val="Calibri"/>
    </x:font>
    <x:font>
      <x:b/>
      <x:sz val="19"/>
      <x:color theme="1"/>
      <x:name val="Calibri"/>
    </x:font>
    <x:font>
      <x:sz val="11"/>
      <x:color theme="0"/>
      <x:name val="Calibri"/>
    </x:font>
    <x:font>
      <x:sz val="9"/>
      <x:color rgb="FF6B5300"/>
      <x:name val="Cambria"/>
    </x:font>
    <x:font>
      <x:sz val="11"/>
      <x:name val="Cambria"/>
    </x:font>
    <x:font>
      <x:b/>
      <x:sz val="12"/>
      <x:name val="Cambria"/>
    </x:font>
    <x:font>
      <x:b/>
      <x:sz val="14"/>
      <x:color theme="1"/>
      <x:name val="Calibri"/>
    </x:font>
    <x:font>
      <x:sz val="11"/>
      <x:color rgb="FFFF0000"/>
      <x:name val="Calibri"/>
    </x:font>
    <x:font>
      <x:b/>
      <x:sz val="12"/>
      <x:color theme="1"/>
      <x:name val="Calibri"/>
    </x:font>
    <x:font>
      <x:sz val="10"/>
      <x:color theme="1"/>
      <x:name val="Calibri"/>
    </x:font>
    <x:font>
      <x:sz val="11"/>
      <x:color rgb="FF7030A0"/>
      <x:name val="Calibri"/>
    </x:font>
    <x:font>
      <x:sz val="11"/>
      <x:color rgb="FF000000"/>
      <x:name val="Calibri"/>
    </x:font>
    <x:font>
      <x:b/>
      <x:sz val="11"/>
      <x:color rgb="FF000000"/>
      <x:name val="Calibri"/>
    </x:font>
    <x:font>
      <x:sz val="10"/>
      <x:color rgb="FF333333"/>
      <x:name val="Cambria"/>
    </x:font>
    <x:font>
      <x:sz val="11"/>
      <x:color theme="1"/>
      <x:name val="Calibri"/>
    </x:font>
    <x:font>
      <x:sz val="11"/>
      <x:color theme="10"/>
      <x:name val="Calibri"/>
    </x:font>
    <x:font>
      <x:b/>
      <x:sz val="11"/>
      <x:color rgb="FFFFFFFF"/>
      <x:name val="Calibri"/>
    </x:font>
    <x:font>
      <x:sz val="11"/>
      <x:color rgb="FFFFFFFF"/>
      <x:name val="Calibri"/>
    </x:font>
  </x:fonts>
  <x:fills count="12">
    <x:fill>
      <x:patternFill patternType="none"/>
    </x:fill>
    <x:fill>
      <x:patternFill patternType="gray125"/>
    </x:fill>
    <x:fill>
      <x:patternFill patternType="solid">
        <x:fgColor theme="3" tint="-0.24998"/>
      </x:patternFill>
    </x:fill>
    <x:fill>
      <x:patternFill patternType="solid">
        <x:fgColor theme="5" tint="-0.24998"/>
      </x:patternFill>
    </x:fill>
    <x:fill>
      <x:patternFill patternType="solid">
        <x:fgColor theme="5" tint="0.39976"/>
      </x:patternFill>
    </x:fill>
    <x:fill>
      <x:patternFill patternType="solid">
        <x:fgColor theme="0"/>
      </x:patternFill>
    </x:fill>
    <x:fill>
      <x:patternFill patternType="solid">
        <x:fgColor theme="7" tint="0.7998"/>
      </x:patternFill>
    </x:fill>
    <x:fill>
      <x:patternFill patternType="solid">
        <x:fgColor rgb="FFFFF2CC"/>
      </x:patternFill>
    </x:fill>
    <x:fill>
      <x:patternFill patternType="solid">
        <x:fgColor rgb="FF15324D"/>
      </x:patternFill>
    </x:fill>
    <x:fill>
      <x:patternFill patternType="solid">
        <x:fgColor rgb="FFDDE9F2"/>
      </x:patternFill>
    </x:fill>
    <x:fill>
      <x:patternFill patternType="solid">
        <x:fgColor rgb="FF142B49"/>
      </x:patternFill>
    </x:fill>
    <x:fill>
      <x:patternFill patternType="solid">
        <x:fgColor rgb="FFDCEAF6"/>
      </x:patternFill>
    </x:fill>
  </x:fills>
  <x:borders count="11">
    <x:border/>
    <x:border>
      <x:bottom style="thin">
        <x:color auto="1"/>
      </x:bottom>
    </x:border>
    <x:border>
      <x:top style="thin">
        <x:color auto="1"/>
      </x:top>
    </x:border>
    <x:border>
      <x:left style="thin">
        <x:color rgb="FFD9B84A"/>
      </x:left>
      <x:right style="thin">
        <x:color rgb="FFD9B84A"/>
      </x:right>
      <x:top style="thin">
        <x:color rgb="FFD9B84A"/>
      </x:top>
      <x:bottom style="thin">
        <x:color rgb="FFD9B84A"/>
      </x:bottom>
    </x:border>
    <x:border>
      <x:left style="thin">
        <x:color auto="1"/>
      </x:left>
      <x:top style="thin">
        <x:color auto="1"/>
      </x:top>
    </x:border>
    <x:border>
      <x:left style="thin">
        <x:color auto="1"/>
      </x:left>
    </x:border>
    <x:border>
      <x:left style="thin">
        <x:color auto="1"/>
      </x:left>
      <x:bottom style="thin">
        <x:color auto="1"/>
      </x:bottom>
    </x:border>
    <x:border>
      <x:left style="hair">
        <x:color auto="1"/>
      </x:left>
      <x:right style="hair">
        <x:color auto="1"/>
      </x:right>
      <x:top style="hair">
        <x:color auto="1"/>
      </x:top>
      <x:bottom style="hair">
        <x:color auto="1"/>
      </x:bottom>
    </x:border>
    <x:border>
      <x:top style="thin">
        <x:color auto="1"/>
      </x:top>
      <x:bottom style="thin">
        <x:color auto="1"/>
      </x:bottom>
    </x:border>
    <x:border>
      <x:right style="thin">
        <x:color auto="1"/>
      </x:right>
      <x:top style="thin">
        <x:color auto="1"/>
      </x:top>
    </x:border>
    <x:border>
      <x:right style="thin">
        <x:color auto="1"/>
      </x:right>
      <x:bottom style="thin">
        <x:color auto="1"/>
      </x:bottom>
    </x:border>
  </x:borders>
  <x:cellStyleXfs count="10">
    <x:xf numFmtId="0" fontId="0" fillId="0" borderId="0"/>
    <x:xf numFmtId="0" fontId="25" fillId="0" borderId="0" applyNumberFormat="0" applyFill="0" applyBorder="0" applyAlignment="0" applyProtection="0"/>
    <x:xf numFmtId="43" fontId="1" fillId="0" borderId="0" applyBorder="0" applyAlignment="0" applyProtection="0"/>
    <x:xf numFmtId="41" fontId="1" fillId="0" borderId="0" applyBorder="0" applyAlignment="0" applyProtection="0"/>
    <x:xf numFmtId="44" fontId="1" fillId="0" borderId="0" applyBorder="0" applyAlignment="0" applyProtection="0"/>
    <x:xf numFmtId="42" fontId="1" fillId="0" borderId="0" applyBorder="0" applyAlignment="0" applyProtection="0"/>
    <x:xf numFmtId="9" fontId="1" fillId="0" borderId="0" applyBorder="0" applyAlignment="0" applyProtection="0"/>
    <x:xf numFmtId="164" fontId="24" fillId="0" borderId="0"/>
    <x:xf numFmtId="165" fontId="24" fillId="0" borderId="0"/>
    <x:xf numFmtId="0" fontId="2" fillId="0" borderId="0">
      <x:alignment vertical="top"/>
    </x:xf>
  </x:cellStyleXfs>
  <x:cellXfs count="325">
    <x:xf numFmtId="0" fontId="0" fillId="0" borderId="0" xfId="0"/>
    <x:xf numFmtId="0" fontId="0" fillId="0" borderId="0" xfId="0" applyAlignment="1">
      <x:alignment horizontal="center"/>
    </x:xf>
    <x:xf numFmtId="0" fontId="8" fillId="0" borderId="0" xfId="0" applyFont="1" applyAlignment="1">
      <x:alignment horizontal="center"/>
    </x:xf>
    <x:xf numFmtId="0" fontId="4" fillId="0" borderId="0" xfId="0" applyFont="1"/>
    <x:xf numFmtId="166" fontId="0" fillId="0" borderId="0" xfId="0" applyNumberFormat="1"/>
    <x:xf numFmtId="0" fontId="4" fillId="0" borderId="0" xfId="0" applyFont="1" applyAlignment="1">
      <x:alignment vertical="top"/>
    </x:xf>
    <x:xf numFmtId="0" fontId="0" fillId="0" borderId="0" xfId="0" applyAlignment="1">
      <x:alignment vertical="top" wrapText="1"/>
    </x:xf>
    <x:xf numFmtId="167" fontId="0" fillId="0" borderId="0" xfId="0" applyNumberFormat="1" applyAlignment="1">
      <x:alignment horizontal="left"/>
    </x:xf>
    <x:xf numFmtId="9" fontId="0" fillId="0" borderId="0" xfId="0" applyNumberFormat="1" applyAlignment="1">
      <x:alignment horizontal="left"/>
    </x:xf>
    <x:xf numFmtId="10" fontId="0" fillId="0" borderId="0" xfId="0" applyNumberFormat="1" applyAlignment="1">
      <x:alignment horizontal="left"/>
    </x:xf>
    <x:xf numFmtId="168" fontId="0" fillId="0" borderId="0" xfId="0" applyNumberFormat="1" applyAlignment="1">
      <x:alignment horizontal="left"/>
    </x:xf>
    <x:xf numFmtId="0" fontId="0" fillId="0" borderId="0" xfId="0" applyAlignment="1">
      <x:alignment horizontal="left"/>
    </x:xf>
    <x:xf numFmtId="10" fontId="4" fillId="0" borderId="0" xfId="0" applyNumberFormat="1" applyFont="1" applyAlignment="1">
      <x:alignment horizontal="left"/>
    </x:xf>
    <x:xf numFmtId="2" fontId="0" fillId="0" borderId="0" xfId="0" applyNumberFormat="1" applyAlignment="1">
      <x:alignment horizontal="left"/>
    </x:xf>
    <x:xf numFmtId="0" fontId="0" fillId="0" borderId="0" xfId="0" applyAlignment="1">
      <x:alignment wrapText="1"/>
    </x:xf>
    <x:xf numFmtId="0" fontId="3" fillId="0" borderId="0" xfId="0" applyFont="1"/>
    <x:xf numFmtId="0" fontId="5" fillId="0" borderId="0" xfId="0" applyFont="1"/>
    <x:xf numFmtId="169" fontId="0" fillId="0" borderId="0" xfId="0" applyNumberFormat="1" applyAlignment="1">
      <x:alignment horizontal="right"/>
    </x:xf>
    <x:xf numFmtId="169" fontId="0" fillId="0" borderId="0" xfId="0" applyNumberFormat="1" applyAlignment="1">
      <x:alignment horizontal="center"/>
    </x:xf>
    <x:xf numFmtId="0" fontId="6" fillId="2" borderId="0" xfId="0" applyFont="1" applyFill="1" applyAlignment="1">
      <x:alignment horizontal="center"/>
    </x:xf>
    <x:xf numFmtId="169" fontId="0" fillId="0" borderId="0" xfId="0" applyNumberFormat="1"/>
    <x:xf numFmtId="168" fontId="7" fillId="0" borderId="0" xfId="0" applyNumberFormat="1" applyFont="1"/>
    <x:xf numFmtId="169" fontId="8" fillId="0" borderId="0" xfId="0" applyNumberFormat="1" applyFont="1"/>
    <x:xf numFmtId="0" fontId="6" fillId="0" borderId="0" xfId="0" applyFont="1"/>
    <x:xf numFmtId="0" fontId="8" fillId="0" borderId="0" xfId="0" applyFont="1"/>
    <x:xf numFmtId="3" fontId="0" fillId="0" borderId="0" xfId="0" applyNumberFormat="1" applyAlignment="1">
      <x:alignment horizontal="center"/>
    </x:xf>
    <x:xf numFmtId="0" fontId="7" fillId="0" borderId="0" xfId="0" applyFont="1" applyAlignment="1">
      <x:alignment horizontal="center"/>
    </x:xf>
    <x:xf numFmtId="3" fontId="0" fillId="0" borderId="0" xfId="0" applyNumberFormat="1"/>
    <x:xf numFmtId="168" fontId="0" fillId="0" borderId="0" xfId="0" applyNumberFormat="1"/>
    <x:xf numFmtId="0" fontId="7" fillId="0" borderId="0" xfId="0" applyFont="1"/>
    <x:xf numFmtId="0" fontId="8" fillId="0" borderId="1" xfId="0" applyFont="1" applyBorder="1"/>
    <x:xf numFmtId="0" fontId="0" fillId="0" borderId="1" xfId="0" applyBorder="1"/>
    <x:xf numFmtId="0" fontId="8" fillId="0" borderId="2" xfId="0" applyFont="1" applyBorder="1" applyAlignment="1">
      <x:alignment horizontal="center"/>
    </x:xf>
    <x:xf numFmtId="0" fontId="7" fillId="0" borderId="1" xfId="0" applyFont="1" applyBorder="1"/>
    <x:xf numFmtId="170" fontId="7" fillId="0" borderId="1" xfId="0" applyNumberFormat="1" applyFont="1" applyBorder="1" applyAlignment="1">
      <x:alignment horizontal="center"/>
    </x:xf>
    <x:xf numFmtId="0" fontId="8" fillId="0" borderId="2" xfId="0" applyFont="1" applyBorder="1"/>
    <x:xf numFmtId="169" fontId="8" fillId="0" borderId="2" xfId="0" applyNumberFormat="1" applyFont="1" applyBorder="1" applyAlignment="1">
      <x:alignment horizontal="right"/>
    </x:xf>
    <x:xf numFmtId="169" fontId="8" fillId="0" borderId="2" xfId="0" applyNumberFormat="1" applyFont="1" applyBorder="1" applyAlignment="1">
      <x:alignment horizontal="center"/>
    </x:xf>
    <x:xf numFmtId="171" fontId="0" fillId="0" borderId="0" xfId="0" applyNumberFormat="1" applyAlignment="1">
      <x:alignment horizontal="center"/>
    </x:xf>
    <x:xf numFmtId="169" fontId="9" fillId="0" borderId="0" xfId="0" applyNumberFormat="1" applyFont="1" applyAlignment="1">
      <x:alignment vertical="top"/>
    </x:xf>
    <x:xf numFmtId="169" fontId="9" fillId="0" borderId="0" xfId="0" applyNumberFormat="1" applyFont="1" applyAlignment="1">
      <x:alignment horizontal="right" vertical="top"/>
    </x:xf>
    <x:xf numFmtId="169" fontId="0" fillId="0" borderId="0" xfId="0" applyNumberFormat="1" applyAlignment="1">
      <x:alignment vertical="top"/>
    </x:xf>
    <x:xf numFmtId="169" fontId="10" fillId="0" borderId="2" xfId="0" applyNumberFormat="1" applyFont="1" applyBorder="1" applyAlignment="1">
      <x:alignment vertical="top"/>
    </x:xf>
    <x:xf numFmtId="169" fontId="10" fillId="0" borderId="2" xfId="0" applyNumberFormat="1" applyFont="1" applyBorder="1" applyAlignment="1">
      <x:alignment horizontal="right" vertical="top"/>
    </x:xf>
    <x:xf numFmtId="169" fontId="8" fillId="0" borderId="2" xfId="0" applyNumberFormat="1" applyFont="1" applyBorder="1"/>
    <x:xf numFmtId="169" fontId="0" fillId="0" borderId="0" xfId="0" applyNumberFormat="1" applyAlignment="1">
      <x:alignment horizontal="right" vertical="top"/>
    </x:xf>
    <x:xf numFmtId="0" fontId="0" fillId="0" borderId="2" xfId="0" applyBorder="1"/>
    <x:xf numFmtId="164" fontId="9" fillId="0" borderId="0" xfId="0" applyNumberFormat="1" applyFont="1" applyAlignment="1">
      <x:alignment horizontal="right" vertical="top"/>
    </x:xf>
    <x:xf numFmtId="0" fontId="8" fillId="0" borderId="0" xfId="0" applyFont="1" applyAlignment="1">
      <x:alignment vertical="top"/>
    </x:xf>
    <x:xf numFmtId="172" fontId="0" fillId="0" borderId="0" xfId="0" applyNumberFormat="1" applyAlignment="1">
      <x:alignment vertical="top"/>
    </x:xf>
    <x:xf numFmtId="0" fontId="11" fillId="0" borderId="0" xfId="0" applyFont="1"/>
    <x:xf numFmtId="0" fontId="12" fillId="2" borderId="0" xfId="0" applyFont="1" applyFill="1"/>
    <x:xf numFmtId="0" fontId="12" fillId="3" borderId="0" xfId="0" applyFont="1" applyFill="1"/>
    <x:xf numFmtId="169" fontId="0" fillId="4" borderId="0" xfId="0" applyNumberFormat="1" applyFill="1" applyAlignment="1">
      <x:alignment horizontal="center"/>
    </x:xf>
    <x:xf numFmtId="169" fontId="8" fillId="4" borderId="2" xfId="0" applyNumberFormat="1" applyFont="1" applyFill="1" applyBorder="1" applyAlignment="1">
      <x:alignment horizontal="center"/>
    </x:xf>
    <x:xf numFmtId="173" fontId="0" fillId="0" borderId="0" xfId="0" applyNumberFormat="1"/>
    <x:xf numFmtId="173" fontId="0" fillId="4" borderId="0" xfId="0" applyNumberFormat="1" applyFill="1"/>
    <x:xf numFmtId="174" fontId="0" fillId="0" borderId="0" xfId="0" applyNumberFormat="1"/>
    <x:xf numFmtId="174" fontId="0" fillId="0" borderId="0" xfId="0" applyNumberFormat="1" applyAlignment="1">
      <x:alignment horizontal="right"/>
    </x:xf>
    <x:xf numFmtId="9" fontId="0" fillId="0" borderId="0" xfId="0" applyNumberFormat="1"/>
    <x:xf numFmtId="9" fontId="0" fillId="4" borderId="0" xfId="0" applyNumberFormat="1" applyFill="1"/>
    <x:xf numFmtId="0" fontId="0" fillId="4" borderId="0" xfId="0" applyFill="1"/>
    <x:xf numFmtId="172" fontId="0" fillId="0" borderId="0" xfId="0" applyNumberFormat="1" applyAlignment="1">
      <x:alignment horizontal="center"/>
    </x:xf>
    <x:xf numFmtId="172" fontId="13" fillId="0" borderId="0" xfId="0" applyNumberFormat="1" applyFont="1" applyAlignment="1">
      <x:alignment horizontal="left" vertical="top" wrapText="1"/>
    </x:xf>
    <x:xf numFmtId="172" fontId="0" fillId="4" borderId="0" xfId="0" applyNumberFormat="1" applyFill="1" applyAlignment="1">
      <x:alignment horizontal="center"/>
    </x:xf>
    <x:xf numFmtId="0" fontId="0" fillId="4" borderId="0" xfId="0" applyFill="1" applyAlignment="1">
      <x:alignment horizontal="center"/>
    </x:xf>
    <x:xf numFmtId="172" fontId="8" fillId="0" borderId="2" xfId="0" applyNumberFormat="1" applyFont="1" applyBorder="1"/>
    <x:xf numFmtId="172" fontId="8" fillId="0" borderId="2" xfId="0" applyNumberFormat="1" applyFont="1" applyBorder="1" applyAlignment="1">
      <x:alignment horizontal="center"/>
    </x:xf>
    <x:xf numFmtId="172" fontId="8" fillId="4" borderId="2" xfId="0" applyNumberFormat="1" applyFont="1" applyFill="1" applyBorder="1" applyAlignment="1">
      <x:alignment horizontal="center"/>
    </x:xf>
    <x:xf numFmtId="171" fontId="0" fillId="4" borderId="0" xfId="0" applyNumberFormat="1" applyFill="1" applyAlignment="1">
      <x:alignment horizontal="center"/>
    </x:xf>
    <x:xf numFmtId="168" fontId="0" fillId="0" borderId="0" xfId="0" applyNumberFormat="1" applyAlignment="1">
      <x:alignment horizontal="center"/>
    </x:xf>
    <x:xf numFmtId="168" fontId="0" fillId="4" borderId="0" xfId="0" applyNumberFormat="1" applyFill="1" applyAlignment="1">
      <x:alignment horizontal="center"/>
    </x:xf>
    <x:xf numFmtId="0" fontId="14" fillId="0" borderId="0" xfId="0" applyFont="1"/>
    <x:xf numFmtId="0" fontId="15" fillId="0" borderId="0" xfId="0" applyFont="1"/>
    <x:xf numFmtId="0" fontId="14" fillId="0" borderId="0" xfId="0" applyFont="1" applyAlignment="1">
      <x:alignment horizontal="center" wrapText="1"/>
    </x:xf>
    <x:xf numFmtId="0" fontId="14" fillId="0" borderId="0" xfId="0" applyFont="1" applyAlignment="1">
      <x:alignment horizontal="center"/>
    </x:xf>
    <x:xf numFmtId="10" fontId="14" fillId="0" borderId="0" xfId="0" applyNumberFormat="1" applyFont="1" applyAlignment="1">
      <x:alignment horizontal="center"/>
    </x:xf>
    <x:xf numFmtId="3" fontId="14" fillId="0" borderId="0" xfId="0" applyNumberFormat="1" applyFont="1"/>
    <x:xf numFmtId="0" fontId="14" fillId="0" borderId="0" xfId="0" applyFont="1" applyAlignment="1">
      <x:alignment horizontal="left" vertical="top" wrapText="1"/>
    </x:xf>
    <x:xf numFmtId="0" fontId="13" fillId="0" borderId="0" xfId="0" applyFont="1" applyAlignment="1">
      <x:alignment horizontal="left" vertical="top" wrapText="1"/>
    </x:xf>
    <x:xf numFmtId="0" fontId="0" fillId="0" borderId="2" xfId="0" applyBorder="1" applyAlignment="1">
      <x:alignment horizontal="center"/>
    </x:xf>
    <x:xf numFmtId="172" fontId="0" fillId="0" borderId="2" xfId="0" applyNumberFormat="1" applyBorder="1" applyAlignment="1">
      <x:alignment horizontal="center"/>
    </x:xf>
    <x:xf numFmtId="172" fontId="0" fillId="4" borderId="2" xfId="0" applyNumberFormat="1" applyFill="1" applyBorder="1" applyAlignment="1">
      <x:alignment horizontal="center"/>
    </x:xf>
    <x:xf numFmtId="1" fontId="0" fillId="4" borderId="0" xfId="0" applyNumberFormat="1" applyFill="1" applyAlignment="1">
      <x:alignment horizontal="center"/>
    </x:xf>
    <x:xf numFmtId="174" fontId="0" fillId="0" borderId="0" xfId="0" applyNumberFormat="1" applyAlignment="1">
      <x:alignment horizontal="center"/>
    </x:xf>
    <x:xf numFmtId="174" fontId="0" fillId="4" borderId="0" xfId="0" applyNumberFormat="1" applyFill="1" applyAlignment="1">
      <x:alignment horizontal="center"/>
    </x:xf>
    <x:xf numFmtId="0" fontId="16" fillId="0" borderId="0" xfId="0" applyFont="1"/>
    <x:xf numFmtId="0" fontId="6" fillId="2" borderId="0" xfId="0" applyFont="1" applyFill="1"/>
    <x:xf numFmtId="0" fontId="12" fillId="5" borderId="0" xfId="0" applyFont="1" applyFill="1"/>
    <x:xf numFmtId="0" fontId="12" fillId="0" borderId="0" xfId="0" applyFont="1"/>
    <x:xf numFmtId="10" fontId="0" fillId="0" borderId="0" xfId="0" applyNumberFormat="1" applyAlignment="1">
      <x:alignment horizontal="center"/>
    </x:xf>
    <x:xf numFmtId="10" fontId="0" fillId="0" borderId="0" xfId="0" applyNumberFormat="1"/>
    <x:xf numFmtId="9" fontId="0" fillId="0" borderId="0" xfId="0" applyNumberFormat="1" applyAlignment="1">
      <x:alignment horizontal="center"/>
    </x:xf>
    <x:xf numFmtId="0" fontId="0" fillId="0" borderId="4" xfId="0" applyBorder="1" applyAlignment="1">
      <x:alignment vertical="center"/>
    </x:xf>
    <x:xf numFmtId="0" fontId="0" fillId="0" borderId="2" xfId="0" applyBorder="1" applyAlignment="1">
      <x:alignment vertical="center"/>
    </x:xf>
    <x:xf numFmtId="0" fontId="8" fillId="0" borderId="2" xfId="0" applyFont="1" applyBorder="1" applyAlignment="1">
      <x:alignment horizontal="center" wrapText="1"/>
    </x:xf>
    <x:xf numFmtId="0" fontId="8" fillId="0" borderId="2" xfId="0" applyFont="1" applyBorder="1" applyAlignment="1">
      <x:alignment horizontal="center" vertical="center" wrapText="1"/>
    </x:xf>
    <x:xf numFmtId="0" fontId="0" fillId="0" borderId="5" xfId="0" applyBorder="1" applyAlignment="1">
      <x:alignment vertical="center"/>
    </x:xf>
    <x:xf numFmtId="0" fontId="0" fillId="0" borderId="0" xfId="0" applyAlignment="1">
      <x:alignment vertical="center"/>
    </x:xf>
    <x:xf numFmtId="0" fontId="0" fillId="0" borderId="5" xfId="0" applyBorder="1"/>
    <x:xf numFmtId="0" fontId="17" fillId="0" borderId="0" xfId="0" applyFont="1"/>
    <x:xf numFmtId="0" fontId="0" fillId="0" borderId="6" xfId="0" applyBorder="1"/>
    <x:xf numFmtId="175" fontId="0" fillId="0" borderId="0" xfId="0" applyNumberFormat="1"/>
    <x:xf numFmtId="0" fontId="8" fillId="0" borderId="0" xfId="0" applyFont="1" applyAlignment="1">
      <x:alignment horizontal="center" wrapText="1"/>
    </x:xf>
    <x:xf numFmtId="173" fontId="0" fillId="0" borderId="0" xfId="0" applyNumberFormat="1" applyAlignment="1">
      <x:alignment horizontal="center"/>
    </x:xf>
    <x:xf numFmtId="172" fontId="0" fillId="0" borderId="0" xfId="0" applyNumberFormat="1"/>
    <x:xf numFmtId="0" fontId="18" fillId="0" borderId="0" xfId="0" applyFont="1"/>
    <x:xf numFmtId="176" fontId="0" fillId="0" borderId="0" xfId="0" applyNumberFormat="1"/>
    <x:xf numFmtId="177" fontId="0" fillId="0" borderId="0" xfId="0" applyNumberFormat="1" applyAlignment="1">
      <x:alignment horizontal="left"/>
    </x:xf>
    <x:xf numFmtId="9" fontId="8" fillId="0" borderId="0" xfId="0" applyNumberFormat="1" applyFont="1" applyAlignment="1">
      <x:alignment horizontal="center"/>
    </x:xf>
    <x:xf numFmtId="0" fontId="12" fillId="5" borderId="0" xfId="0" applyFont="1" applyFill="1" applyAlignment="1">
      <x:alignment horizontal="center"/>
    </x:xf>
    <x:xf numFmtId="0" fontId="12" fillId="2" borderId="0" xfId="0" applyFont="1" applyFill="1" applyAlignment="1">
      <x:alignment horizontal="center" vertical="center"/>
    </x:xf>
    <x:xf numFmtId="0" fontId="12" fillId="3" borderId="0" xfId="0" applyFont="1" applyFill="1" applyAlignment="1">
      <x:alignment horizontal="center" vertical="center"/>
    </x:xf>
    <x:xf numFmtId="172" fontId="17" fillId="0" borderId="0" xfId="0" applyNumberFormat="1" applyFont="1" applyAlignment="1">
      <x:alignment horizontal="center"/>
    </x:xf>
    <x:xf numFmtId="168" fontId="7" fillId="0" borderId="0" xfId="0" applyNumberFormat="1" applyFont="1" applyAlignment="1">
      <x:alignment horizontal="center"/>
    </x:xf>
    <x:xf numFmtId="0" fontId="12" fillId="3" borderId="0" xfId="0" applyFont="1" applyFill="1" applyAlignment="1">
      <x:alignment horizontal="center"/>
    </x:xf>
    <x:xf numFmtId="3" fontId="17" fillId="0" borderId="0" xfId="0" applyNumberFormat="1" applyFont="1" applyAlignment="1">
      <x:alignment horizontal="center"/>
    </x:xf>
    <x:xf numFmtId="1" fontId="0" fillId="0" borderId="0" xfId="0" applyNumberFormat="1" applyAlignment="1">
      <x:alignment horizontal="center"/>
    </x:xf>
    <x:xf numFmtId="0" fontId="8" fillId="0" borderId="0" xfId="0" applyFont="1" applyAlignment="1">
      <x:alignment horizontal="left"/>
    </x:xf>
    <x:xf numFmtId="0" fontId="0" fillId="6" borderId="0" xfId="0" applyFill="1" applyAlignment="1">
      <x:alignment horizontal="center"/>
    </x:xf>
    <x:xf numFmtId="9" fontId="0" fillId="6" borderId="7" xfId="0" applyNumberFormat="1" applyFill="1" applyBorder="1" applyAlignment="1">
      <x:alignment horizontal="center"/>
    </x:xf>
    <x:xf numFmtId="168" fontId="0" fillId="6" borderId="7" xfId="0" applyNumberFormat="1" applyFill="1" applyBorder="1" applyAlignment="1">
      <x:alignment horizontal="center"/>
    </x:xf>
    <x:xf numFmtId="168" fontId="0" fillId="6" borderId="0" xfId="0" applyNumberFormat="1" applyFill="1" applyAlignment="1">
      <x:alignment horizontal="center"/>
    </x:xf>
    <x:xf numFmtId="0" fontId="19" fillId="0" borderId="0" xfId="0" applyFont="1"/>
    <x:xf numFmtId="168" fontId="19" fillId="0" borderId="0" xfId="0" applyNumberFormat="1" applyFont="1" applyAlignment="1">
      <x:alignment horizontal="center"/>
    </x:xf>
    <x:xf numFmtId="172" fontId="20" fillId="0" borderId="0" xfId="0" applyNumberFormat="1" applyFont="1" applyAlignment="1">
      <x:alignment horizontal="center"/>
    </x:xf>
    <x:xf numFmtId="168" fontId="7" fillId="6" borderId="7" xfId="0" applyNumberFormat="1" applyFont="1" applyFill="1" applyBorder="1" applyAlignment="1">
      <x:alignment horizontal="center"/>
    </x:xf>
    <x:xf numFmtId="0" fontId="0" fillId="0" borderId="8" xfId="0" applyBorder="1"/>
    <x:xf numFmtId="172" fontId="0" fillId="0" borderId="8" xfId="0" applyNumberFormat="1" applyBorder="1"/>
    <x:xf numFmtId="0" fontId="0" fillId="0" borderId="4" xfId="0" applyBorder="1"/>
    <x:xf numFmtId="172" fontId="0" fillId="0" borderId="9" xfId="0" applyNumberFormat="1" applyBorder="1" applyAlignment="1">
      <x:alignment horizontal="center"/>
    </x:xf>
    <x:xf numFmtId="172" fontId="0" fillId="0" borderId="1" xfId="0" applyNumberFormat="1" applyBorder="1" applyAlignment="1">
      <x:alignment horizontal="center" vertical="center"/>
    </x:xf>
    <x:xf numFmtId="172" fontId="0" fillId="0" borderId="10" xfId="0" applyNumberFormat="1" applyBorder="1" applyAlignment="1">
      <x:alignment horizontal="center" vertical="center"/>
    </x:xf>
    <x:xf numFmtId="178" fontId="0" fillId="0" borderId="0" xfId="0" applyNumberFormat="1"/>
    <x:xf numFmtId="2" fontId="0" fillId="0" borderId="0" xfId="0" applyNumberFormat="1" applyAlignment="1">
      <x:alignment horizontal="center"/>
    </x:xf>
    <x:xf numFmtId="179" fontId="0" fillId="0" borderId="0" xfId="0" applyNumberFormat="1" applyAlignment="1">
      <x:alignment horizontal="center"/>
    </x:xf>
    <x:xf numFmtId="176" fontId="0" fillId="0" borderId="0" xfId="0" applyNumberFormat="1" applyAlignment="1">
      <x:alignment horizontal="center"/>
    </x:xf>
    <x:xf numFmtId="1" fontId="0" fillId="0" borderId="0" xfId="0" applyNumberFormat="1"/>
    <x:xf numFmtId="180" fontId="0" fillId="0" borderId="0" xfId="0" applyNumberFormat="1"/>
    <x:xf numFmtId="181" fontId="0" fillId="0" borderId="0" xfId="0" applyNumberFormat="1"/>
    <x:xf numFmtId="10" fontId="21" fillId="0" borderId="0" xfId="0" applyNumberFormat="1" applyFont="1"/>
    <x:xf numFmtId="10" fontId="21" fillId="0" borderId="1" xfId="0" applyNumberFormat="1" applyFont="1" applyBorder="1"/>
    <x:xf numFmtId="10" fontId="21" fillId="0" borderId="0" xfId="0" applyNumberFormat="1" applyFont="1" applyAlignment="1">
      <x:alignment horizontal="center"/>
    </x:xf>
    <x:xf numFmtId="10" fontId="21" fillId="0" borderId="0" xfId="0" applyNumberFormat="1" applyFont="1" applyAlignment="1">
      <x:alignment horizontal="center" vertical="center"/>
    </x:xf>
    <x:xf numFmtId="0" fontId="22" fillId="0" borderId="0" xfId="0" applyFont="1" applyAlignment="1">
      <x:alignment vertical="top"/>
    </x:xf>
    <x:xf numFmtId="2" fontId="0" fillId="0" borderId="0" xfId="0" applyNumberFormat="1" applyAlignment="1">
      <x:alignment horizontal="right"/>
    </x:xf>
    <x:xf numFmtId="2" fontId="21" fillId="0" borderId="0" xfId="0" applyNumberFormat="1" applyFont="1" applyAlignment="1">
      <x:alignment horizontal="center" vertical="center"/>
    </x:xf>
    <x:xf numFmtId="2" fontId="21" fillId="0" borderId="0" xfId="0" applyNumberFormat="1" applyFont="1"/>
    <x:xf numFmtId="2" fontId="21" fillId="0" borderId="1" xfId="0" applyNumberFormat="1" applyFont="1" applyBorder="1"/>
    <x:xf numFmtId="0" fontId="24" fillId="0" borderId="0" xfId="0" applyFont="1" applyAlignment="1">
      <x:alignment vertical="top" wrapText="1"/>
    </x:xf>
    <x:xf numFmtId="0" fontId="25" fillId="0" borderId="0" xfId="1" applyAlignment="1">
      <x:alignment vertical="top"/>
    </x:xf>
    <x:xf numFmtId="0" fontId="26" fillId="8" borderId="0" xfId="0" applyFont="1" applyFill="1"/>
    <x:xf numFmtId="0" fontId="4" fillId="9" borderId="0" xfId="0" applyFont="1" applyFill="1"/>
    <x:xf numFmtId="168" fontId="4" fillId="9" borderId="0" xfId="0" applyNumberFormat="1" applyFont="1" applyFill="1"/>
    <x:xf numFmtId="168" fontId="0" fillId="0" borderId="0" xfId="0" applyNumberFormat="1" applyAlignment="1">
      <x:alignment wrapText="1"/>
    </x:xf>
    <x:xf numFmtId="0" fontId="3" fillId="0" borderId="1" xfId="0" applyFont="1" applyBorder="1" applyAlignment="1">
      <x:alignment horizontal="center"/>
    </x:xf>
    <x:xf numFmtId="0" fontId="8" fillId="0" borderId="0" xfId="0" applyFont="1" applyAlignment="1">
      <x:alignment horizontal="center"/>
    </x:xf>
    <x:xf numFmtId="0" fontId="0" fillId="0" borderId="1" xfId="0" applyBorder="1" applyAlignment="1">
      <x:alignment horizontal="center"/>
    </x:xf>
    <x:xf numFmtId="0" fontId="23" fillId="7" borderId="3" xfId="0" applyFont="1" applyFill="1" applyBorder="1" applyAlignment="1">
      <x:alignment horizontal="left" vertical="top" wrapText="1"/>
    </x:xf>
    <x:xf numFmtId="0" fontId="0" fillId="0" borderId="0" xfId="0" applyAlignment="1">
      <x:alignment horizontal="center"/>
    </x:xf>
    <x:xf numFmtId="0" fontId="25" fillId="0" borderId="0" xfId="1"/>
    <x:xf numFmtId="0" fontId="0" fillId="0" borderId="0" xfId="0" applyNumberFormat="1" applyFont="1" applyFill="1" applyBorder="1"/>
    <x:xf numFmtId="0" fontId="0" fillId="0" borderId="0" xfId="0" applyNumberFormat="1" applyFont="1" applyFill="1" applyBorder="1" applyAlignment="1">
      <x:alignment horizontal="center"/>
    </x:xf>
    <x:xf numFmtId="0" fontId="4" fillId="0" borderId="0" xfId="0" applyNumberFormat="1" applyFont="1" applyFill="1" applyBorder="1" applyAlignment="1">
      <x:alignment horizontal="center"/>
    </x:xf>
    <x:xf numFmtId="0" fontId="4" fillId="0" borderId="0" xfId="0" applyNumberFormat="1" applyFont="1" applyFill="1" applyBorder="1"/>
    <x:xf numFmtId="166" fontId="0" fillId="0" borderId="0" xfId="0" applyNumberFormat="1" applyFont="1" applyFill="1" applyBorder="1"/>
    <x:xf numFmtId="0" fontId="4"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167" fontId="0" fillId="0" borderId="0" xfId="0" applyNumberFormat="1" applyFont="1" applyFill="1" applyBorder="1" applyAlignment="1">
      <x:alignment horizontal="left"/>
    </x:xf>
    <x:xf numFmtId="9" fontId="0" fillId="0" borderId="0" xfId="0" applyNumberFormat="1" applyFont="1" applyFill="1" applyBorder="1" applyAlignment="1">
      <x:alignment horizontal="left"/>
    </x:xf>
    <x:xf numFmtId="10" fontId="0" fillId="0" borderId="0" xfId="0" applyNumberFormat="1" applyFont="1" applyFill="1" applyBorder="1" applyAlignment="1">
      <x:alignment horizontal="left"/>
    </x:xf>
    <x:xf numFmtId="168" fontId="0" fillId="0" borderId="0" xfId="0" applyNumberFormat="1" applyFont="1" applyFill="1" applyBorder="1" applyAlignment="1">
      <x:alignment horizontal="left"/>
    </x:xf>
    <x:xf numFmtId="0" fontId="0" fillId="0" borderId="0" xfId="0" applyNumberFormat="1" applyFont="1" applyFill="1" applyBorder="1" applyAlignment="1">
      <x:alignment horizontal="left"/>
    </x:xf>
    <x:xf numFmtId="10" fontId="4" fillId="0" borderId="0" xfId="0" applyNumberFormat="1" applyFont="1" applyFill="1" applyBorder="1" applyAlignment="1">
      <x:alignment horizontal="left"/>
    </x:xf>
    <x:xf numFmtId="2" fontId="0" fillId="0" borderId="0" xfId="0" applyNumberFormat="1" applyFont="1" applyFill="1" applyBorder="1" applyAlignment="1">
      <x:alignment horizontal="left"/>
    </x:xf>
    <x:xf numFmtId="0" fontId="0" fillId="0" borderId="0" xfId="0" applyNumberFormat="1" applyFont="1" applyFill="1" applyBorder="1" applyAlignment="1">
      <x:alignment wrapText="1"/>
    </x:xf>
    <x:xf numFmtId="0" fontId="3" fillId="0" borderId="0" xfId="0" applyNumberFormat="1" applyFont="1" applyFill="1" applyBorder="1"/>
    <x:xf numFmtId="0" fontId="5" fillId="0" borderId="0" xfId="0" applyNumberFormat="1" applyFont="1" applyFill="1" applyBorder="1"/>
    <x:xf numFmtId="169" fontId="0" fillId="0" borderId="0" xfId="0" applyNumberFormat="1" applyFont="1" applyFill="1" applyBorder="1" applyAlignment="1">
      <x:alignment horizontal="right"/>
    </x:xf>
    <x:xf numFmtId="169" fontId="0" fillId="0" borderId="0" xfId="0" applyNumberFormat="1" applyFont="1" applyFill="1" applyBorder="1" applyAlignment="1">
      <x:alignment horizontal="center"/>
    </x:xf>
    <x:xf numFmtId="0" fontId="6" fillId="2" borderId="0" xfId="0" applyNumberFormat="1" applyFont="1" applyFill="1" applyBorder="1" applyAlignment="1">
      <x:alignment horizontal="center"/>
    </x:xf>
    <x:xf numFmtId="169" fontId="0" fillId="0" borderId="0" xfId="0" applyNumberFormat="1" applyFont="1" applyFill="1" applyBorder="1"/>
    <x:xf numFmtId="168" fontId="7" fillId="0" borderId="0" xfId="0" applyNumberFormat="1" applyFont="1" applyFill="1" applyBorder="1"/>
    <x:xf numFmtId="169" fontId="4" fillId="0" borderId="0" xfId="0" applyNumberFormat="1" applyFont="1" applyFill="1" applyBorder="1"/>
    <x:xf numFmtId="0" fontId="6" fillId="0" borderId="0" xfId="0" applyNumberFormat="1" applyFont="1" applyFill="1" applyBorder="1"/>
    <x:xf numFmtId="3" fontId="0" fillId="0" borderId="0" xfId="0" applyNumberFormat="1" applyFont="1" applyFill="1" applyBorder="1" applyAlignment="1">
      <x:alignment horizontal="center"/>
    </x:xf>
    <x:xf numFmtId="0" fontId="7" fillId="0" borderId="0" xfId="0" applyNumberFormat="1" applyFont="1" applyFill="1" applyBorder="1" applyAlignment="1">
      <x:alignment horizontal="center"/>
    </x:xf>
    <x:xf numFmtId="3" fontId="0" fillId="0" borderId="0" xfId="0" applyNumberFormat="1" applyFont="1" applyFill="1" applyBorder="1"/>
    <x:xf numFmtId="168" fontId="0" fillId="0" borderId="0" xfId="0" applyNumberFormat="1" applyFont="1" applyFill="1" applyBorder="1"/>
    <x:xf numFmtId="0" fontId="7" fillId="0" borderId="0" xfId="0" applyNumberFormat="1" applyFont="1" applyFill="1" applyBorder="1"/>
    <x:xf numFmtId="0" fontId="4" fillId="0" borderId="1" xfId="0" applyNumberFormat="1" applyFont="1" applyFill="1" applyBorder="1"/>
    <x:xf numFmtId="0" fontId="0" fillId="0" borderId="1" xfId="0" applyNumberFormat="1" applyFont="1" applyFill="1" applyBorder="1"/>
    <x:xf numFmtId="0" fontId="4" fillId="0" borderId="2" xfId="0" applyNumberFormat="1" applyFont="1" applyFill="1" applyBorder="1" applyAlignment="1">
      <x:alignment horizontal="center"/>
    </x:xf>
    <x:xf numFmtId="0" fontId="7" fillId="0" borderId="1" xfId="0" applyNumberFormat="1" applyFont="1" applyFill="1" applyBorder="1"/>
    <x:xf numFmtId="170" fontId="7" fillId="0" borderId="1" xfId="0" applyNumberFormat="1" applyFont="1" applyFill="1" applyBorder="1" applyAlignment="1">
      <x:alignment horizontal="center"/>
    </x:xf>
    <x:xf numFmtId="0" fontId="4" fillId="0" borderId="2" xfId="0" applyNumberFormat="1" applyFont="1" applyFill="1" applyBorder="1"/>
    <x:xf numFmtId="169" fontId="4" fillId="0" borderId="2" xfId="0" applyNumberFormat="1" applyFont="1" applyFill="1" applyBorder="1" applyAlignment="1">
      <x:alignment horizontal="right"/>
    </x:xf>
    <x:xf numFmtId="169" fontId="4" fillId="0" borderId="2" xfId="0" applyNumberFormat="1" applyFont="1" applyFill="1" applyBorder="1" applyAlignment="1">
      <x:alignment horizontal="center"/>
    </x:xf>
    <x:xf numFmtId="171" fontId="0" fillId="0" borderId="0" xfId="0" applyNumberFormat="1" applyFont="1" applyFill="1" applyBorder="1" applyAlignment="1">
      <x:alignment horizontal="center"/>
    </x:xf>
    <x:xf numFmtId="169" fontId="9" fillId="0" borderId="0" xfId="0" applyNumberFormat="1" applyFont="1" applyFill="1" applyBorder="1" applyAlignment="1">
      <x:alignment vertical="top"/>
    </x:xf>
    <x:xf numFmtId="169" fontId="9" fillId="0" borderId="0" xfId="0" applyNumberFormat="1" applyFont="1" applyFill="1" applyBorder="1" applyAlignment="1">
      <x:alignment horizontal="right" vertical="top"/>
    </x:xf>
    <x:xf numFmtId="169" fontId="0" fillId="0" borderId="0" xfId="0" applyNumberFormat="1" applyFont="1" applyFill="1" applyBorder="1" applyAlignment="1">
      <x:alignment vertical="top"/>
    </x:xf>
    <x:xf numFmtId="169" fontId="10" fillId="0" borderId="2" xfId="0" applyNumberFormat="1" applyFont="1" applyFill="1" applyBorder="1" applyAlignment="1">
      <x:alignment vertical="top"/>
    </x:xf>
    <x:xf numFmtId="169" fontId="10" fillId="0" borderId="2" xfId="0" applyNumberFormat="1" applyFont="1" applyFill="1" applyBorder="1" applyAlignment="1">
      <x:alignment horizontal="right" vertical="top"/>
    </x:xf>
    <x:xf numFmtId="169" fontId="4" fillId="0" borderId="2" xfId="0" applyNumberFormat="1" applyFont="1" applyFill="1" applyBorder="1"/>
    <x:xf numFmtId="169" fontId="0" fillId="0" borderId="0" xfId="0" applyNumberFormat="1" applyFont="1" applyFill="1" applyBorder="1" applyAlignment="1">
      <x:alignment horizontal="right" vertical="top"/>
    </x:xf>
    <x:xf numFmtId="0" fontId="0" fillId="0" borderId="2" xfId="0" applyNumberFormat="1" applyFont="1" applyFill="1" applyBorder="1"/>
    <x:xf numFmtId="164" fontId="9" fillId="0" borderId="0" xfId="0" applyNumberFormat="1" applyFont="1" applyFill="1" applyBorder="1" applyAlignment="1">
      <x:alignment horizontal="right" vertical="top"/>
    </x:xf>
    <x:xf numFmtId="172" fontId="0" fillId="0" borderId="0" xfId="0" applyNumberFormat="1" applyFont="1" applyFill="1" applyBorder="1" applyAlignment="1">
      <x:alignment vertical="top"/>
    </x:xf>
    <x:xf numFmtId="0" fontId="11" fillId="0" borderId="0" xfId="0" applyNumberFormat="1" applyFont="1" applyFill="1" applyBorder="1"/>
    <x:xf numFmtId="0" fontId="12" fillId="2" borderId="0" xfId="0" applyNumberFormat="1" applyFont="1" applyFill="1" applyBorder="1"/>
    <x:xf numFmtId="0" fontId="12" fillId="3" borderId="0" xfId="0" applyNumberFormat="1" applyFont="1" applyFill="1" applyBorder="1"/>
    <x:xf numFmtId="169" fontId="0" fillId="4" borderId="0" xfId="0" applyNumberFormat="1" applyFont="1" applyFill="1" applyBorder="1" applyAlignment="1">
      <x:alignment horizontal="center"/>
    </x:xf>
    <x:xf numFmtId="169" fontId="4" fillId="4" borderId="2" xfId="0" applyNumberFormat="1" applyFont="1" applyFill="1" applyBorder="1" applyAlignment="1">
      <x:alignment horizontal="center"/>
    </x:xf>
    <x:xf numFmtId="173" fontId="0" fillId="0" borderId="0" xfId="0" applyNumberFormat="1" applyFont="1" applyFill="1" applyBorder="1"/>
    <x:xf numFmtId="173" fontId="0" fillId="4" borderId="0" xfId="0" applyNumberFormat="1" applyFont="1" applyFill="1" applyBorder="1"/>
    <x:xf numFmtId="174" fontId="0" fillId="0" borderId="0" xfId="0" applyNumberFormat="1" applyFont="1" applyFill="1" applyBorder="1"/>
    <x:xf numFmtId="174" fontId="0" fillId="0" borderId="0" xfId="0" applyNumberFormat="1" applyFont="1" applyFill="1" applyBorder="1" applyAlignment="1">
      <x:alignment horizontal="right"/>
    </x:xf>
    <x:xf numFmtId="9" fontId="0" fillId="0" borderId="0" xfId="0" applyNumberFormat="1" applyFont="1" applyFill="1" applyBorder="1"/>
    <x:xf numFmtId="9" fontId="0" fillId="4" borderId="0" xfId="0" applyNumberFormat="1" applyFont="1" applyFill="1" applyBorder="1"/>
    <x:xf numFmtId="0" fontId="0" fillId="4" borderId="0" xfId="0" applyNumberFormat="1" applyFont="1" applyFill="1" applyBorder="1"/>
    <x:xf numFmtId="172" fontId="0" fillId="0" borderId="0" xfId="0" applyNumberFormat="1" applyFont="1" applyFill="1" applyBorder="1" applyAlignment="1">
      <x:alignment horizontal="center"/>
    </x:xf>
    <x:xf numFmtId="172" fontId="13" fillId="0" borderId="0" xfId="0" applyNumberFormat="1" applyFont="1" applyFill="1" applyBorder="1" applyAlignment="1">
      <x:alignment horizontal="left" vertical="top" wrapText="1"/>
    </x:xf>
    <x:xf numFmtId="172" fontId="0" fillId="4" borderId="0" xfId="0" applyNumberFormat="1" applyFont="1" applyFill="1" applyBorder="1" applyAlignment="1">
      <x:alignment horizontal="center"/>
    </x:xf>
    <x:xf numFmtId="0" fontId="0" fillId="4" borderId="0" xfId="0" applyNumberFormat="1" applyFont="1" applyFill="1" applyBorder="1" applyAlignment="1">
      <x:alignment horizontal="center"/>
    </x:xf>
    <x:xf numFmtId="172" fontId="4" fillId="0" borderId="2" xfId="0" applyNumberFormat="1" applyFont="1" applyFill="1" applyBorder="1"/>
    <x:xf numFmtId="172" fontId="4" fillId="0" borderId="2" xfId="0" applyNumberFormat="1" applyFont="1" applyFill="1" applyBorder="1" applyAlignment="1">
      <x:alignment horizontal="center"/>
    </x:xf>
    <x:xf numFmtId="172" fontId="4" fillId="4" borderId="2" xfId="0" applyNumberFormat="1" applyFont="1" applyFill="1" applyBorder="1" applyAlignment="1">
      <x:alignment horizontal="center"/>
    </x:xf>
    <x:xf numFmtId="171" fontId="0" fillId="4" borderId="0" xfId="0" applyNumberFormat="1" applyFont="1" applyFill="1" applyBorder="1" applyAlignment="1">
      <x:alignment horizontal="center"/>
    </x:xf>
    <x:xf numFmtId="168" fontId="0" fillId="0" borderId="0" xfId="0" applyNumberFormat="1" applyFont="1" applyFill="1" applyBorder="1" applyAlignment="1">
      <x:alignment horizontal="center"/>
    </x:xf>
    <x:xf numFmtId="168" fontId="0" fillId="4" borderId="0" xfId="0" applyNumberFormat="1" applyFont="1" applyFill="1" applyBorder="1" applyAlignment="1">
      <x:alignment horizontal="center"/>
    </x:xf>
    <x:xf numFmtId="0" fontId="14" fillId="0" borderId="0" xfId="0" applyNumberFormat="1" applyFont="1" applyFill="1" applyBorder="1"/>
    <x:xf numFmtId="0" fontId="15" fillId="0" borderId="0" xfId="0" applyNumberFormat="1" applyFont="1" applyFill="1" applyBorder="1"/>
    <x:xf numFmtId="0" fontId="14" fillId="0" borderId="0" xfId="0" applyNumberFormat="1" applyFont="1" applyFill="1" applyBorder="1" applyAlignment="1">
      <x:alignment horizontal="center" wrapText="1"/>
    </x:xf>
    <x:xf numFmtId="0" fontId="14" fillId="0" borderId="0" xfId="0" applyNumberFormat="1" applyFont="1" applyFill="1" applyBorder="1" applyAlignment="1">
      <x:alignment horizontal="center"/>
    </x:xf>
    <x:xf numFmtId="10" fontId="14" fillId="0" borderId="0" xfId="0" applyNumberFormat="1" applyFont="1" applyFill="1" applyBorder="1" applyAlignment="1">
      <x:alignment horizontal="center"/>
    </x:xf>
    <x:xf numFmtId="3" fontId="14" fillId="0" borderId="0" xfId="0" applyNumberFormat="1" applyFont="1" applyFill="1" applyBorder="1"/>
    <x:xf numFmtId="0" fontId="14" fillId="0" borderId="0" xfId="0" applyNumberFormat="1" applyFont="1" applyFill="1" applyBorder="1" applyAlignment="1">
      <x:alignment horizontal="left" vertical="top" wrapText="1"/>
    </x:xf>
    <x:xf numFmtId="0" fontId="13" fillId="0" borderId="0" xfId="0" applyNumberFormat="1" applyFont="1" applyFill="1" applyBorder="1" applyAlignment="1">
      <x:alignment horizontal="left" vertical="top" wrapText="1"/>
    </x:xf>
    <x:xf numFmtId="0" fontId="0" fillId="0" borderId="2" xfId="0" applyNumberFormat="1" applyFont="1" applyFill="1" applyBorder="1" applyAlignment="1">
      <x:alignment horizontal="center"/>
    </x:xf>
    <x:xf numFmtId="172" fontId="0" fillId="0" borderId="2" xfId="0" applyNumberFormat="1" applyFont="1" applyFill="1" applyBorder="1" applyAlignment="1">
      <x:alignment horizontal="center"/>
    </x:xf>
    <x:xf numFmtId="172" fontId="0" fillId="4" borderId="2" xfId="0" applyNumberFormat="1" applyFont="1" applyFill="1" applyBorder="1" applyAlignment="1">
      <x:alignment horizontal="center"/>
    </x:xf>
    <x:xf numFmtId="1" fontId="0" fillId="4" borderId="0" xfId="0" applyNumberFormat="1" applyFont="1" applyFill="1" applyBorder="1" applyAlignment="1">
      <x:alignment horizontal="center"/>
    </x:xf>
    <x:xf numFmtId="174" fontId="0" fillId="0" borderId="0" xfId="0" applyNumberFormat="1" applyFont="1" applyFill="1" applyBorder="1" applyAlignment="1">
      <x:alignment horizontal="center"/>
    </x:xf>
    <x:xf numFmtId="174" fontId="0" fillId="4" borderId="0" xfId="0" applyNumberFormat="1" applyFont="1" applyFill="1" applyBorder="1" applyAlignment="1">
      <x:alignment horizontal="center"/>
    </x:xf>
    <x:xf numFmtId="0" fontId="16" fillId="0" borderId="0" xfId="0" applyNumberFormat="1" applyFont="1" applyFill="1" applyBorder="1"/>
    <x:xf numFmtId="0" fontId="6" fillId="2" borderId="0" xfId="0" applyNumberFormat="1" applyFont="1" applyFill="1" applyBorder="1"/>
    <x:xf numFmtId="0" fontId="12" fillId="5" borderId="0" xfId="0" applyNumberFormat="1" applyFont="1" applyFill="1" applyBorder="1"/>
    <x:xf numFmtId="0" fontId="12" fillId="0" borderId="0" xfId="0" applyNumberFormat="1" applyFont="1" applyFill="1" applyBorder="1"/>
    <x:xf numFmtId="10" fontId="0" fillId="0" borderId="0" xfId="0" applyNumberFormat="1" applyFont="1" applyFill="1" applyBorder="1" applyAlignment="1">
      <x:alignment horizontal="center"/>
    </x:xf>
    <x:xf numFmtId="10" fontId="0" fillId="0" borderId="0" xfId="0" applyNumberFormat="1" applyFont="1" applyFill="1" applyBorder="1"/>
    <x:xf numFmtId="9" fontId="0" fillId="0" borderId="0" xfId="0" applyNumberFormat="1" applyFont="1" applyFill="1" applyBorder="1" applyAlignment="1">
      <x:alignment horizontal="center"/>
    </x:xf>
    <x:xf numFmtId="0" fontId="0" fillId="0" borderId="4" xfId="0" applyNumberFormat="1" applyFont="1" applyFill="1" applyBorder="1" applyAlignment="1">
      <x:alignment vertical="center"/>
    </x:xf>
    <x:xf numFmtId="0" fontId="0" fillId="0" borderId="2" xfId="0" applyNumberFormat="1" applyFont="1" applyFill="1" applyBorder="1" applyAlignment="1">
      <x:alignment vertical="center"/>
    </x:xf>
    <x:xf numFmtId="0" fontId="4" fillId="0" borderId="2" xfId="0" applyNumberFormat="1" applyFont="1" applyFill="1" applyBorder="1" applyAlignment="1">
      <x:alignment horizontal="center" wrapText="1"/>
    </x:xf>
    <x:xf numFmtId="0" fontId="4" fillId="0" borderId="2" xfId="0" applyNumberFormat="1" applyFont="1" applyFill="1" applyBorder="1" applyAlignment="1">
      <x:alignment horizontal="center" vertical="center" wrapText="1"/>
    </x:xf>
    <x:xf numFmtId="0" fontId="0" fillId="0" borderId="5"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0" borderId="5" xfId="0" applyNumberFormat="1" applyFont="1" applyFill="1" applyBorder="1"/>
    <x:xf numFmtId="0" fontId="17" fillId="0" borderId="0" xfId="0" applyNumberFormat="1" applyFont="1" applyFill="1" applyBorder="1"/>
    <x:xf numFmtId="0" fontId="0" fillId="0" borderId="6" xfId="0" applyNumberFormat="1" applyFont="1" applyFill="1" applyBorder="1"/>
    <x:xf numFmtId="175" fontId="0" fillId="0" borderId="0" xfId="0" applyNumberFormat="1" applyFont="1" applyFill="1" applyBorder="1"/>
    <x:xf numFmtId="0" fontId="4" fillId="0" borderId="0" xfId="0" applyNumberFormat="1" applyFont="1" applyFill="1" applyBorder="1" applyAlignment="1">
      <x:alignment horizontal="center" wrapText="1"/>
    </x:xf>
    <x:xf numFmtId="173" fontId="0" fillId="0" borderId="0" xfId="0" applyNumberFormat="1" applyFont="1" applyFill="1" applyBorder="1" applyAlignment="1">
      <x:alignment horizontal="center"/>
    </x:xf>
    <x:xf numFmtId="172" fontId="0" fillId="0" borderId="0" xfId="0" applyNumberFormat="1" applyFont="1" applyFill="1" applyBorder="1"/>
    <x:xf numFmtId="0" fontId="18" fillId="0" borderId="0" xfId="0" applyNumberFormat="1" applyFont="1" applyFill="1" applyBorder="1"/>
    <x:xf numFmtId="176" fontId="0" fillId="0" borderId="0" xfId="0" applyNumberFormat="1" applyFont="1" applyFill="1" applyBorder="1"/>
    <x:xf numFmtId="177" fontId="0" fillId="0" borderId="0" xfId="0" applyNumberFormat="1" applyFont="1" applyFill="1" applyBorder="1" applyAlignment="1">
      <x:alignment horizontal="left"/>
    </x:xf>
    <x:xf numFmtId="9" fontId="4" fillId="0" borderId="0" xfId="0" applyNumberFormat="1" applyFont="1" applyFill="1" applyBorder="1" applyAlignment="1">
      <x:alignment horizontal="center"/>
    </x:xf>
    <x:xf numFmtId="0" fontId="12" fillId="5" borderId="0" xfId="0" applyNumberFormat="1" applyFont="1" applyFill="1" applyBorder="1" applyAlignment="1">
      <x:alignment horizontal="center"/>
    </x:xf>
    <x:xf numFmtId="0" fontId="12" fillId="2" borderId="0" xfId="0" applyNumberFormat="1" applyFont="1" applyFill="1" applyBorder="1" applyAlignment="1">
      <x:alignment horizontal="center" vertical="center"/>
    </x:xf>
    <x:xf numFmtId="0" fontId="12" fillId="3" borderId="0" xfId="0" applyNumberFormat="1" applyFont="1" applyFill="1" applyBorder="1" applyAlignment="1">
      <x:alignment horizontal="center" vertical="center"/>
    </x:xf>
    <x:xf numFmtId="172" fontId="17" fillId="0" borderId="0" xfId="0" applyNumberFormat="1" applyFont="1" applyFill="1" applyBorder="1" applyAlignment="1">
      <x:alignment horizontal="center"/>
    </x:xf>
    <x:xf numFmtId="168" fontId="7" fillId="0" borderId="0" xfId="0" applyNumberFormat="1" applyFont="1" applyFill="1" applyBorder="1" applyAlignment="1">
      <x:alignment horizontal="center"/>
    </x:xf>
    <x:xf numFmtId="0" fontId="12" fillId="3" borderId="0" xfId="0" applyNumberFormat="1" applyFont="1" applyFill="1" applyBorder="1" applyAlignment="1">
      <x:alignment horizontal="center"/>
    </x:xf>
    <x:xf numFmtId="3" fontId="17" fillId="0" borderId="0" xfId="0" applyNumberFormat="1" applyFont="1" applyFill="1" applyBorder="1" applyAlignment="1">
      <x:alignment horizontal="center"/>
    </x:xf>
    <x:xf numFmtId="1" fontId="0" fillId="0" borderId="0" xfId="0" applyNumberFormat="1" applyFont="1" applyFill="1" applyBorder="1" applyAlignment="1">
      <x:alignment horizontal="center"/>
    </x:xf>
    <x:xf numFmtId="0" fontId="4" fillId="0" borderId="0" xfId="0" applyNumberFormat="1" applyFont="1" applyFill="1" applyBorder="1" applyAlignment="1">
      <x:alignment horizontal="left"/>
    </x:xf>
    <x:xf numFmtId="0" fontId="0" fillId="6" borderId="0" xfId="0" applyNumberFormat="1" applyFont="1" applyFill="1" applyBorder="1" applyAlignment="1">
      <x:alignment horizontal="center"/>
    </x:xf>
    <x:xf numFmtId="9" fontId="0" fillId="6" borderId="7" xfId="0" applyNumberFormat="1" applyFont="1" applyFill="1" applyBorder="1" applyAlignment="1">
      <x:alignment horizontal="center"/>
    </x:xf>
    <x:xf numFmtId="168" fontId="0" fillId="6" borderId="7" xfId="0" applyNumberFormat="1" applyFont="1" applyFill="1" applyBorder="1" applyAlignment="1">
      <x:alignment horizontal="center"/>
    </x:xf>
    <x:xf numFmtId="168" fontId="0" fillId="6" borderId="0" xfId="0" applyNumberFormat="1" applyFont="1" applyFill="1" applyBorder="1" applyAlignment="1">
      <x:alignment horizontal="center"/>
    </x:xf>
    <x:xf numFmtId="0" fontId="19" fillId="0" borderId="0" xfId="0" applyNumberFormat="1" applyFont="1" applyFill="1" applyBorder="1"/>
    <x:xf numFmtId="168" fontId="19" fillId="0" borderId="0" xfId="0" applyNumberFormat="1" applyFont="1" applyFill="1" applyBorder="1" applyAlignment="1">
      <x:alignment horizontal="center"/>
    </x:xf>
    <x:xf numFmtId="172" fontId="20" fillId="0" borderId="0" xfId="0" applyNumberFormat="1" applyFont="1" applyFill="1" applyBorder="1" applyAlignment="1">
      <x:alignment horizontal="center"/>
    </x:xf>
    <x:xf numFmtId="0" fontId="0" fillId="0" borderId="8" xfId="0" applyNumberFormat="1" applyFont="1" applyFill="1" applyBorder="1"/>
    <x:xf numFmtId="172" fontId="0" fillId="0" borderId="8" xfId="0" applyNumberFormat="1" applyFont="1" applyFill="1" applyBorder="1"/>
    <x:xf numFmtId="0" fontId="0" fillId="0" borderId="4" xfId="0" applyNumberFormat="1" applyFont="1" applyFill="1" applyBorder="1"/>
    <x:xf numFmtId="172" fontId="0" fillId="0" borderId="9" xfId="0" applyNumberFormat="1" applyFont="1" applyFill="1" applyBorder="1" applyAlignment="1">
      <x:alignment horizontal="center"/>
    </x:xf>
    <x:xf numFmtId="172" fontId="0" fillId="0" borderId="1" xfId="0" applyNumberFormat="1" applyFont="1" applyFill="1" applyBorder="1" applyAlignment="1">
      <x:alignment horizontal="center" vertical="center"/>
    </x:xf>
    <x:xf numFmtId="172" fontId="0" fillId="0" borderId="10" xfId="0" applyNumberFormat="1" applyFont="1" applyFill="1" applyBorder="1" applyAlignment="1">
      <x:alignment horizontal="center" vertical="center"/>
    </x:xf>
    <x:xf numFmtId="178" fontId="0" fillId="0" borderId="0" xfId="0" applyNumberFormat="1" applyFont="1" applyFill="1" applyBorder="1"/>
    <x:xf numFmtId="2" fontId="0" fillId="0" borderId="0" xfId="0" applyNumberFormat="1" applyFont="1" applyFill="1" applyBorder="1" applyAlignment="1">
      <x:alignment horizontal="center"/>
    </x:xf>
    <x:xf numFmtId="179" fontId="0" fillId="0" borderId="0" xfId="0" applyNumberFormat="1" applyFont="1" applyFill="1" applyBorder="1" applyAlignment="1">
      <x:alignment horizontal="center"/>
    </x:xf>
    <x:xf numFmtId="176" fontId="0" fillId="0" borderId="0" xfId="0" applyNumberFormat="1" applyFont="1" applyFill="1" applyBorder="1" applyAlignment="1">
      <x:alignment horizontal="center"/>
    </x:xf>
    <x:xf numFmtId="1" fontId="0" fillId="0" borderId="0" xfId="0" applyNumberFormat="1" applyFont="1" applyFill="1" applyBorder="1"/>
    <x:xf numFmtId="180" fontId="0" fillId="0" borderId="0" xfId="0" applyNumberFormat="1" applyFont="1" applyFill="1" applyBorder="1"/>
    <x:xf numFmtId="181" fontId="0" fillId="0" borderId="0" xfId="0" applyNumberFormat="1" applyFont="1" applyFill="1" applyBorder="1"/>
    <x:xf numFmtId="10" fontId="21" fillId="0" borderId="0" xfId="0" applyNumberFormat="1" applyFont="1" applyFill="1" applyBorder="1"/>
    <x:xf numFmtId="10" fontId="21" fillId="0" borderId="1" xfId="0" applyNumberFormat="1" applyFont="1" applyFill="1" applyBorder="1"/>
    <x:xf numFmtId="10" fontId="21" fillId="0" borderId="0" xfId="0" applyNumberFormat="1" applyFont="1" applyFill="1" applyBorder="1" applyAlignment="1">
      <x:alignment horizontal="center"/>
    </x:xf>
    <x:xf numFmtId="10" fontId="21" fillId="0" borderId="0" xfId="0" applyNumberFormat="1" applyFont="1" applyFill="1" applyBorder="1" applyAlignment="1">
      <x:alignment horizontal="center" vertical="center"/>
    </x:xf>
    <x:xf numFmtId="0" fontId="22" fillId="0" borderId="0" xfId="0" applyNumberFormat="1" applyFont="1" applyFill="1" applyBorder="1" applyAlignment="1">
      <x:alignment vertical="top"/>
    </x:xf>
    <x:xf numFmtId="2" fontId="0" fillId="0" borderId="0" xfId="0" applyNumberFormat="1" applyFont="1" applyFill="1" applyBorder="1" applyAlignment="1">
      <x:alignment horizontal="right"/>
    </x:xf>
    <x:xf numFmtId="2" fontId="21" fillId="0" borderId="0" xfId="0" applyNumberFormat="1" applyFont="1" applyFill="1" applyBorder="1" applyAlignment="1">
      <x:alignment horizontal="center" vertical="center"/>
    </x:xf>
    <x:xf numFmtId="2" fontId="21" fillId="0" borderId="0" xfId="0" applyNumberFormat="1" applyFont="1" applyFill="1" applyBorder="1"/>
    <x:xf numFmtId="2" fontId="21" fillId="0" borderId="1" xfId="0" applyNumberFormat="1" applyFont="1" applyFill="1" applyBorder="1"/>
    <x:xf numFmtId="0" fontId="25" fillId="0" borderId="0" xfId="0" applyNumberFormat="1" applyFont="1" applyFill="1" applyBorder="1" applyAlignment="1">
      <x:alignment vertical="top"/>
    </x:xf>
    <x:xf numFmtId="0" fontId="26" fillId="8" borderId="0" xfId="0" applyNumberFormat="1" applyFont="1" applyFill="1" applyBorder="1"/>
    <x:xf numFmtId="0" fontId="4" fillId="9" borderId="0" xfId="0" applyNumberFormat="1" applyFont="1" applyFill="1" applyBorder="1"/>
    <x:xf numFmtId="168" fontId="4" fillId="9" borderId="0" xfId="0" applyNumberFormat="1" applyFont="1" applyFill="1" applyBorder="1"/>
    <x:xf numFmtId="168" fontId="0" fillId="0" borderId="0" xfId="0" applyNumberFormat="1" applyFont="1" applyFill="1" applyBorder="1" applyAlignment="1">
      <x:alignment wrapText="1"/>
    </x:xf>
    <x:xf numFmtId="0" fontId="3" fillId="0" borderId="1" xfId="0" applyNumberFormat="1" applyFont="1" applyFill="1" applyBorder="1" applyAlignment="1">
      <x:alignment horizontal="center"/>
    </x:xf>
    <x:xf numFmtId="0" fontId="0" fillId="0" borderId="1" xfId="0" applyNumberFormat="1" applyFont="1" applyFill="1" applyBorder="1" applyAlignment="1">
      <x:alignment horizontal="center"/>
    </x:xf>
    <x:xf numFmtId="0" fontId="23" fillId="7" borderId="3" xfId="0" applyNumberFormat="1" applyFont="1" applyFill="1" applyBorder="1" applyAlignment="1">
      <x:alignment horizontal="left" vertical="top" wrapText="1"/>
    </x:xf>
    <x:xf numFmtId="0" fontId="25" fillId="0" borderId="0" xfId="0" applyNumberFormat="1" applyFont="1" applyFill="1" applyBorder="1"/>
    <x:xf numFmtId="0" fontId="0" fillId="10" borderId="0" xfId="0" applyNumberFormat="1" applyFont="1" applyFill="1" applyBorder="1"/>
    <x:xf numFmtId="0" fontId="27" fillId="10" borderId="0" xfId="0" applyNumberFormat="1" applyFont="1" applyFill="1" applyBorder="1"/>
    <x:xf numFmtId="0" fontId="26" fillId="10" borderId="0" xfId="0" applyNumberFormat="1" applyFont="1" applyFill="1" applyBorder="1"/>
    <x:xf numFmtId="0" fontId="0" fillId="11" borderId="0" xfId="0" applyNumberFormat="1" applyFont="1" applyFill="1" applyBorder="1"/>
    <x:xf numFmtId="0" fontId="4" fillId="11"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202" fontId="4" fillId="11" borderId="0" xfId="0" applyNumberFormat="1" applyFont="1" applyFill="1" applyBorder="1"/>
    <x:xf numFmtId="202" fontId="0" fillId="0" borderId="0" xfId="0" applyNumberFormat="1" applyFont="1" applyFill="1" applyBorder="1"/>
  </x:cellXfs>
  <x:cellStyles count="10">
    <x:cellStyle name="Comma" xfId="2"/>
    <x:cellStyle name="Comma [0]" xfId="3"/>
    <x:cellStyle name="Comma 2" xfId="7"/>
    <x:cellStyle name="Currency" xfId="4"/>
    <x:cellStyle name="Currency [0]" xfId="5"/>
    <x:cellStyle name="Currency 2" xfId="8"/>
    <x:cellStyle name="Hyperlink" xfId="1"/>
    <x:cellStyle name="Normal" xfId="0"/>
    <x:cellStyle name="Normal 2" xfId="9"/>
    <x:cellStyle name="Percent" xfId="6"/>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7030A0"/>
      <x:rgbColor rgb="FFFFF7D6"/>
      <x:rgbColor rgb="FFCCFFFF"/>
      <x:rgbColor rgb="FF660066"/>
      <x:rgbColor rgb="FFFF8080"/>
      <x:rgbColor rgb="FF0563C1"/>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2CC"/>
      <x:rgbColor rgb="FF99CCFF"/>
      <x:rgbColor rgb="FFFF99CC"/>
      <x:rgbColor rgb="FFCC99FF"/>
      <x:rgbColor rgb="FFF4B183"/>
      <x:rgbColor rgb="FF3366FF"/>
      <x:rgbColor rgb="FF33CCCC"/>
      <x:rgbColor rgb="FF99CC00"/>
      <x:rgbColor rgb="FFD9B84A"/>
      <x:rgbColor rgb="FFFF9900"/>
      <x:rgbColor rgb="FFC55A11"/>
      <x:rgbColor rgb="FF666699"/>
      <x:rgbColor rgb="FF969696"/>
      <x:rgbColor rgb="FF003366"/>
      <x:rgbColor rgb="FF339966"/>
      <x:rgbColor rgb="FF003300"/>
      <x:rgbColor rgb="FF4A3B00"/>
      <x:rgbColor rgb="FF6B5300"/>
      <x:rgbColor rgb="FF993366"/>
      <x:rgbColor rgb="FF333399"/>
      <x:rgbColor rgb="FF333F4F"/>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ff7cf386d4b4405" /><Relationship Type="http://schemas.openxmlformats.org/officeDocument/2006/relationships/theme" Target="/xl/theme/theme1.xml" Id="R7d2e8f01e9b245bb" /><Relationship Type="http://schemas.openxmlformats.org/officeDocument/2006/relationships/sharedStrings" Target="/xl/sharedStrings.xml" Id="Rfcc05af6d5d74ccf" /><Relationship Type="http://schemas.openxmlformats.org/officeDocument/2006/relationships/worksheet" Target="/xl/worksheets/sheet1.xml" Id="R91b526d865b640b6" /><Relationship Type="http://schemas.openxmlformats.org/officeDocument/2006/relationships/worksheet" Target="/xl/worksheets/sheet2.xml" Id="R426e88be3e1b42a1" /><Relationship Type="http://schemas.openxmlformats.org/officeDocument/2006/relationships/worksheet" Target="/xl/worksheets/sheet3.xml" Id="Rcc40ad998735476c" /><Relationship Type="http://schemas.openxmlformats.org/officeDocument/2006/relationships/worksheet" Target="/xl/worksheets/sheet4.xml" Id="Rc101c520340740ba" /><Relationship Type="http://schemas.openxmlformats.org/officeDocument/2006/relationships/worksheet" Target="/xl/worksheets/sheet5.xml" Id="R4b1fa07c5bb24694" /><Relationship Type="http://schemas.openxmlformats.org/officeDocument/2006/relationships/worksheet" Target="/xl/worksheets/sheet6.xml" Id="Rf9abe714a50943a4" /><Relationship Type="http://schemas.openxmlformats.org/officeDocument/2006/relationships/worksheet" Target="/xl/worksheets/sheet7.xml" Id="R5bb8de8ce8a34741" /><Relationship Type="http://schemas.openxmlformats.org/officeDocument/2006/relationships/worksheet" Target="/xl/worksheets/sheet8.xml" Id="R05f33780e8cf478a" /><Relationship Type="http://schemas.openxmlformats.org/officeDocument/2006/relationships/worksheet" Target="/xl/worksheets/sheet9.xml" Id="Rc5b9d79ce3d540c2" /><Relationship Type="http://schemas.openxmlformats.org/officeDocument/2006/relationships/worksheet" Target="/xl/worksheets/sheet10.xml" Id="R5f627817c9e741ea" /><Relationship Type="http://schemas.openxmlformats.org/officeDocument/2006/relationships/worksheet" Target="/xl/worksheets/sheet11.xml" Id="R31f0a8b90d4a463e" /><Relationship Type="http://schemas.openxmlformats.org/officeDocument/2006/relationships/worksheet" Target="/xl/worksheets/sheet12.xml" Id="Radb1fa69f49d49f7" /></Relationships>
</file>

<file path=xl/drawings/_rels/drawing1.xml.rels>&#65279;<?xml version="1.0" encoding="utf-8"?><Relationships xmlns="http://schemas.openxmlformats.org/package/2006/relationships"><Relationship Type="http://schemas.openxmlformats.org/officeDocument/2006/relationships/image" Target="/xl/media/image.png" Id="R944745ccea3b45b7" /></Relationships>
</file>

<file path=xl/drawings/drawing1.xml><?xml version="1.0" encoding="utf-8"?>
<xdr:wsDr xmlns:xdr="http://schemas.openxmlformats.org/drawingml/2006/spreadsheetDrawing">
  <xdr:twoCellAnchor editAs="oneCell">
    <xdr:from>
      <xdr:col>4</xdr:col>
      <xdr:colOff>142920</xdr:colOff>
      <xdr:row>1</xdr:row>
      <xdr:rowOff>15480</xdr:rowOff>
    </xdr:from>
    <xdr:to>
      <xdr:col>5</xdr:col>
      <xdr:colOff>130680</xdr:colOff>
      <xdr:row>2</xdr:row>
      <xdr:rowOff>12600</xdr:rowOff>
    </xdr:to>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944745ccea3b45b7"/>
        <a:stretch xmlns:a="http://schemas.openxmlformats.org/drawingml/2006/main">
          <a:fillRect/>
        </a:stretch>
      </xdr:blipFill>
      <xdr:spPr>
        <a:prstGeom xmlns:a="http://schemas.openxmlformats.org/drawingml/2006/main" prst="rect"/>
      </xdr:spPr>
    </xdr:pic>
    <xdr:clientData/>
  </xdr:twoCellAnchor>
</xdr:wsDr>
</file>

<file path=xl/tables/table1.xml><?xml version="1.0" encoding="utf-8"?>
<x:table xmlns:x="http://schemas.openxmlformats.org/spreadsheetml/2006/main" id="1" name="Table3" displayName="Table3" ref="A6:T35" totalsRowShown="0">
  <x:tableColumns count="20">
    <x:tableColumn id="1" name="Fiscal Year"/>
    <x:tableColumn id="2" name="Q4 2021"/>
    <x:tableColumn id="3" name="Q1 2022"/>
    <x:tableColumn id="4" name="Q2 2022"/>
    <x:tableColumn id="5" name="Q3 2022"/>
    <x:tableColumn id="6" name="Q4 2022"/>
    <x:tableColumn id="7" name="Q1 2023"/>
    <x:tableColumn id="8" name="Q2 2023"/>
    <x:tableColumn id="9" name="Q3 2023"/>
    <x:tableColumn id="10" name="Q4 2023"/>
    <x:tableColumn id="11" name="Q1 2024"/>
    <x:tableColumn id="12" name="Q2 2024"/>
    <x:tableColumn id="13" name="Q3 2024"/>
    <x:tableColumn id="14" name="Q4 2024"/>
    <x:tableColumn id="15" name="Q1 2025"/>
    <x:tableColumn id="16" name="Q2 2025"/>
    <x:tableColumn id="17" name="Q3 2025"/>
    <x:tableColumn id="18" name="Q4 2025"/>
    <x:tableColumn id="19" name="Q1 2026"/>
    <x:tableColumn id="20" name="Q2 2026"/>
  </x:tableColumns>
  <x:tableStyleInfo showFirstColumn="0" showLastColumn="0" showRowStripes="1" showColumnStripes="0"/>
</x:table>
</file>

<file path=xl/tables/table2.xml><?xml version="1.0" encoding="utf-8"?>
<x:table xmlns:x="http://schemas.openxmlformats.org/spreadsheetml/2006/main" id="2" name="Table4" displayName="Table4" ref="A6:T44" totalsRowShown="0">
  <x:tableColumns count="20">
    <x:tableColumn id="1" name="Fiscal Year"/>
    <x:tableColumn id="2" name="Q4 2021"/>
    <x:tableColumn id="3" name="Q1 2022"/>
    <x:tableColumn id="4" name="Q2 2022"/>
    <x:tableColumn id="5" name="Q3 2022"/>
    <x:tableColumn id="6" name="Q4 2022"/>
    <x:tableColumn id="7" name="Q1 2023"/>
    <x:tableColumn id="8" name="Q2 2023"/>
    <x:tableColumn id="9" name="Q3 2023"/>
    <x:tableColumn id="10" name="Q4 2023"/>
    <x:tableColumn id="11" name="Q1 2024"/>
    <x:tableColumn id="12" name="Q2 2024"/>
    <x:tableColumn id="13" name="Q3 2024"/>
    <x:tableColumn id="14" name="Q4 2024"/>
    <x:tableColumn id="15" name="Q1 2025"/>
    <x:tableColumn id="16" name="Q2 2025"/>
    <x:tableColumn id="17" name="Q3 2025"/>
    <x:tableColumn id="18" name="Q4 2025"/>
    <x:tableColumn id="19" name="Q1 2026"/>
    <x:tableColumn id="20" name="Q2 2026"/>
  </x:tableColumns>
  <x:tableStyleInfo showFirstColumn="0" showLastColumn="0" showRowStripes="1" showColumnStripes="0"/>
</x:table>
</file>

<file path=xl/tables/table3.xml><?xml version="1.0" encoding="utf-8"?>
<x:table xmlns:x="http://schemas.openxmlformats.org/spreadsheetml/2006/main" id="3" name="Table5" displayName="Table5" ref="A6:S55" totalsRowShown="0">
  <x:tableColumns count="19">
    <x:tableColumn id="1" name="Fiscal Year"/>
    <x:tableColumn id="2" name="Q1 2022"/>
    <x:tableColumn id="3" name="Q2 2022"/>
    <x:tableColumn id="4" name="Q3 2022"/>
    <x:tableColumn id="5" name="Q4 2022"/>
    <x:tableColumn id="6" name="Q1 2023"/>
    <x:tableColumn id="7" name="Q2 2023"/>
    <x:tableColumn id="8" name="Q3 2023"/>
    <x:tableColumn id="9" name="Q4 2023"/>
    <x:tableColumn id="10" name="Q1 2024"/>
    <x:tableColumn id="11" name="Q2 2024"/>
    <x:tableColumn id="12" name="Q3 2024"/>
    <x:tableColumn id="13" name="Q4 2024"/>
    <x:tableColumn id="14" name="Q1 2025"/>
    <x:tableColumn id="15" name="Q2 2025"/>
    <x:tableColumn id="16" name="Q3 2025"/>
    <x:tableColumn id="17" name="Q4 2025"/>
    <x:tableColumn id="18" name="Q1 2026"/>
    <x:tableColumn id="19" name="Q2 2026"/>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db62ba86031465f" /></Relationships>
</file>

<file path=xl/worksheets/_rels/sheet3.xml.rels>&#65279;<?xml version="1.0" encoding="utf-8"?><Relationships xmlns="http://schemas.openxmlformats.org/package/2006/relationships"><Relationship Type="http://schemas.openxmlformats.org/officeDocument/2006/relationships/table" Target="/xl/tables/table1.xml" Id="Reaa9280d0aa042c3" /></Relationships>
</file>

<file path=xl/worksheets/_rels/sheet4.xml.rels>&#65279;<?xml version="1.0" encoding="utf-8"?><Relationships xmlns="http://schemas.openxmlformats.org/package/2006/relationships"><Relationship Type="http://schemas.openxmlformats.org/officeDocument/2006/relationships/table" Target="/xl/tables/table2.xml" Id="Re67819aa543a451e" /></Relationships>
</file>

<file path=xl/worksheets/_rels/sheet5.xml.rels>&#65279;<?xml version="1.0" encoding="utf-8"?><Relationships xmlns="http://schemas.openxmlformats.org/package/2006/relationships"><Relationship Type="http://schemas.openxmlformats.org/officeDocument/2006/relationships/table" Target="/xl/tables/table3.xml" Id="Ra2042274cba44e0d" /></Relationships>
</file>

<file path=xl/worksheets/_rels/sheet11.xml.rels>&#65279;<?xml version="1.0" encoding="utf-8"?><Relationships xmlns="http://schemas.openxmlformats.org/package/2006/relationships"><Relationship Type="http://schemas.openxmlformats.org/officeDocument/2006/relationships/hyperlink" Target="https://acquirersmultiple.com/2025/11/nvidia-corporation-nvda-our-calculation-of-intrinsic-value-2/ (published AFTER valuation date; contextual only)" TargetMode="External" Id="R66ad250b4ff64ca7" /></Relationships>
</file>

<file path=xl/worksheets/sheet1.xml><?xml version="1.0" encoding="utf-8"?>
<x:worksheet xmlns:x="http://schemas.openxmlformats.org/spreadsheetml/2006/main">
  <x:sheetViews>
    <x:sheetView showGridLines="0" workbookViewId="0"/>
  </x:sheetViews>
  <x:sheetFormatPr defaultColWidth="8.6640625" defaultRowHeight="14.25"/>
  <x:cols>
    <x:col min="1" max="1" width="1" customWidth="1"/>
    <x:col min="2" max="2" width="24.3984375" customWidth="1"/>
    <x:col min="3" max="3" width="48.1328125" customWidth="1"/>
    <x:col min="4" max="4" width="9" customWidth="1"/>
  </x:cols>
  <x:sheetData>
    <x:row r="1" ht="5.25" customHeight="1"/>
    <x:row r="2" ht="25.5" customHeight="1">
      <x:c r="B2" s="155" t="s">
        <x:v>0</x:v>
      </x:c>
      <x:c r="C2" s="155"/>
      <x:c r="D2" s="155"/>
    </x:row>
    <x:row r="4" ht="14.25" customHeight="1">
      <x:c r="B4" s="3" t="s">
        <x:v>1</x:v>
      </x:c>
      <x:c r="C4" s="4" t="s">
        <x:v>2</x:v>
      </x:c>
    </x:row>
    <x:row r="5" ht="14.25" customHeight="1">
      <x:c r="B5" s="3" t="s">
        <x:v>3</x:v>
      </x:c>
      <x:c r="C5" t="s">
        <x:v>4</x:v>
      </x:c>
    </x:row>
    <x:row r="6" ht="71.25" customHeight="1">
      <x:c r="B6" s="5" t="s">
        <x:v>5</x:v>
      </x:c>
      <x:c r="C6" s="6" t="s">
        <x:v>6</x:v>
      </x:c>
    </x:row>
    <x:row r="7" ht="57" customHeight="1">
      <x:c r="B7" s="5" t="s">
        <x:v>7</x:v>
      </x:c>
      <x:c r="C7" s="6" t="s">
        <x:v>8</x:v>
      </x:c>
    </x:row>
    <x:row r="9" ht="14.25" customHeight="1">
      <x:c r="B9" s="3" t="s">
        <x:v>9</x:v>
      </x:c>
      <x:c r="C9" s="3" t="s">
        <x:v>10</x:v>
      </x:c>
    </x:row>
    <x:row r="10" ht="14.25" customHeight="1">
      <x:c r="B10" t="s">
        <x:v>11</x:v>
      </x:c>
      <x:c r="C10" s="7" t="n">
        <x:f>'DCF Valuation'!J5</x:f>
        <x:v>193.8</x:v>
      </x:c>
    </x:row>
    <x:row r="11" ht="14.25" customHeight="1">
      <x:c r="B11" t="s">
        <x:v>12</x:v>
      </x:c>
      <x:c r="C11" s="7" t="n">
        <x:f>'DCF Valuation'!J4</x:f>
        <x:v>69.1764738895233</x:v>
      </x:c>
    </x:row>
    <x:row r="12" ht="14.25" customHeight="1">
      <x:c r="B12" t="s">
        <x:v>13</x:v>
      </x:c>
      <x:c r="C12" s="8" t="n">
        <x:f>'DCF Valuation'!J6</x:f>
        <x:v>-0.6430522503120573</x:v>
      </x:c>
    </x:row>
    <x:row r="13" ht="14.25" customHeight="1">
      <x:c r="B13" t="s">
        <x:v>14</x:v>
      </x:c>
      <x:c r="C13" s="9" t="n">
        <x:f>WACC!F21</x:f>
        <x:v>0.13779548661688432</x:v>
      </x:c>
    </x:row>
    <x:row r="14" ht="14.25" customHeight="1">
      <x:c r="B14" t="s">
        <x:v>15</x:v>
      </x:c>
      <x:c r="C14" s="10" t="n">
        <x:f>'DCF Valuation'!D43</x:f>
        <x:v>0.035</x:v>
      </x:c>
    </x:row>
    <x:row r="15" ht="14.25" customHeight="1">
      <x:c r="B15" t="s">
        <x:v>16</x:v>
      </x:c>
      <x:c r="C15" s="9" t="s">
        <x:v>2</x:v>
      </x:c>
    </x:row>
    <x:row r="16" ht="14.25" customHeight="1">
      <x:c r="C16" s="11"/>
    </x:row>
    <x:row r="17" ht="14.25" customHeight="1">
      <x:c r="B17" s="3" t="s">
        <x:v>17</x:v>
      </x:c>
      <x:c r="C17" s="12" t="s">
        <x:v>10</x:v>
      </x:c>
    </x:row>
    <x:row r="18" ht="14.25" customHeight="1">
      <x:c r="B18" t="s">
        <x:v>18</x:v>
      </x:c>
      <x:c r="C18" s="9" t="n">
        <x:f>WACC!F11</x:f>
        <x:v>0.138</x:v>
      </x:c>
    </x:row>
    <x:row r="19" ht="14.25" customHeight="1">
      <x:c r="B19" t="s">
        <x:v>19</x:v>
      </x:c>
      <x:c r="C19" s="13" t="n">
        <x:f>WACC!F13</x:f>
        <x:v>2</x:v>
      </x:c>
    </x:row>
    <x:row r="20" ht="14.25" customHeight="1">
      <x:c r="B20" t="s">
        <x:v>20</x:v>
      </x:c>
      <x:c r="C20" s="9" t="n">
        <x:f>WACC!F12</x:f>
        <x:v>0.0408</x:v>
      </x:c>
    </x:row>
    <x:row r="21" ht="14.25" customHeight="1">
      <x:c r="B21" t="s">
        <x:v>21</x:v>
      </x:c>
      <x:c r="C21" s="9" t="n">
        <x:f>WACC!F14</x:f>
        <x:v>0.0486</x:v>
      </x:c>
    </x:row>
    <x:row r="22" ht="14.25" customHeight="1">
      <x:c r="B22" t="s">
        <x:v>22</x:v>
      </x:c>
      <x:c r="C22" s="9" t="n">
        <x:f>WACC!F18</x:f>
        <x:v>0.029238235294117648</x:v>
      </x:c>
    </x:row>
    <x:row r="23" ht="14.25" customHeight="1">
      <x:c r="B23" t="s">
        <x:v>23</x:v>
      </x:c>
      <x:c r="C23" s="9" t="n">
        <x:f>WACC!F19</x:f>
        <x:v>0.17</x:v>
      </x:c>
    </x:row>
    <x:row r="25" ht="14.25" customHeight="1">
      <x:c r="B25" s="3" t="s">
        <x:v>24</x:v>
      </x:c>
      <x:c r="C25" s="3" t="s">
        <x:v>25</x:v>
      </x:c>
    </x:row>
    <x:row r="26" ht="27.75" customHeight="1">
      <x:c r="B26" s="150" t="s">
        <x:v>26</x:v>
      </x:c>
      <x:c r="C26" s="6" t="s">
        <x:v>27</x:v>
      </x:c>
    </x:row>
    <x:row r="27" ht="28.5" customHeight="1">
      <x:c r="B27" s="150" t="s">
        <x:v>28</x:v>
      </x:c>
      <x:c r="C27" s="6" t="s">
        <x:v>29</x:v>
      </x:c>
    </x:row>
    <x:row r="28" ht="14.25" customHeight="1">
      <x:c r="B28" s="150" t="s">
        <x:v>30</x:v>
      </x:c>
      <x:c r="C28" s="6" t="s">
        <x:v>31</x:v>
      </x:c>
    </x:row>
    <x:row r="29" ht="28.5" customHeight="1">
      <x:c r="B29" s="150" t="s">
        <x:v>32</x:v>
      </x:c>
      <x:c r="C29" s="6" t="s">
        <x:v>33</x:v>
      </x:c>
    </x:row>
    <x:row r="30" ht="28.5" customHeight="1">
      <x:c r="B30" s="150" t="s">
        <x:v>34</x:v>
      </x:c>
      <x:c r="C30" s="6" t="s">
        <x:v>35</x:v>
      </x:c>
    </x:row>
    <x:row r="31" ht="28.5" customHeight="1">
      <x:c r="B31" s="150" t="s">
        <x:v>36</x:v>
      </x:c>
      <x:c r="C31" s="6" t="s">
        <x:v>37</x:v>
      </x:c>
    </x:row>
    <x:row r="32">
      <x:c r="B32" s="150" t="s">
        <x:v>38</x:v>
      </x:c>
      <x:c r="C32" s="6" t="s">
        <x:v>39</x:v>
      </x:c>
    </x:row>
    <x:row r="33" ht="57">
      <x:c r="B33" s="150" t="s">
        <x:v>40</x:v>
      </x:c>
      <x:c r="C33" s="149" t="s">
        <x:v>41</x:v>
      </x:c>
    </x:row>
    <x:row r="34" ht="28.5">
      <x:c r="B34" s="150" t="s">
        <x:v>42</x:v>
      </x:c>
      <x:c r="C34" s="6" t="s">
        <x:v>43</x:v>
      </x:c>
    </x:row>
    <x:row r="35" ht="71.25">
      <x:c r="B35" s="144" t="s">
        <x:v>44</x:v>
      </x:c>
      <x:c r="C35" s="149" t="s">
        <x:v>45</x:v>
      </x:c>
    </x:row>
    <x:row r="36" ht="57">
      <x:c r="B36" s="144" t="s">
        <x:v>46</x:v>
      </x:c>
      <x:c r="C36" s="6" t="s">
        <x:v>47</x:v>
      </x:c>
    </x:row>
    <x:row r="37" ht="57">
      <x:c r="B37" s="144" t="s">
        <x:v>48</x:v>
      </x:c>
      <x:c r="C37" s="6" t="s">
        <x:v>49</x:v>
      </x:c>
    </x:row>
    <x:row r="39">
      <x:c r="B39" t="s">
        <x:v>50</x:v>
      </x:c>
      <x:c r="C39" t="s">
        <x:v>51</x:v>
      </x:c>
    </x:row>
    <x:row r="40">
      <x:c r="B40" t="s">
        <x:v>52</x:v>
      </x:c>
      <x:c r="C40" t="s">
        <x:v>53</x:v>
      </x:c>
    </x:row>
    <x:row r="41">
      <x:c r="B41" t="s">
        <x:v>54</x:v>
      </x:c>
      <x:c r="C41" t="s">
        <x:v>55</x:v>
      </x:c>
    </x:row>
    <x:row r="42">
      <x:c r="B42" t="s">
        <x:v>56</x:v>
      </x:c>
      <x:c r="C42" t="s">
        <x:v>57</x:v>
      </x:c>
    </x:row>
    <x:row r="43">
      <x:c r="B43" t="s">
        <x:v>58</x:v>
      </x:c>
      <x:c r="C43" t="s">
        <x:v>59</x:v>
      </x:c>
    </x:row>
    <x:row r="44">
      <x:c r="B44" t="s">
        <x:v>60</x:v>
      </x:c>
      <x:c r="C44" t="s">
        <x:v>61</x:v>
      </x:c>
    </x:row>
  </x:sheetData>
  <x:mergeCells>
    <x:mergeCell ref="B2:D2"/>
  </x:mergeCells>
  <x:hyperlinks>
    <x:hyperlink ref="B26" location="'Revenue Streams'!A1"/>
    <x:hyperlink ref="B27" location="'Income Statement'!A1"/>
    <x:hyperlink ref="B28" location="'Balance Sheet'!A1"/>
    <x:hyperlink ref="B29" location="'Cash Flow Statement'!A1"/>
    <x:hyperlink ref="B30" location="'Working Capital'!A1"/>
    <x:hyperlink ref="B31" location="Debt!A1"/>
    <x:hyperlink ref="B32" location="'Fixed Assets'!A1"/>
    <x:hyperlink ref="B33" location="WACC!A1"/>
    <x:hyperlink ref="B34" location="'DCF Valuation'!A1"/>
    <x:hyperlink ref="B35" location="'DCF Valuation'!A1"/>
  </x:hyperlinks>
  <x:pageMargins left="0.7" right="0.7" top="0.75" bottom="0.75" header="0.3" footer="0.3"/>
  <x:drawing xmlns:r="http://schemas.openxmlformats.org/officeDocument/2006/relationships" r:id="Rcdb62ba86031465f"/>
</x:worksheet>
</file>

<file path=xl/worksheets/sheet2.xml><?xml version="1.0" encoding="utf-8"?>
<x:worksheet xmlns:x="http://schemas.openxmlformats.org/spreadsheetml/2006/main">
  <x:sheetViews>
    <x:sheetView showGridLines="0" workbookViewId="0"/>
  </x:sheetViews>
  <x:sheetFormatPr defaultColWidth="8.6640625" defaultRowHeight="14.25"/>
  <x:cols>
    <x:col min="1" max="1" width="26.3984375" customWidth="1"/>
    <x:col min="2" max="2" width="9.59765625" customWidth="1"/>
    <x:col min="3" max="3" width="7.86328125" customWidth="1"/>
    <x:col min="16" max="22" width="8.86328125" customWidth="1"/>
  </x:cols>
  <x:sheetData>
    <x:row r="1" ht="7.5" customHeight="1"/>
    <x:row r="2" ht="18.75" customHeight="1">
      <x:c r="A2" s="15" t="s">
        <x:v>26</x:v>
      </x:c>
      <x:c r="C2" s="16"/>
      <x:c r="D2" s="16"/>
      <x:c r="E2" s="16"/>
      <x:c r="L2" s="17"/>
      <x:c r="M2" s="17"/>
      <x:c r="N2" s="17"/>
      <x:c r="O2" s="18"/>
      <x:c r="P2" s="18"/>
      <x:c r="Q2" s="18"/>
      <x:c r="R2" s="18"/>
      <x:c r="S2" s="18"/>
    </x:row>
    <x:row r="4" ht="14.25" customHeight="1">
      <x:c r="A4" s="19" t="s">
        <x:v>62</x:v>
      </x:c>
      <x:c r="B4" s="19" t="s">
        <x:v>63</x:v>
      </x:c>
      <x:c r="C4" s="19" t="s">
        <x:v>64</x:v>
      </x:c>
      <x:c r="D4" s="19" t="s">
        <x:v>65</x:v>
      </x:c>
      <x:c r="E4" s="19" t="s">
        <x:v>66</x:v>
      </x:c>
      <x:c r="F4" s="19" t="s">
        <x:v>67</x:v>
      </x:c>
      <x:c r="G4" s="19" t="s">
        <x:v>68</x:v>
      </x:c>
      <x:c r="H4" s="19" t="s">
        <x:v>69</x:v>
      </x:c>
      <x:c r="I4" s="19" t="s">
        <x:v>70</x:v>
      </x:c>
      <x:c r="J4" s="19" t="s">
        <x:v>71</x:v>
      </x:c>
      <x:c r="K4" s="19" t="s">
        <x:v>72</x:v>
      </x:c>
      <x:c r="L4" s="19" t="s">
        <x:v>73</x:v>
      </x:c>
      <x:c r="M4" s="19" t="s">
        <x:v>74</x:v>
      </x:c>
      <x:c r="N4" s="19" t="s">
        <x:v>75</x:v>
      </x:c>
      <x:c r="O4" s="19" t="s">
        <x:v>76</x:v>
      </x:c>
      <x:c r="P4" s="19" t="s">
        <x:v>77</x:v>
      </x:c>
      <x:c r="Q4" s="19" t="s">
        <x:v>78</x:v>
      </x:c>
      <x:c r="R4" s="19" t="s">
        <x:v>79</x:v>
      </x:c>
      <x:c r="S4" s="19" t="s">
        <x:v>80</x:v>
      </x:c>
      <x:c r="T4" s="19" t="s">
        <x:v>81</x:v>
      </x:c>
      <x:c r="U4" s="19" t="s">
        <x:v>82</x:v>
      </x:c>
    </x:row>
    <x:row r="5" ht="14.25" customHeight="1">
      <x:c r="A5" s="1" t="s">
        <x:v>83</x:v>
      </x:c>
      <x:c r="B5" s="20" t="n">
        <x:f t="shared" ref="B5:T5" si="0">1/3*B25+2/3*C25</x:f>
        <x:v>1083.3333333333333</x:v>
      </x:c>
      <x:c r="C5" s="20">
        <x:f t="shared" si="0"/>
        <x:v>1548.3333333333333</x:v>
      </x:c>
      <x:c r="D5" s="20">
        <x:f t="shared" si="0"/>
        <x:v>1850.6666666666665</x:v>
      </x:c>
      <x:c r="E5" s="20">
        <x:f t="shared" si="0"/>
        <x:v>1901.9999999999998</x:v>
      </x:c>
      <x:c r="F5" s="20">
        <x:f t="shared" si="0"/>
        <x:v>1999.6666666666665</x:v>
      </x:c>
      <x:c r="G5" s="20">
        <x:f t="shared" si="0"/>
        <x:v>2260</x:v>
      </x:c>
      <x:c r="H5" s="20">
        <x:f t="shared" si="0"/>
        <x:v>2746</x:v>
      </x:c>
      <x:c r="I5" s="20">
        <x:f t="shared" si="0"/>
        <x:v>3153.9999999999995</x:v>
      </x:c>
      <x:c r="J5" s="20">
        <x:f t="shared" si="0"/>
        <x:v>3587.6666666666665</x:v>
      </x:c>
      <x:c r="K5" s="20">
        <x:f t="shared" si="0"/>
        <x:v>3787.333333333333</x:v>
      </x:c>
      <x:c r="L5" s="20">
        <x:f t="shared" si="0"/>
        <x:v>3823.9999999999995</x:v>
      </x:c>
      <x:c r="M5" s="20">
        <x:f t="shared" si="0"/>
        <x:v>3688.333333333333</x:v>
      </x:c>
      <x:c r="N5" s="20">
        <x:f t="shared" si="0"/>
        <x:v>4061.333333333333</x:v>
      </x:c>
      <x:c r="O5" s="20">
        <x:f t="shared" si="0"/>
        <x:v>8310</x:v>
      </x:c>
      <x:c r="P5" s="20">
        <x:f t="shared" si="0"/>
        <x:v>13117</x:v>
      </x:c>
      <x:c r="Q5" s="20">
        <x:f t="shared" si="0"/>
        <x:v>17107.333333333332</x:v>
      </x:c>
      <x:c r="R5" s="20">
        <x:f t="shared" si="0"/>
        <x:v>21176.666666666664</x:v>
      </x:c>
      <x:c r="S5" s="20">
        <x:f t="shared" si="0"/>
        <x:v>25061.666666666664</x:v>
      </x:c>
      <x:c r="T5" s="20">
        <x:f t="shared" si="0"/>
        <x:v>29303.666666666664</x:v>
      </x:c>
      <x:c r="U5" s="20" t="n">
        <x:f>1/3*U25+2/3*W22</x:f>
        <x:v>10266.666666666666</x:v>
      </x:c>
    </x:row>
    <x:row r="6" ht="14.25" customHeight="1">
      <x:c r="A6" s="1" t="s">
        <x:v>83</x:v>
      </x:c>
      <x:c r="B6" s="21" t="n">
        <x:f t="shared" ref="B6:U6" si="1">B5/B$20</x:f>
        <x:v>0.3507825148407987</x:v>
      </x:c>
      <x:c r="C6" s="21">
        <x:f t="shared" si="1"/>
        <x:v>0.42961524232334447</x:v>
      </x:c>
      <x:c r="D6" s="21">
        <x:f t="shared" si="1"/>
        <x:v>0.41687941132302153</x:v>
      </x:c>
      <x:c r="E6" s="21">
        <x:f t="shared" si="1"/>
        <x:v>0.38732011946782513</x:v>
      </x:c>
      <x:c r="F6" s="21">
        <x:f t="shared" si="1"/>
        <x:v>0.36747320061255745</x:v>
      </x:c>
      <x:c r="G6" s="21">
        <x:f t="shared" si="1"/>
        <x:v>0.36305220883534134</x:v>
      </x:c>
      <x:c r="H6" s="21">
        <x:f t="shared" si="1"/>
        <x:v>0.39772123786993679</x:v>
      </x:c>
      <x:c r="I6" s="21">
        <x:f t="shared" si="1"/>
        <x:v>0.42261825003349857</x:v>
      </x:c>
      <x:c r="J6" s="21">
        <x:f t="shared" si="1"/>
        <x:v>0.44440315454808205</x:v>
      </x:c>
      <x:c r="K6" s="21">
        <x:f t="shared" si="1"/>
        <x:v>0.52369100294985249</x:v>
      </x:c>
      <x:c r="L6" s="21">
        <x:f t="shared" si="1"/>
        <x:v>0.61790369492620911</x:v>
      </x:c>
      <x:c r="M6" s="21">
        <x:f t="shared" si="1"/>
        <x:v>0.61359729385016359</x:v>
      </x:c>
      <x:c r="N6" s="21">
        <x:f t="shared" si="1"/>
        <x:v>0.59623195497920234</x:v>
      </x:c>
      <x:c r="O6" s="21">
        <x:f t="shared" si="1"/>
        <x:v>0.72881950534993856</x:v>
      </x:c>
      <x:c r="P6" s="21">
        <x:f t="shared" si="1"/>
        <x:v>0.79102257422558153</x:v>
      </x:c>
      <x:c r="Q6" s="21">
        <x:f t="shared" si="1"/>
        <x:v>0.82344446940281757</x:v>
      </x:c>
      <x:c r="R6" s="21">
        <x:f t="shared" si="1"/>
        <x:v>0.85630332520116992</x:v>
      </x:c>
      <x:c r="S6" s="21">
        <x:f t="shared" si="1"/>
        <x:v>0.87298546282104872</x:v>
      </x:c>
      <x:c r="T6" s="21">
        <x:f t="shared" si="1"/>
        <x:v>0.87732026665602181</x:v>
      </x:c>
      <x:c r="U6" s="21">
        <x:f t="shared" si="1"/>
        <x:v>0.8779431047260704</x:v>
      </x:c>
    </x:row>
    <x:row r="8" ht="14.25" customHeight="1">
      <x:c r="A8" s="1" t="s">
        <x:v>84</x:v>
      </x:c>
      <x:c r="B8" s="20" t="n">
        <x:f t="shared" ref="B8:T8" si="2">1/3*B29+2/3*C29</x:f>
        <x:v>1389.6666666666665</x:v>
      </x:c>
      <x:c r="C8" s="20">
        <x:f t="shared" si="2"/>
        <x:v>1548.9999999999998</x:v>
      </x:c>
      <x:c r="D8" s="20">
        <x:f t="shared" si="2"/>
        <x:v>2065.333333333333</x:v>
      </x:c>
      <x:c r="E8" s="20">
        <x:f t="shared" si="2"/>
        <x:v>2420.333333333333</x:v>
      </x:c>
      <x:c r="F8" s="20">
        <x:f t="shared" si="2"/>
        <x:v>2671.6666666666665</x:v>
      </x:c>
      <x:c r="G8" s="20">
        <x:f t="shared" si="2"/>
        <x:v>2960.6666666666665</x:v>
      </x:c>
      <x:c r="H8" s="20">
        <x:f t="shared" si="2"/>
        <x:v>3167.6666666666661</x:v>
      </x:c>
      <x:c r="I8" s="20">
        <x:f t="shared" si="2"/>
        <x:v>3353.6666666666665</x:v>
      </x:c>
      <x:c r="J8" s="20">
        <x:f t="shared" si="2"/>
        <x:v>3553.333333333333</x:v>
      </x:c>
      <x:c r="K8" s="20">
        <x:f t="shared" si="2"/>
        <x:v>2568</x:v>
      </x:c>
      <x:c r="L8" s="20">
        <x:f t="shared" si="2"/>
        <x:v>1730</x:v>
      </x:c>
      <x:c r="M8" s="20">
        <x:f t="shared" si="2"/>
        <x:v>1745.333333333333</x:v>
      </x:c>
      <x:c r="N8" s="20">
        <x:f t="shared" si="2"/>
        <x:v>2103.6666666666665</x:v>
      </x:c>
      <x:c r="O8" s="20">
        <x:f t="shared" si="2"/>
        <x:v>2404</x:v>
      </x:c>
      <x:c r="P8" s="20">
        <x:f t="shared" si="2"/>
        <x:v>2732.6666666666665</x:v>
      </x:c>
      <x:c r="Q8" s="20">
        <x:f t="shared" si="2"/>
        <x:v>2862</x:v>
      </x:c>
      <x:c r="R8" s="20">
        <x:f t="shared" si="2"/>
        <x:v>2721</x:v>
      </x:c>
      <x:c r="S8" s="20">
        <x:f t="shared" si="2"/>
        <x:v>2813</x:v>
      </x:c>
      <x:c r="T8" s="20">
        <x:f t="shared" si="2"/>
        <x:v>3165</x:v>
      </x:c>
      <x:c r="U8" s="20" t="n">
        <x:f>1/3*U29+2/3*W26</x:f>
        <x:v>1100</x:v>
      </x:c>
    </x:row>
    <x:row r="9" ht="14.25" customHeight="1">
      <x:c r="A9" s="1" t="s">
        <x:v>84</x:v>
      </x:c>
      <x:c r="B9" s="21" t="n">
        <x:f t="shared" ref="B9:U9" si="3">B8/B$20</x:f>
        <x:v>0.44997301672962764</x:v>
      </x:c>
      <x:c r="C9" s="21">
        <x:f t="shared" si="3"/>
        <x:v>0.42980022197558265</x:v>
      </x:c>
      <x:c r="D9" s="21">
        <x:f t="shared" si="3"/>
        <x:v>0.46523502027331437</x:v>
      </x:c>
      <x:c r="E9" s="21">
        <x:f t="shared" si="3"/>
        <x:v>0.49287265815910941</x:v>
      </x:c>
      <x:c r="F9" s="21">
        <x:f t="shared" si="3"/>
        <x:v>0.49096477794793264</x:v>
      </x:c>
      <x:c r="G9" s="21">
        <x:f t="shared" si="3"/>
        <x:v>0.47560910307898258</x:v>
      </x:c>
      <x:c r="H9" s="21">
        <x:f t="shared" si="3"/>
        <x:v>0.45879399410997918</x:v>
      </x:c>
      <x:c r="I9" s="21">
        <x:f t="shared" si="3"/>
        <x:v>0.44937245969002637</x:v>
      </x:c>
      <x:c r="J9" s="21">
        <x:f t="shared" si="3"/>
        <x:v>0.44015029522275895</x:v>
      </x:c>
      <x:c r="K9" s="21">
        <x:f t="shared" si="3"/>
        <x:v>0.35508849557522126</x:v>
      </x:c>
      <x:c r="L9" s="21">
        <x:f t="shared" si="3"/>
        <x:v>0.27954325110416889</x:v>
      </x:c>
      <x:c r="M9" s="21">
        <x:f t="shared" si="3"/>
        <x:v>0.29035656851328118</x:v>
      </x:c>
      <x:c r="N9" s="21">
        <x:f t="shared" si="3"/>
        <x:v>0.30883288475654513</x:v>
      </x:c>
      <x:c r="O9" s="21">
        <x:f t="shared" si="3"/>
        <x:v>0.21084020347307489</x:v>
      </x:c>
      <x:c r="P9" s="21">
        <x:f t="shared" si="3"/>
        <x:v>0.16479385691599494</x:v>
      </x:c>
      <x:c r="Q9" s="21">
        <x:f t="shared" si="3"/>
        <x:v>0.13775952251066972</x:v>
      </x:c>
      <x:c r="R9" s="21">
        <x:f t="shared" si="3"/>
        <x:v>0.11002682266043051</x:v>
      </x:c>
      <x:c r="S9" s="21">
        <x:f t="shared" si="3"/>
        <x:v>9.7986623937578385E-2</x:v>
      </x:c>
      <x:c r="T9" s="21">
        <x:f t="shared" si="3"/>
        <x:v>9.4756696339467497E-2</x:v>
      </x:c>
      <x:c r="U9" s="21">
        <x:f t="shared" si="3"/>
        <x:v>9.4065332649221844E-2</x:v>
      </x:c>
    </x:row>
    <x:row r="11" ht="14.25" customHeight="1">
      <x:c r="A11" s="1" t="s">
        <x:v>85</x:v>
      </x:c>
      <x:c r="B11" s="20" t="n">
        <x:f t="shared" ref="B11:T11" si="4">1/3*B33+2/3*C33</x:f>
        <x:v>315</x:v>
      </x:c>
      <x:c r="C11" s="20">
        <x:f t="shared" si="4"/>
        <x:v>237.66666666666663</x:v>
      </x:c>
      <x:c r="D11" s="20">
        <x:f t="shared" si="4"/>
        <x:v>224.99999999999997</x:v>
      </x:c>
      <x:c r="E11" s="20">
        <x:f t="shared" si="4"/>
        <x:v>283.33333333333331</x:v>
      </x:c>
      <x:c r="F11" s="20">
        <x:f t="shared" si="4"/>
        <x:v>350.33333333333331</x:v>
      </x:c>
      <x:c r="G11" s="20">
        <x:f t="shared" si="4"/>
        <x:v>470</x:v>
      </x:c>
      <x:c r="H11" s="20">
        <x:f t="shared" si="4"/>
        <x:v>557.66666666666663</x:v>
      </x:c>
      <x:c r="I11" s="20">
        <x:f t="shared" si="4"/>
        <x:v>621</x:v>
      </x:c>
      <x:c r="J11" s="20">
        <x:f t="shared" si="4"/>
        <x:v>629</x:v>
      </x:c>
      <x:c r="K11" s="20">
        <x:f t="shared" si="4"/>
        <x:v>538</x:v>
      </x:c>
      <x:c r="L11" s="20">
        <x:f t="shared" si="4"/>
        <x:v>298.66666666666663</x:v>
      </x:c>
      <x:c r="M11" s="20">
        <x:f t="shared" si="4"/>
        <x:v>217.33333333333331</x:v>
      </x:c>
      <x:c r="N11" s="20">
        <x:f t="shared" si="4"/>
        <x:v>272</x:v>
      </x:c>
      <x:c r="O11" s="20">
        <x:f t="shared" si="4"/>
        <x:v>351</x:v>
      </x:c>
      <x:c r="P11" s="20">
        <x:f t="shared" si="4"/>
        <x:v>403.66666666666663</x:v>
      </x:c>
      <x:c r="Q11" s="20">
        <x:f t="shared" si="4"/>
        <x:v>447.33333333333326</x:v>
      </x:c>
      <x:c r="R11" s="20">
        <x:f t="shared" si="4"/>
        <x:v>438.99999999999994</x:v>
      </x:c>
      <x:c r="S11" s="20">
        <x:f t="shared" si="4"/>
        <x:v>444.99999999999994</x:v>
      </x:c>
      <x:c r="T11" s="20">
        <x:f t="shared" si="4"/>
        <x:v>475.33333333333331</x:v>
      </x:c>
      <x:c r="U11" s="20" t="n">
        <x:f>1/3*U33+2/3*W30</x:f>
        <x:v>162</x:v>
      </x:c>
    </x:row>
    <x:row r="12" ht="14.25" customHeight="1">
      <x:c r="A12" s="1" t="s">
        <x:v>85</x:v>
      </x:c>
      <x:c r="B12" s="21" t="n">
        <x:f t="shared" ref="B12:U12" si="5">B11/B$20</x:f>
        <x:v>0.10199676200755532</x:v>
      </x:c>
      <x:c r="C12" s="21">
        <x:f t="shared" si="5"/>
        <x:v>6.594524602293747E-2</x:v>
      </x:c>
      <x:c r="D12" s="21">
        <x:f t="shared" si="5"/>
        <x:v>5.0683285778645448E-2</x:v>
      </x:c>
      <x:c r="E12" s="21">
        <x:f t="shared" si="5"/>
        <x:v>5.7697529188161831E-2</x:v>
      </x:c>
      <x:c r="F12" s="21">
        <x:f t="shared" si="5"/>
        <x:v>6.4379785604900458E-2</x:v>
      </x:c>
      <x:c r="G12" s="21">
        <x:f t="shared" si="5"/>
        <x:v>7.5502008032128518E-2</x:v>
      </x:c>
      <x:c r="H12" s="21">
        <x:f t="shared" si="5"/>
        <x:v>8.0770530584656983E-2</x:v>
      </x:c>
      <x:c r="I12" s="21">
        <x:f t="shared" si="5"/>
        <x:v>8.3210505158783338E-2</x:v>
      </x:c>
      <x:c r="J12" s="21">
        <x:f t="shared" si="5"/>
        <x:v>7.7914034435773563E-2</x:v>
      </x:c>
      <x:c r="K12" s="21">
        <x:f t="shared" si="5"/>
        <x:v>7.439159292035398E-2</x:v>
      </x:c>
      <x:c r="L12" s="21">
        <x:f t="shared" si="5"/>
        <x:v>4.8260260691586766E-2</x:v>
      </x:c>
      <x:c r="M12" s="21">
        <x:f t="shared" si="5"/>
        <x:v>3.6155936338934179E-2</x:v>
      </x:c>
      <x:c r="N12" s="21">
        <x:f t="shared" si="5"/>
        <x:v>3.9931490090530958E-2</x:v>
      </x:c>
      <x:c r="O12" s="21">
        <x:f t="shared" si="5"/>
        <x:v>3.0784072969654446E-2</x:v>
      </x:c>
      <x:c r="P12" s="21">
        <x:f t="shared" si="5"/>
        <x:v>2.4343176472953143E-2</x:v>
      </x:c>
      <x:c r="Q12" s="21">
        <x:f t="shared" si="5"/>
        <x:v>2.1531944934698202E-2</x:v>
      </x:c>
      <x:c r="R12" s="21">
        <x:f t="shared" si="5"/>
        <x:v>1.7751479289940825E-2</x:v>
      </x:c>
      <x:c r="S12" s="21">
        <x:f t="shared" si="5"/>
        <x:v>1.5500905670893132E-2</x:v>
      </x:c>
      <x:c r="T12" s="21">
        <x:f t="shared" si="5"/>
        <x:v>1.4230968823599859E-2</x:v>
      </x:c>
      <x:c r="U12" s="21">
        <x:f t="shared" si="5"/>
        <x:v>1.3853258081067216E-2</x:v>
      </x:c>
    </x:row>
    <x:row r="14" ht="14.25" customHeight="1">
      <x:c r="A14" s="1" t="s">
        <x:v>86</x:v>
      </x:c>
      <x:c r="B14" s="20" t="n">
        <x:f t="shared" ref="B14:T14" si="6">1/3*B37+2/3*C37</x:f>
        <x:v>157.66666666666666</x:v>
      </x:c>
      <x:c r="C14" s="20">
        <x:f t="shared" si="6"/>
        <x:v>125.66666666666666</x:v>
      </x:c>
      <x:c r="D14" s="20">
        <x:f t="shared" si="6"/>
        <x:v>120.33333333333333</x:v>
      </x:c>
      <x:c r="E14" s="20">
        <x:f t="shared" si="6"/>
        <x:v>138.33333333333331</x:v>
      </x:c>
      <x:c r="F14" s="20">
        <x:f t="shared" si="6"/>
        <x:v>151</x:v>
      </x:c>
      <x:c r="G14" s="20">
        <x:f t="shared" si="6"/>
        <x:v>152.66666666666666</x:v>
      </x:c>
      <x:c r="H14" s="20">
        <x:f t="shared" si="6"/>
        <x:v>140.66666666666666</x:v>
      </x:c>
      <x:c r="I14" s="20">
        <x:f t="shared" si="6"/>
        <x:v>128.33333333333331</x:v>
      </x:c>
      <x:c r="J14" s="20">
        <x:f t="shared" si="6"/>
        <x:v>133.66666666666666</x:v>
      </x:c>
      <x:c r="K14" s="20">
        <x:f t="shared" si="6"/>
        <x:v>192.66666666666666</x:v>
      </x:c>
      <x:c r="L14" s="20">
        <x:f t="shared" si="6"/>
        <x:v>240.66666666666663</x:v>
      </x:c>
      <x:c r="M14" s="20">
        <x:f t="shared" si="6"/>
        <x:v>279.66666666666663</x:v>
      </x:c>
      <x:c r="N14" s="20">
        <x:f t="shared" si="6"/>
        <x:v>295.33333333333331</x:v>
      </x:c>
      <x:c r="O14" s="20">
        <x:f t="shared" si="6"/>
        <x:v>267.33333333333331</x:v>
      </x:c>
      <x:c r="P14" s="20">
        <x:f t="shared" si="6"/>
        <x:v>258.33333333333331</x:v>
      </x:c>
      <x:c r="Q14" s="20">
        <x:f t="shared" si="6"/>
        <x:v>274.33333333333331</x:v>
      </x:c>
      <x:c r="R14" s="20">
        <x:f t="shared" si="6"/>
        <x:v>313</x:v>
      </x:c>
      <x:c r="S14" s="20">
        <x:f t="shared" si="6"/>
        <x:v>340.33333333333331</x:v>
      </x:c>
      <x:c r="T14" s="20">
        <x:f t="shared" si="6"/>
        <x:v>414.66666666666663</x:v>
      </x:c>
      <x:c r="U14" s="20" t="n">
        <x:f>1/3*U37+2/3*W34</x:f>
        <x:v>149.66666666666666</x:v>
      </x:c>
    </x:row>
    <x:row r="15" ht="14.25" customHeight="1">
      <x:c r="A15" s="1" t="s">
        <x:v>86</x:v>
      </x:c>
      <x:c r="B15" s="21" t="n">
        <x:f t="shared" ref="B15:U15" si="7">B14/B$20</x:f>
        <x:v>0.0510523475445224</x:v>
      </x:c>
      <x:c r="C15" s="21">
        <x:f t="shared" si="7"/>
        <x:v>3.4868664446910842E-2</x:v>
      </x:c>
      <x:c r="D15" s="21">
        <x:f t="shared" si="7"/>
        <x:v>2.7106172097912606E-2</x:v>
      </x:c>
      <x:c r="E15" s="21">
        <x:f t="shared" si="7"/>
        <x:v>2.8169970133043714E-2</x:v>
      </x:c>
      <x:c r="F15" s="21">
        <x:f t="shared" si="7"/>
        <x:v>2.7748851454823892E-2</x:v>
      </x:c>
      <x:c r="G15" s="21">
        <x:f t="shared" si="7"/>
        <x:v>2.4524765729585004E-2</x:v>
      </x:c>
      <x:c r="H15" s="21">
        <x:f t="shared" si="7"/>
        <x:v>2.037367836624342E-2</x:v>
      </x:c>
      <x:c r="I15" s="21">
        <x:f t="shared" si="7"/>
        <x:v>1.7195944437000312E-2</x:v>
      </x:c>
      <x:c r="J15" s="21">
        <x:f t="shared" si="7"/>
        <x:v>1.6557248441306412E-2</x:v>
      </x:c>
      <x:c r="K15" s="21">
        <x:f t="shared" si="7"/>
        <x:v>2.6640855457227136E-2</x:v>
      </x:c>
      <x:c r="L15" s="21">
        <x:f t="shared" si="7"/>
        <x:v>3.888829042335451E-2</x:v>
      </x:c>
      <x:c r="M15" s="21">
        <x:f t="shared" si="7"/>
        <x:v>4.6525813785837075E-2</x:v>
      </x:c>
      <x:c r="N15" s="21">
        <x:f t="shared" si="7"/>
        <x:v>4.3356985563983361E-2</x:v>
      </x:c>
      <x:c r="O15" s="21">
        <x:f t="shared" si="7"/>
        <x:v>2.34461790329182E-2</x:v>
      </x:c>
      <x:c r="P15" s="21">
        <x:f t="shared" si="7"/>
        <x:v>1.5578828874102961E-2</x:v>
      </x:c>
      <x:c r="Q15" s="21">
        <x:f t="shared" si="7"/>
        <x:v>1.3204762057568271E-2</x:v>
      </x:c>
      <x:c r="R15" s="21">
        <x:f t="shared" si="7"/>
        <x:v>1.2656521680527288E-2</x:v>
      </x:c>
      <x:c r="S15" s="21">
        <x:f t="shared" si="7"/>
        <x:v>1.1854999767776694E-2</x:v>
      </x:c>
      <x:c r="T15" s="21">
        <x:f t="shared" si="7"/>
        <x:v>1.2414674064907589E-2</x:v>
      </x:c>
      <x:c r="U15" s="21">
        <x:f t="shared" si="7"/>
        <x:v>1.2798586169545637E-2</x:v>
      </x:c>
    </x:row>
    <x:row r="17" ht="14.25" customHeight="1">
      <x:c r="A17" s="1" t="s">
        <x:v>87</x:v>
      </x:c>
      <x:c r="B17" s="20" t="n">
        <x:f t="shared" ref="B17:T17" si="8">1/3*B41+2/3*C41</x:f>
        <x:v>142.66666666666666</x:v>
      </x:c>
      <x:c r="C17" s="20">
        <x:f t="shared" si="8"/>
        <x:v>143.33333333333331</x:v>
      </x:c>
      <x:c r="D17" s="20">
        <x:f t="shared" si="8"/>
        <x:v>177.99999999999997</x:v>
      </x:c>
      <x:c r="E17" s="20">
        <x:f t="shared" si="8"/>
        <x:v>166.66666666666666</x:v>
      </x:c>
      <x:c r="F17" s="20">
        <x:f t="shared" si="8"/>
        <x:v>269</x:v>
      </x:c>
      <x:c r="G17" s="20">
        <x:f t="shared" si="8"/>
        <x:v>381.66666666666663</x:v>
      </x:c>
      <x:c r="H17" s="20">
        <x:f t="shared" si="8"/>
        <x:v>292.33333333333331</x:v>
      </x:c>
      <x:c r="I17" s="20">
        <x:f t="shared" si="8"/>
        <x:v>206</x:v>
      </x:c>
      <x:c r="J17" s="20">
        <x:f t="shared" si="8"/>
        <x:v>169.33333333333331</x:v>
      </x:c>
      <x:c r="K17" s="20">
        <x:f t="shared" si="8"/>
        <x:v>146</x:v>
      </x:c>
      <x:c r="L17" s="20">
        <x:f t="shared" si="8"/>
        <x:v>95.333333333333329</x:v>
      </x:c>
      <x:c r="M17" s="20">
        <x:f t="shared" si="8"/>
        <x:v>80.333333333333329</x:v>
      </x:c>
      <x:c r="N17" s="20">
        <x:f t="shared" si="8"/>
        <x:v>79.333333333333329</x:v>
      </x:c>
      <x:c r="O17" s="20">
        <x:f t="shared" si="8"/>
        <x:v>69.666666666666657</x:v>
      </x:c>
      <x:c r="P17" s="20">
        <x:f t="shared" si="8"/>
        <x:v>70.666666666666657</x:v>
      </x:c>
      <x:c r="Q17" s="20">
        <x:f t="shared" si="8"/>
        <x:v>84.333333333333329</x:v>
      </x:c>
      <x:c r="R17" s="20">
        <x:f t="shared" si="8"/>
        <x:v>80.666666666666657</x:v>
      </x:c>
      <x:c r="S17" s="20">
        <x:f t="shared" si="8"/>
        <x:v>48</x:v>
      </x:c>
      <x:c r="T17" s="20">
        <x:f t="shared" si="8"/>
        <x:v>42.666666666666664</x:v>
      </x:c>
      <x:c r="U17" s="20" t="n">
        <x:f>1/3*U41+2/3*W38</x:f>
        <x:v>15.666666666666666</x:v>
      </x:c>
    </x:row>
    <x:row r="18" ht="14.25" customHeight="1">
      <x:c r="A18" s="1" t="s">
        <x:v>87</x:v>
      </x:c>
      <x:c r="B18" s="21" t="n">
        <x:f t="shared" ref="B18:U18" si="9">B17/B$20</x:f>
        <x:v>0.04619535887749596</x:v>
      </x:c>
      <x:c r="C18" s="21">
        <x:f t="shared" si="9"/>
        <x:v>3.9770625231224564E-2</x:v>
      </x:c>
      <x:c r="D18" s="21">
        <x:f t="shared" si="9"/>
        <x:v>4.0096110527106175E-2</x:v>
      </x:c>
      <x:c r="E18" s="21">
        <x:f t="shared" si="9"/>
        <x:v>3.3939723051859896E-2</x:v>
      </x:c>
      <x:c r="F18" s="21">
        <x:f t="shared" si="9"/>
        <x:v>4.943338437978561E-2</x:v>
      </x:c>
      <x:c r="G18" s="21">
        <x:f t="shared" si="9"/>
        <x:v>6.1311914323962512E-2</x:v>
      </x:c>
      <x:c r="H18" s="21">
        <x:f t="shared" si="9"/>
        <x:v>4.2340559069183603E-2</x:v>
      </x:c>
      <x:c r="I18" s="21">
        <x:f t="shared" si="9"/>
        <x:v>2.7602840680691413E-2</x:v>
      </x:c>
      <x:c r="J18" s="21">
        <x:f t="shared" si="9"/>
        <x:v>2.0975267352078945E-2</x:v>
      </x:c>
      <x:c r="K18" s="21">
        <x:f t="shared" si="9"/>
        <x:v>2.0188053097345133E-2</x:v>
      </x:c>
      <x:c r="L18" s="21">
        <x:f t="shared" si="9"/>
        <x:v>1.5404502854680598E-2</x:v>
      </x:c>
      <x:c r="M18" s="21">
        <x:f t="shared" si="9"/>
        <x:v>1.3364387511783952E-2</x:v>
      </x:c>
      <x:c r="N18" s="21">
        <x:f t="shared" si="9"/>
        <x:v>1.1646684609738195E-2</x:v>
      </x:c>
      <x:c r="O18" s="21">
        <x:f t="shared" si="9"/>
        <x:v>6.1100391744138447E-3</x:v>
      </x:c>
      <x:c r="P18" s="21">
        <x:f t="shared" si="9"/>
        <x:v>4.261563511367519E-3</x:v>
      </x:c>
      <x:c r="Q18" s="21">
        <x:f t="shared" si="9"/>
        <x:v>4.0593010942463828E-3</x:v>
      </x:c>
      <x:c r="R18" s="21">
        <x:f t="shared" si="9"/>
        <x:v>3.2618511679314201E-3</x:v>
      </x:c>
      <x:c r="S18" s="21">
        <x:f t="shared" si="9"/>
        <x:v>1.6720078027030794E-3</x:v>
      </x:c>
      <x:c r="T18" s="21">
        <x:f t="shared" si="9"/>
        <x:v>1.2773941160033532E-3</x:v>
      </x:c>
      <x:c r="U18" s="21">
        <x:f t="shared" si="9"/>
        <x:v>1.3397183740949776E-3</x:v>
      </x:c>
    </x:row>
    <x:row r="20" ht="14.25" customHeight="1">
      <x:c r="A20" s="2" t="s">
        <x:v>88</x:v>
      </x:c>
      <x:c r="B20" s="22" t="n">
        <x:f t="shared" ref="B20:U20" si="10">SUM(B5,B8,B11,B14,B17)</x:f>
        <x:v>3088.333333333333</x:v>
      </x:c>
      <x:c r="C20" s="22">
        <x:f t="shared" si="10"/>
        <x:v>3603.9999999999995</x:v>
      </x:c>
      <x:c r="D20" s="22">
        <x:f t="shared" si="10"/>
        <x:v>4439.3333333333321</x:v>
      </x:c>
      <x:c r="E20" s="22">
        <x:f t="shared" si="10"/>
        <x:v>4910.6666666666661</x:v>
      </x:c>
      <x:c r="F20" s="22">
        <x:f t="shared" si="10"/>
        <x:v>5441.6666666666661</x:v>
      </x:c>
      <x:c r="G20" s="22">
        <x:f t="shared" si="10"/>
        <x:v>6225</x:v>
      </x:c>
      <x:c r="H20" s="22">
        <x:f t="shared" si="10"/>
        <x:v>6904.333333333333</x:v>
      </x:c>
      <x:c r="I20" s="22">
        <x:f t="shared" si="10"/>
        <x:v>7462.9999999999991</x:v>
      </x:c>
      <x:c r="J20" s="22">
        <x:f t="shared" si="10"/>
        <x:v>8073</x:v>
      </x:c>
      <x:c r="K20" s="22">
        <x:f t="shared" si="10"/>
        <x:v>7232</x:v>
      </x:c>
      <x:c r="L20" s="22">
        <x:f t="shared" si="10"/>
        <x:v>6188.666666666667</x:v>
      </x:c>
      <x:c r="M20" s="22">
        <x:f t="shared" si="10"/>
        <x:v>6010.9999999999991</x:v>
      </x:c>
      <x:c r="N20" s="22">
        <x:f t="shared" si="10"/>
        <x:v>6811.6666666666661</x:v>
      </x:c>
      <x:c r="O20" s="22">
        <x:f t="shared" si="10"/>
        <x:v>11402</x:v>
      </x:c>
      <x:c r="P20" s="22">
        <x:f t="shared" si="10"/>
        <x:v>16582.333333333332</x:v>
      </x:c>
      <x:c r="Q20" s="22">
        <x:f t="shared" si="10"/>
        <x:v>20775.333333333328</x:v>
      </x:c>
      <x:c r="R20" s="22">
        <x:f t="shared" si="10"/>
        <x:v>24730.333333333332</x:v>
      </x:c>
      <x:c r="S20" s="22">
        <x:f t="shared" si="10"/>
        <x:v>28707.999999999996</x:v>
      </x:c>
      <x:c r="T20" s="22">
        <x:f t="shared" si="10"/>
        <x:v>33401.333333333328</x:v>
      </x:c>
      <x:c r="U20" s="22">
        <x:f t="shared" si="10"/>
        <x:v>11693.999999999998</x:v>
      </x:c>
    </x:row>
    <x:row r="21" ht="14.25" customHeight="1">
      <x:c r="A21" s="2"/>
      <x:c r="B21" s="22"/>
      <x:c r="C21" s="22"/>
      <x:c r="D21" s="22"/>
      <x:c r="E21" s="22"/>
      <x:c r="F21" s="22"/>
      <x:c r="G21" s="22"/>
      <x:c r="H21" s="22"/>
      <x:c r="I21" s="22"/>
      <x:c r="J21" s="22"/>
      <x:c r="K21" s="22"/>
      <x:c r="L21" s="22"/>
      <x:c r="M21" s="22"/>
      <x:c r="N21" s="22"/>
      <x:c r="O21" s="22"/>
      <x:c r="P21" s="22"/>
      <x:c r="Q21" s="22"/>
      <x:c r="W21" s="23"/>
    </x:row>
    <x:row r="22" ht="14.25" customHeight="1">
      <x:c r="A22" s="24" t="s">
        <x:v>26</x:v>
      </x:c>
    </x:row>
    <x:row r="23" ht="14.25" customHeight="1">
      <x:c r="A23" s="24"/>
      <x:c r="B23" s="24"/>
    </x:row>
    <x:row r="24" ht="14.25" customHeight="1">
      <x:c r="A24" s="19" t="s">
        <x:v>62</x:v>
      </x:c>
      <x:c r="B24" s="19" t="s">
        <x:v>66</x:v>
      </x:c>
      <x:c r="C24" s="19" t="s">
        <x:v>67</x:v>
      </x:c>
      <x:c r="D24" s="19" t="s">
        <x:v>68</x:v>
      </x:c>
      <x:c r="E24" s="19" t="s">
        <x:v>69</x:v>
      </x:c>
      <x:c r="F24" s="19" t="s">
        <x:v>70</x:v>
      </x:c>
      <x:c r="G24" s="19" t="s">
        <x:v>71</x:v>
      </x:c>
      <x:c r="H24" s="19" t="s">
        <x:v>72</x:v>
      </x:c>
      <x:c r="I24" s="19" t="s">
        <x:v>73</x:v>
      </x:c>
      <x:c r="J24" s="19" t="s">
        <x:v>74</x:v>
      </x:c>
      <x:c r="K24" s="19" t="s">
        <x:v>75</x:v>
      </x:c>
      <x:c r="L24" s="19" t="s">
        <x:v>76</x:v>
      </x:c>
      <x:c r="M24" s="19" t="s">
        <x:v>77</x:v>
      </x:c>
      <x:c r="N24" s="19" t="s">
        <x:v>78</x:v>
      </x:c>
      <x:c r="O24" s="19" t="s">
        <x:v>79</x:v>
      </x:c>
      <x:c r="P24" s="19" t="s">
        <x:v>80</x:v>
      </x:c>
      <x:c r="Q24" s="19" t="s">
        <x:v>81</x:v>
      </x:c>
      <x:c r="R24" s="19" t="s">
        <x:v>82</x:v>
      </x:c>
      <x:c r="S24" s="19" t="s">
        <x:v>89</x:v>
      </x:c>
      <x:c r="T24" s="19" t="s">
        <x:v>90</x:v>
      </x:c>
      <x:c r="U24" s="19" t="s">
        <x:v>91</x:v>
      </x:c>
    </x:row>
    <x:row r="25" ht="14.25" customHeight="1">
      <x:c r="A25" s="1" t="s">
        <x:v>83</x:v>
      </x:c>
      <x:c r="B25" s="20">
        <x:v>968</x:v>
      </x:c>
      <x:c r="C25" s="20">
        <x:v>1141</x:v>
      </x:c>
      <x:c r="D25" s="20">
        <x:v>1752</x:v>
      </x:c>
      <x:c r="E25" s="20">
        <x:v>1900</x:v>
      </x:c>
      <x:c r="F25" s="20">
        <x:v>1903</x:v>
      </x:c>
      <x:c r="G25" s="20">
        <x:v>2048</x:v>
      </x:c>
      <x:c r="H25" s="20">
        <x:v>2366</x:v>
      </x:c>
      <x:c r="I25" s="20">
        <x:v>2936</x:v>
      </x:c>
      <x:c r="J25" s="20">
        <x:v>3263</x:v>
      </x:c>
      <x:c r="K25" s="20">
        <x:v>3750</x:v>
      </x:c>
      <x:c r="L25" s="20">
        <x:v>3806</x:v>
      </x:c>
      <x:c r="M25" s="20">
        <x:v>3833</x:v>
      </x:c>
      <x:c r="N25" s="20">
        <x:v>3616</x:v>
      </x:c>
      <x:c r="O25" s="20">
        <x:v>4284</x:v>
      </x:c>
      <x:c r="P25" s="20">
        <x:v>10323</x:v>
      </x:c>
      <x:c r="Q25" s="18">
        <x:v>14514</x:v>
      </x:c>
      <x:c r="R25" s="20">
        <x:v>18404</x:v>
      </x:c>
      <x:c r="S25" s="25">
        <x:v>22563</x:v>
      </x:c>
      <x:c r="T25" s="25">
        <x:v>26311</x:v>
      </x:c>
      <x:c r="U25" s="25">
        <x:v>30800</x:v>
      </x:c>
    </x:row>
    <x:row r="26" ht="14.25" customHeight="1">
      <x:c r="A26" s="26" t="s">
        <x:v>92</x:v>
      </x:c>
      <x:c r="B26" s="20"/>
      <x:c r="C26" s="21" t="n">
        <x:f t="shared" ref="C26:U26" si="11">C25/B25-1</x:f>
        <x:v>0.17871900826446274</x:v>
      </x:c>
      <x:c r="D26" s="21">
        <x:f t="shared" si="11"/>
        <x:v>0.5354951796669587</x:v>
      </x:c>
      <x:c r="E26" s="21">
        <x:f t="shared" si="11"/>
        <x:v>8.4474885844748826E-2</x:v>
      </x:c>
      <x:c r="F26" s="21">
        <x:f t="shared" si="11"/>
        <x:v>1.5789473684211242E-3</x:v>
      </x:c>
      <x:c r="G26" s="21">
        <x:f t="shared" si="11"/>
        <x:v>7.6195480819758243E-2</x:v>
      </x:c>
      <x:c r="H26" s="21">
        <x:f t="shared" si="11"/>
        <x:v>0.1552734375</x:v>
      </x:c>
      <x:c r="I26" s="21">
        <x:f t="shared" si="11"/>
        <x:v>0.24091293322062546</x:v>
      </x:c>
      <x:c r="J26" s="21">
        <x:f t="shared" si="11"/>
        <x:v>0.11137602179836503</x:v>
      </x:c>
      <x:c r="K26" s="21">
        <x:f t="shared" si="11"/>
        <x:v>0.14924915721728471</x:v>
      </x:c>
      <x:c r="L26" s="21">
        <x:f t="shared" si="11"/>
        <x:v>1.4933333333333243E-2</x:v>
      </x:c>
      <x:c r="M26" s="21">
        <x:f t="shared" si="11"/>
        <x:v>7.0940620073567384E-3</x:v>
      </x:c>
      <x:c r="N26" s="21">
        <x:f t="shared" si="11"/>
        <x:v>-5.6613618575528268E-2</x:v>
      </x:c>
      <x:c r="O26" s="21">
        <x:f t="shared" si="11"/>
        <x:v>0.18473451327433632</x:v>
      </x:c>
      <x:c r="P26" s="21">
        <x:f t="shared" si="11"/>
        <x:v>1.4096638655462184</x:v>
      </x:c>
      <x:c r="Q26" s="21">
        <x:f t="shared" si="11"/>
        <x:v>0.40598663179308336</x:v>
      </x:c>
      <x:c r="R26" s="21">
        <x:f t="shared" si="11"/>
        <x:v>0.2680170869505305</x:v>
      </x:c>
      <x:c r="S26" s="21">
        <x:f t="shared" si="11"/>
        <x:v>0.22598348185177142</x:v>
      </x:c>
      <x:c r="T26" s="21">
        <x:f t="shared" si="11"/>
        <x:v>0.16611266232327271</x:v>
      </x:c>
      <x:c r="U26" s="21">
        <x:f t="shared" si="11"/>
        <x:v>0.17061305157538675</x:v>
      </x:c>
    </x:row>
    <x:row r="27" ht="14.25" customHeight="1">
      <x:c r="A27" s="26" t="s">
        <x:v>93</x:v>
      </x:c>
      <x:c r="B27" s="21" t="n">
        <x:f t="shared" ref="B27:U27" si="12">B25/B$45</x:f>
        <x:v>0.3117552334943639</x:v>
      </x:c>
      <x:c r="C27" s="21">
        <x:f t="shared" si="12"/>
        <x:v>0.37045454545454548</x:v>
      </x:c>
      <x:c r="D27" s="21">
        <x:f t="shared" si="12"/>
        <x:v>0.45318158303155714</x:v>
      </x:c>
      <x:c r="E27" s="21">
        <x:f t="shared" si="12"/>
        <x:v>0.40203131612357174</x:v>
      </x:c>
      <x:c r="F27" s="21">
        <x:f t="shared" si="12"/>
        <x:v>0.38037177693383972</x:v>
      </x:c>
      <x:c r="G27" s="21">
        <x:f t="shared" si="12"/>
        <x:v>0.3617735382441265</x:v>
      </x:c>
      <x:c r="H27" s="21">
        <x:f t="shared" si="12"/>
        <x:v>0.36360842169970803</x:v>
      </x:c>
      <x:c r="I27" s="21">
        <x:f t="shared" si="12"/>
        <x:v>0.41334647332113189</x:v>
      </x:c>
      <x:c r="J27" s="21">
        <x:f t="shared" si="12"/>
        <x:v>0.42692659950281303</x:v>
      </x:c>
      <x:c r="K27" s="21">
        <x:f t="shared" si="12"/>
        <x:v>0.45246138996138996</x:v>
      </x:c>
      <x:c r="L27" s="21">
        <x:f t="shared" si="12"/>
        <x:v>0.56772076372315039</x:v>
      </x:c>
      <x:c r="M27" s="21">
        <x:f t="shared" si="12"/>
        <x:v>0.64626538526386779</x:v>
      </x:c>
      <x:c r="N27" s="21">
        <x:f t="shared" si="12"/>
        <x:v>0.59758717567344244</x:v>
      </x:c>
      <x:c r="O27" s="21">
        <x:f t="shared" si="12"/>
        <x:v>0.59566184649610676</x:v>
      </x:c>
      <x:c r="P27" s="21">
        <x:f t="shared" si="12"/>
        <x:v>0.76427037832235134</x:v>
      </x:c>
      <x:c r="Q27" s="21">
        <x:f t="shared" si="12"/>
        <x:v>0.80099337748344368</x:v>
      </x:c>
      <x:c r="R27" s="21">
        <x:f t="shared" si="12"/>
        <x:v>0.8326471519703208</x:v>
      </x:c>
      <x:c r="S27" s="21">
        <x:f t="shared" si="12"/>
        <x:v>0.86634157579480875</x:v>
      </x:c>
      <x:c r="T27" s="21">
        <x:f t="shared" si="12"/>
        <x:v>0.87586551264980028</x:v>
      </x:c>
      <x:c r="U27" s="21">
        <x:f t="shared" si="12"/>
        <x:v>0.8779431047260704</x:v>
      </x:c>
    </x:row>
    <x:row r="29" ht="14.25" customHeight="1">
      <x:c r="A29" s="1" t="s">
        <x:v>84</x:v>
      </x:c>
      <x:c r="B29" s="20">
        <x:v>1491</x:v>
      </x:c>
      <x:c r="C29" s="20">
        <x:v>1339</x:v>
      </x:c>
      <x:c r="D29" s="20">
        <x:v>1654</x:v>
      </x:c>
      <x:c r="E29" s="20">
        <x:v>2271</x:v>
      </x:c>
      <x:c r="F29" s="20">
        <x:v>2495</x:v>
      </x:c>
      <x:c r="G29" s="20">
        <x:v>2760</x:v>
      </x:c>
      <x:c r="H29" s="20">
        <x:v>3061</x:v>
      </x:c>
      <x:c r="I29" s="20">
        <x:v>3221</x:v>
      </x:c>
      <x:c r="J29" s="20">
        <x:v>3420</x:v>
      </x:c>
      <x:c r="K29" s="20">
        <x:v>3620</x:v>
      </x:c>
      <x:c r="L29" s="20">
        <x:v>2042</x:v>
      </x:c>
      <x:c r="M29" s="20">
        <x:v>1574</x:v>
      </x:c>
      <x:c r="N29" s="20">
        <x:v>1831</x:v>
      </x:c>
      <x:c r="O29" s="20">
        <x:v>2240</x:v>
      </x:c>
      <x:c r="P29" s="20">
        <x:v>2486</x:v>
      </x:c>
      <x:c r="Q29" s="20">
        <x:v>2856</x:v>
      </x:c>
      <x:c r="R29" s="20">
        <x:v>2865</x:v>
      </x:c>
      <x:c r="S29" s="25">
        <x:v>2649</x:v>
      </x:c>
      <x:c r="T29" s="27">
        <x:v>2895</x:v>
      </x:c>
      <x:c r="U29" s="20">
        <x:v>3300</x:v>
      </x:c>
    </x:row>
    <x:row r="30" ht="14.25" customHeight="1">
      <x:c r="A30" s="26" t="s">
        <x:v>92</x:v>
      </x:c>
      <x:c r="B30" s="20"/>
      <x:c r="C30" s="21" t="n">
        <x:f t="shared" ref="C30:U30" si="13">C29/B29-1</x:f>
        <x:v>-0.10194500335345402</x:v>
      </x:c>
      <x:c r="D30" s="21">
        <x:f t="shared" si="13"/>
        <x:v>0.23525018670649733</x:v>
      </x:c>
      <x:c r="E30" s="21">
        <x:f t="shared" si="13"/>
        <x:v>0.37303506650544138</x:v>
      </x:c>
      <x:c r="F30" s="21">
        <x:f t="shared" si="13"/>
        <x:v>9.8634962571554352E-2</x:v>
      </x:c>
      <x:c r="G30" s="21">
        <x:f t="shared" si="13"/>
        <x:v>0.10621242484969939</x:v>
      </x:c>
      <x:c r="H30" s="21">
        <x:f t="shared" si="13"/>
        <x:v>0.10905797101449277</x:v>
      </x:c>
      <x:c r="I30" s="21">
        <x:f t="shared" si="13"/>
        <x:v>5.2270499836654771E-2</x:v>
      </x:c>
      <x:c r="J30" s="21">
        <x:f t="shared" si="13"/>
        <x:v>6.1782055262340929E-2</x:v>
      </x:c>
      <x:c r="K30" s="21">
        <x:f t="shared" si="13"/>
        <x:v>5.8479532163742798E-2</x:v>
      </x:c>
      <x:c r="L30" s="21">
        <x:f t="shared" si="13"/>
        <x:v>-0.43591160220994474</x:v>
      </x:c>
      <x:c r="M30" s="21">
        <x:f t="shared" si="13"/>
        <x:v>-0.2291870714985309</x:v>
      </x:c>
      <x:c r="N30" s="21">
        <x:f t="shared" si="13"/>
        <x:v>0.1632782719186785</x:v>
      </x:c>
      <x:c r="O30" s="21">
        <x:f t="shared" si="13"/>
        <x:v>0.22337520480611683</x:v>
      </x:c>
      <x:c r="P30" s="21">
        <x:f t="shared" si="13"/>
        <x:v>0.10982142857142851</x:v>
      </x:c>
      <x:c r="Q30" s="21">
        <x:f t="shared" si="13"/>
        <x:v>0.14883346741753822</x:v>
      </x:c>
      <x:c r="R30" s="21">
        <x:f t="shared" si="13"/>
        <x:v>3.1512605042016695E-3</x:v>
      </x:c>
      <x:c r="S30" s="21">
        <x:f t="shared" si="13"/>
        <x:v>-7.5392670157068076E-2</x:v>
      </x:c>
      <x:c r="T30" s="21">
        <x:f t="shared" si="13"/>
        <x:v>9.2865232163080513E-2</x:v>
      </x:c>
      <x:c r="U30" s="21">
        <x:f t="shared" si="13"/>
        <x:v>0.13989637305699487</x:v>
      </x:c>
      <x:c r="X30" s="20"/>
    </x:row>
    <x:row r="31" ht="14.25" customHeight="1">
      <x:c r="A31" s="26" t="s">
        <x:v>93</x:v>
      </x:c>
      <x:c r="B31" s="21" t="n">
        <x:f t="shared" ref="B31:U31" si="14">B29/B$45</x:f>
        <x:v>0.4801932367149758</x:v>
      </x:c>
      <x:c r="C31" s="21">
        <x:f t="shared" si="14"/>
        <x:v>0.43474025974025976</x:v>
      </x:c>
      <x:c r="D31" s="21">
        <x:f t="shared" si="14"/>
        <x:v>0.42783238489394726</x:v>
      </x:c>
      <x:c r="E31" s="21">
        <x:f t="shared" si="14"/>
        <x:v>0.48053322048243757</x:v>
      </x:c>
      <x:c r="F31" s="21">
        <x:f t="shared" si="14"/>
        <x:v>0.49870077953228065</x:v>
      </x:c>
      <x:c r="G31" s="21">
        <x:f t="shared" si="14"/>
        <x:v>0.48754636989931105</x:v>
      </x:c>
      <x:c r="H31" s="21">
        <x:f t="shared" si="14"/>
        <x:v>0.47041647456585217</x:v>
      </x:c>
      <x:c r="I31" s="21">
        <x:f t="shared" si="14"/>
        <x:v>0.45347036463466139</x:v>
      </x:c>
      <x:c r="J31" s="21">
        <x:f t="shared" si="14"/>
        <x:v>0.44746827162109121</x:v>
      </x:c>
      <x:c r="K31" s="21">
        <x:f t="shared" si="14"/>
        <x:v>0.43677606177606176</x:v>
      </x:c>
      <x:c r="L31" s="21">
        <x:f t="shared" si="14"/>
        <x:v>0.3045942720763723</x:v>
      </x:c>
      <x:c r="M31" s="21">
        <x:f t="shared" si="14"/>
        <x:v>0.26538526386781319</x:v>
      </x:c>
      <x:c r="N31" s="21">
        <x:f t="shared" si="14"/>
        <x:v>0.30259461246075031</x:v>
      </x:c>
      <x:c r="O31" s="21">
        <x:f t="shared" si="14"/>
        <x:v>0.31145717463848721</x:v>
      </x:c>
      <x:c r="P31" s="21">
        <x:f t="shared" si="14"/>
        <x:v>0.18405271340786258</x:v>
      </x:c>
      <x:c r="Q31" s="21">
        <x:f t="shared" si="14"/>
        <x:v>0.15761589403973511</x:v>
      </x:c>
      <x:c r="R31" s="21">
        <x:f t="shared" si="14"/>
        <x:v>0.12962041351852691</x:v>
      </x:c>
      <x:c r="S31" s="21">
        <x:f t="shared" si="14"/>
        <x:v>0.10171248656120412</x:v>
      </x:c>
      <x:c r="T31" s="21">
        <x:f t="shared" si="14"/>
        <x:v>9.6371504660452731E-2</x:v>
      </x:c>
      <x:c r="U31" s="21">
        <x:f t="shared" si="14"/>
        <x:v>9.4065332649221817E-2</x:v>
      </x:c>
    </x:row>
    <x:row r="33" ht="14.25" customHeight="1">
      <x:c r="A33" s="1" t="s">
        <x:v>85</x:v>
      </x:c>
      <x:c r="B33" s="20">
        <x:v>331</x:v>
      </x:c>
      <x:c r="C33" s="20">
        <x:v>307</x:v>
      </x:c>
      <x:c r="D33" s="20">
        <x:v>203</x:v>
      </x:c>
      <x:c r="E33" s="20">
        <x:v>236</x:v>
      </x:c>
      <x:c r="F33" s="20">
        <x:v>307</x:v>
      </x:c>
      <x:c r="G33" s="20">
        <x:v>372</x:v>
      </x:c>
      <x:c r="H33" s="20">
        <x:v>519</x:v>
      </x:c>
      <x:c r="I33" s="20">
        <x:v>577</x:v>
      </x:c>
      <x:c r="J33" s="20">
        <x:v>643</x:v>
      </x:c>
      <x:c r="K33" s="20">
        <x:v>622</x:v>
      </x:c>
      <x:c r="L33" s="20">
        <x:v>496</x:v>
      </x:c>
      <x:c r="M33" s="20">
        <x:v>200</x:v>
      </x:c>
      <x:c r="N33" s="20">
        <x:v>226</x:v>
      </x:c>
      <x:c r="O33" s="20">
        <x:v>295</x:v>
      </x:c>
      <x:c r="P33" s="20">
        <x:v>379</x:v>
      </x:c>
      <x:c r="Q33" s="20">
        <x:v>416</x:v>
      </x:c>
      <x:c r="R33" s="20">
        <x:v>463</x:v>
      </x:c>
      <x:c r="S33" s="20">
        <x:v>427</x:v>
      </x:c>
      <x:c r="T33" s="20">
        <x:v>454</x:v>
      </x:c>
      <x:c r="U33" s="20">
        <x:v>486</x:v>
      </x:c>
    </x:row>
    <x:row r="34" ht="14.25" customHeight="1">
      <x:c r="A34" s="26" t="s">
        <x:v>92</x:v>
      </x:c>
      <x:c r="B34" s="20"/>
      <x:c r="C34" s="21" t="n">
        <x:f t="shared" ref="C34:U34" si="15">C33/B33-1</x:f>
        <x:v>-0.07250755287009059</x:v>
      </x:c>
      <x:c r="D34" s="21">
        <x:f t="shared" si="15"/>
        <x:v>-0.33876221498371339</x:v>
      </x:c>
      <x:c r="E34" s="21">
        <x:f t="shared" si="15"/>
        <x:v>0.16256157635467972</x:v>
      </x:c>
      <x:c r="F34" s="21">
        <x:f t="shared" si="15"/>
        <x:v>0.30084745762711873</x:v>
      </x:c>
      <x:c r="G34" s="21">
        <x:f t="shared" si="15"/>
        <x:v>0.21172638436482094</x:v>
      </x:c>
      <x:c r="H34" s="21">
        <x:f t="shared" si="15"/>
        <x:v>0.39516129032258074</x:v>
      </x:c>
      <x:c r="I34" s="21">
        <x:f t="shared" si="15"/>
        <x:v>0.11175337186897871</x:v>
      </x:c>
      <x:c r="J34" s="21">
        <x:f t="shared" si="15"/>
        <x:v>0.11438474870017323</x:v>
      </x:c>
      <x:c r="K34" s="21">
        <x:f t="shared" si="15"/>
        <x:v>-3.2659409020217689E-2</x:v>
      </x:c>
      <x:c r="L34" s="21">
        <x:f t="shared" si="15"/>
        <x:v>-0.202572347266881</x:v>
      </x:c>
      <x:c r="M34" s="21">
        <x:f t="shared" si="15"/>
        <x:v>-0.59677419354838712</x:v>
      </x:c>
      <x:c r="N34" s="21">
        <x:f t="shared" si="15"/>
        <x:v>0.12999999999999989</x:v>
      </x:c>
      <x:c r="O34" s="21">
        <x:f t="shared" si="15"/>
        <x:v>0.30530973451327426</x:v>
      </x:c>
      <x:c r="P34" s="21">
        <x:f t="shared" si="15"/>
        <x:v>0.28474576271186436</x:v>
      </x:c>
      <x:c r="Q34" s="21">
        <x:f t="shared" si="15"/>
        <x:v>9.7625329815303363E-2</x:v>
      </x:c>
      <x:c r="R34" s="21">
        <x:f t="shared" si="15"/>
        <x:v>0.11298076923076916</x:v>
      </x:c>
      <x:c r="S34" s="21">
        <x:f t="shared" si="15"/>
        <x:v>-7.7753779697624203E-2</x:v>
      </x:c>
      <x:c r="T34" s="21">
        <x:f t="shared" si="15"/>
        <x:v>6.3231850117096089E-2</x:v>
      </x:c>
      <x:c r="U34" s="21">
        <x:f t="shared" si="15"/>
        <x:v>7.0484581497797461E-2</x:v>
      </x:c>
    </x:row>
    <x:row r="35" ht="14.25" customHeight="1">
      <x:c r="A35" s="26" t="s">
        <x:v>93</x:v>
      </x:c>
      <x:c r="B35" s="21" t="n">
        <x:f t="shared" ref="B35:U35" si="16">B33/B$45</x:f>
        <x:v>0.10660225442834138</x:v>
      </x:c>
      <x:c r="C35" s="21">
        <x:f t="shared" si="16"/>
        <x:v>9.9675324675324681E-2</x:v>
      </x:c>
      <x:c r="D35" s="21">
        <x:f t="shared" si="16"/>
        <x:v>5.2509053285049144E-2</x:v>
      </x:c>
      <x:c r="E35" s="21">
        <x:f t="shared" si="16"/>
        <x:v>4.9936521371138382E-2</x:v>
      </x:c>
      <x:c r="F35" s="21">
        <x:f t="shared" si="16"/>
        <x:v>6.1363182090745552E-2</x:v>
      </x:c>
      <x:c r="G35" s="21">
        <x:f t="shared" si="16"/>
        <x:v>6.5712771595124536E-2</x:v>
      </x:c>
      <x:c r="H35" s="21">
        <x:f t="shared" si="16"/>
        <x:v>7.9760258183494692E-2</x:v>
      </x:c>
      <x:c r="I35" s="21">
        <x:f t="shared" si="16"/>
        <x:v>8.1233281711952696E-2</x:v>
      </x:c>
      <x:c r="J35" s="21">
        <x:f t="shared" si="16"/>
        <x:v>8.4129268611801644E-2</x:v>
      </x:c>
      <x:c r="K35" s="21">
        <x:f t="shared" si="16"/>
        <x:v>7.5048262548262551E-2</x:v>
      </x:c>
      <x:c r="L35" s="21">
        <x:f t="shared" si="16"/>
        <x:v>7.3985680190930783E-2</x:v>
      </x:c>
      <x:c r="M35" s="21">
        <x:f t="shared" si="16"/>
        <x:v>3.3721126285617943E-2</x:v>
      </x:c>
      <x:c r="N35" s="21">
        <x:f t="shared" si="16"/>
        <x:v>3.7349198479590152E-2</x:v>
      </x:c>
      <x:c r="O35" s="21">
        <x:f t="shared" si="16"/>
        <x:v>4.1017797552836487E-2</x:v>
      </x:c>
      <x:c r="P35" s="21">
        <x:f t="shared" si="16"/>
        <x:v>2.8059524690901016E-2</x:v>
      </x:c>
      <x:c r="Q35" s="21">
        <x:f t="shared" si="16"/>
        <x:v>2.2958057395143488E-2</x:v>
      </x:c>
      <x:c r="R35" s="21">
        <x:f t="shared" si="16"/>
        <x:v>2.0947382708229653E-2</x:v>
      </x:c>
      <x:c r="S35" s="21">
        <x:f t="shared" si="16"/>
        <x:v>1.6395330978344339E-2</x:v>
      </x:c>
      <x:c r="T35" s="21">
        <x:f t="shared" si="16"/>
        <x:v>1.511318242343542E-2</x:v>
      </x:c>
      <x:c r="U35" s="21">
        <x:f t="shared" si="16"/>
        <x:v>1.3853258081067214E-2</x:v>
      </x:c>
    </x:row>
    <x:row r="37" ht="14.25" customHeight="1">
      <x:c r="A37" s="1" t="s">
        <x:v>86</x:v>
      </x:c>
      <x:c r="B37" s="20">
        <x:v>163</x:v>
      </x:c>
      <x:c r="C37" s="20">
        <x:v>155</x:v>
      </x:c>
      <x:c r="D37" s="20">
        <x:v>111</x:v>
      </x:c>
      <x:c r="E37" s="20">
        <x:v>125</x:v>
      </x:c>
      <x:c r="F37" s="20">
        <x:v>145</x:v>
      </x:c>
      <x:c r="G37" s="20">
        <x:v>154</x:v>
      </x:c>
      <x:c r="H37" s="20">
        <x:v>152</x:v>
      </x:c>
      <x:c r="I37" s="20">
        <x:v>135</x:v>
      </x:c>
      <x:c r="J37" s="20">
        <x:v>125</x:v>
      </x:c>
      <x:c r="K37" s="20">
        <x:v>138</x:v>
      </x:c>
      <x:c r="L37" s="20">
        <x:v>220</x:v>
      </x:c>
      <x:c r="M37" s="20">
        <x:v>251</x:v>
      </x:c>
      <x:c r="N37" s="20">
        <x:v>294</x:v>
      </x:c>
      <x:c r="O37" s="20">
        <x:v>296</x:v>
      </x:c>
      <x:c r="P37" s="20">
        <x:v>253</x:v>
      </x:c>
      <x:c r="Q37" s="20">
        <x:v>261</x:v>
      </x:c>
      <x:c r="R37" s="20">
        <x:v>281</x:v>
      </x:c>
      <x:c r="S37" s="18">
        <x:v>329</x:v>
      </x:c>
      <x:c r="T37" s="20">
        <x:v>346</x:v>
      </x:c>
      <x:c r="U37" s="20">
        <x:v>449</x:v>
      </x:c>
    </x:row>
    <x:row r="38" ht="14.25" customHeight="1">
      <x:c r="A38" s="26" t="s">
        <x:v>92</x:v>
      </x:c>
      <x:c r="B38" s="20"/>
      <x:c r="C38" s="21" t="n">
        <x:f t="shared" ref="C38:U38" si="17">C37/B37-1</x:f>
        <x:v>-0.049079754601227044</x:v>
      </x:c>
      <x:c r="D38" s="21">
        <x:f t="shared" si="17"/>
        <x:v>-0.28387096774193543</x:v>
      </x:c>
      <x:c r="E38" s="21">
        <x:f t="shared" si="17"/>
        <x:v>0.12612612612612617</x:v>
      </x:c>
      <x:c r="F38" s="21">
        <x:f t="shared" si="17"/>
        <x:v>0.15999999999999992</x:v>
      </x:c>
      <x:c r="G38" s="21">
        <x:f t="shared" si="17"/>
        <x:v>6.2068965517241281E-2</x:v>
      </x:c>
      <x:c r="H38" s="21">
        <x:f t="shared" si="17"/>
        <x:v>-1.2987012987012991E-2</x:v>
      </x:c>
      <x:c r="I38" s="21">
        <x:f t="shared" si="17"/>
        <x:v>-0.11184210526315785</x:v>
      </x:c>
      <x:c r="J38" s="21">
        <x:f t="shared" si="17"/>
        <x:v>-7.407407407407407E-2</x:v>
      </x:c>
      <x:c r="K38" s="21">
        <x:f t="shared" si="17"/>
        <x:v>0.10400000000000009</x:v>
      </x:c>
      <x:c r="L38" s="21">
        <x:f t="shared" si="17"/>
        <x:v>0.59420289855072461</x:v>
      </x:c>
      <x:c r="M38" s="21">
        <x:f t="shared" si="17"/>
        <x:v>0.14090909090909087</x:v>
      </x:c>
      <x:c r="N38" s="21">
        <x:f t="shared" si="17"/>
        <x:v>0.17131474103585664</x:v>
      </x:c>
      <x:c r="O38" s="21">
        <x:f t="shared" si="17"/>
        <x:v>6.8027210884353817E-3</x:v>
      </x:c>
      <x:c r="P38" s="21">
        <x:f t="shared" si="17"/>
        <x:v>-0.14527027027027029</x:v>
      </x:c>
      <x:c r="Q38" s="21">
        <x:f t="shared" si="17"/>
        <x:v>3.1620553359683834E-2</x:v>
      </x:c>
      <x:c r="R38" s="21">
        <x:f t="shared" si="17"/>
        <x:v>7.6628352490421436E-2</x:v>
      </x:c>
      <x:c r="S38" s="21">
        <x:f t="shared" si="17"/>
        <x:v>0.17081850533807819</x:v>
      </x:c>
      <x:c r="T38" s="21">
        <x:f t="shared" si="17"/>
        <x:v>5.1671732522796443E-2</x:v>
      </x:c>
      <x:c r="U38" s="21">
        <x:f t="shared" si="17"/>
        <x:v>0.29768786127167624</x:v>
      </x:c>
    </x:row>
    <x:row r="39" ht="14.25" customHeight="1">
      <x:c r="A39" s="26" t="s">
        <x:v>93</x:v>
      </x:c>
      <x:c r="B39" s="21" t="n">
        <x:f t="shared" ref="B39:U39" si="18">B37/B$45</x:f>
        <x:v>0.05249597423510467</x:v>
      </x:c>
      <x:c r="C39" s="21">
        <x:f t="shared" si="18"/>
        <x:v>5.0324675324675328E-2</x:v>
      </x:c>
      <x:c r="D39" s="21">
        <x:f t="shared" si="18"/>
        <x:v>2.8711846870150024E-2</x:v>
      </x:c>
      <x:c r="E39" s="21">
        <x:f t="shared" si="18"/>
        <x:v>2.6449428692340245E-2</x:v>
      </x:c>
      <x:c r="F39" s="21">
        <x:f t="shared" si="18"/>
        <x:v>2.8982610433739755E-2</x:v>
      </x:c>
      <x:c r="G39" s="21">
        <x:f t="shared" si="18"/>
        <x:v>2.7203674262497791E-2</x:v>
      </x:c>
      <x:c r="H39" s="21">
        <x:f t="shared" si="18"/>
        <x:v>2.3359459044106346E-2</x:v>
      </x:c>
      <x:c r="I39" s="21">
        <x:f t="shared" si="18"/>
        <x:v>1.9006053780092919E-2</x:v>
      </x:c>
      <x:c r="J39" s="21">
        <x:f t="shared" si="18"/>
        <x:v>1.635483448907497E-2</x:v>
      </x:c>
      <x:c r="K39" s="21">
        <x:f t="shared" si="18"/>
        <x:v>1.6650579150579152E-2</x:v>
      </x:c>
      <x:c r="L39" s="21">
        <x:f t="shared" si="18"/>
        <x:v>3.2816229116945109E-2</x:v>
      </x:c>
      <x:c r="M39" s="21">
        <x:f t="shared" si="18"/>
        <x:v>4.2320013488450513E-2</x:v>
      </x:c>
      <x:c r="N39" s="21">
        <x:f t="shared" si="18"/>
        <x:v>4.8587010411502228E-2</x:v>
      </x:c>
      <x:c r="O39" s="21">
        <x:f t="shared" si="18"/>
        <x:v>4.1156840934371525E-2</x:v>
      </x:c>
      <x:c r="P39" s="21">
        <x:f t="shared" si="18"/>
        <x:v>1.8731028355667433E-2</x:v>
      </x:c>
      <x:c r="Q39" s="21">
        <x:f t="shared" si="18"/>
        <x:v>1.4403973509933774E-2</x:v>
      </x:c>
      <x:c r="R39" s="21">
        <x:f t="shared" si="18"/>
        <x:v>1.2713206352078904E-2</x:v>
      </x:c>
      <x:c r="S39" s="21">
        <x:f t="shared" si="18"/>
        <x:v>1.2632468130855475E-2</x:v>
      </x:c>
      <x:c r="T39" s="21">
        <x:f t="shared" si="18"/>
        <x:v>1.1517976031957391E-2</x:v>
      </x:c>
      <x:c r="U39" s="21">
        <x:f t="shared" si="18"/>
        <x:v>1.2798586169545635E-2</x:v>
      </x:c>
    </x:row>
    <x:row r="41" ht="14.25" customHeight="1">
      <x:c r="A41" s="1" t="s">
        <x:v>87</x:v>
      </x:c>
      <x:c r="B41" s="20">
        <x:v>152</x:v>
      </x:c>
      <x:c r="C41" s="20">
        <x:v>138</x:v>
      </x:c>
      <x:c r="D41" s="20">
        <x:v>146</x:v>
      </x:c>
      <x:c r="E41" s="20">
        <x:v>194</x:v>
      </x:c>
      <x:c r="F41" s="20">
        <x:v>153</x:v>
      </x:c>
      <x:c r="G41" s="20">
        <x:v>327</x:v>
      </x:c>
      <x:c r="H41" s="20">
        <x:v>409</x:v>
      </x:c>
      <x:c r="I41" s="20">
        <x:v>234</x:v>
      </x:c>
      <x:c r="J41" s="20">
        <x:v>192</x:v>
      </x:c>
      <x:c r="K41" s="20">
        <x:v>158</x:v>
      </x:c>
      <x:c r="L41" s="20">
        <x:v>140</x:v>
      </x:c>
      <x:c r="M41" s="20">
        <x:v>73</x:v>
      </x:c>
      <x:c r="N41" s="20">
        <x:v>84</x:v>
      </x:c>
      <x:c r="O41" s="20">
        <x:v>77</x:v>
      </x:c>
      <x:c r="P41" s="20">
        <x:v>66</x:v>
      </x:c>
      <x:c r="Q41" s="20">
        <x:v>73</x:v>
      </x:c>
      <x:c r="R41" s="20">
        <x:v>90</x:v>
      </x:c>
      <x:c r="S41" s="18">
        <x:v>76</x:v>
      </x:c>
      <x:c r="T41" s="20">
        <x:v>34</x:v>
      </x:c>
      <x:c r="U41" s="20">
        <x:v>47</x:v>
      </x:c>
    </x:row>
    <x:row r="42" ht="14.25" customHeight="1">
      <x:c r="A42" s="26" t="s">
        <x:v>92</x:v>
      </x:c>
      <x:c r="B42" s="20"/>
      <x:c r="C42" s="21" t="n">
        <x:f t="shared" ref="C42:U42" si="19">C41/B41-1</x:f>
        <x:v>-0.09210526315789469</x:v>
      </x:c>
      <x:c r="D42" s="21">
        <x:f t="shared" si="19"/>
        <x:v>5.7971014492753659E-2</x:v>
      </x:c>
      <x:c r="E42" s="21">
        <x:f t="shared" si="19"/>
        <x:v>0.32876712328767121</x:v>
      </x:c>
      <x:c r="F42" s="21">
        <x:f t="shared" si="19"/>
        <x:v>-0.21134020618556704</x:v>
      </x:c>
      <x:c r="G42" s="21">
        <x:f t="shared" si="19"/>
        <x:v>1.1372549019607843</x:v>
      </x:c>
      <x:c r="H42" s="21">
        <x:f t="shared" si="19"/>
        <x:v>0.25076452599388377</x:v>
      </x:c>
      <x:c r="I42" s="21">
        <x:f t="shared" si="19"/>
        <x:v>-0.42787286063569685</x:v>
      </x:c>
      <x:c r="J42" s="21">
        <x:f t="shared" si="19"/>
        <x:v>-0.17948717948717952</x:v>
      </x:c>
      <x:c r="K42" s="21">
        <x:f t="shared" si="19"/>
        <x:v>-0.17708333333333337</x:v>
      </x:c>
      <x:c r="L42" s="21">
        <x:f t="shared" si="19"/>
        <x:v>-0.11392405063291144</x:v>
      </x:c>
      <x:c r="M42" s="21">
        <x:f t="shared" si="19"/>
        <x:v>-0.47857142857142854</x:v>
      </x:c>
      <x:c r="N42" s="21">
        <x:f t="shared" si="19"/>
        <x:v>0.15068493150684925</x:v>
      </x:c>
      <x:c r="O42" s="21">
        <x:f t="shared" si="19"/>
        <x:v>-8.333333333333337E-2</x:v>
      </x:c>
      <x:c r="P42" s="21">
        <x:f t="shared" si="19"/>
        <x:v>-0.1428571428571429</x:v>
      </x:c>
      <x:c r="Q42" s="21">
        <x:f t="shared" si="19"/>
        <x:v>0.10606060606060597</x:v>
      </x:c>
      <x:c r="R42" s="21">
        <x:f t="shared" si="19"/>
        <x:v>0.23287671232876717</x:v>
      </x:c>
      <x:c r="S42" s="21">
        <x:f t="shared" si="19"/>
        <x:v>-0.15555555555555556</x:v>
      </x:c>
      <x:c r="T42" s="21">
        <x:f t="shared" si="19"/>
        <x:v>-0.55263157894736836</x:v>
      </x:c>
      <x:c r="U42" s="21">
        <x:f t="shared" si="19"/>
        <x:v>0.38235294117647056</x:v>
      </x:c>
    </x:row>
    <x:row r="43" ht="14.25" customHeight="1">
      <x:c r="A43" s="26" t="s">
        <x:v>93</x:v>
      </x:c>
      <x:c r="B43" s="21" t="n">
        <x:f t="shared" ref="B43:U43" si="20">B41/B$45</x:f>
        <x:v>0.04895330112721417</x:v>
      </x:c>
      <x:c r="C43" s="21">
        <x:f t="shared" si="20"/>
        <x:v>4.4805194805194806E-2</x:v>
      </x:c>
      <x:c r="D43" s="21">
        <x:f t="shared" si="20"/>
        <x:v>3.7765131919296431E-2</x:v>
      </x:c>
      <x:c r="E43" s="21">
        <x:f t="shared" si="20"/>
        <x:v>4.1049513330512058E-2</x:v>
      </x:c>
      <x:c r="F43" s="21">
        <x:f t="shared" si="20"/>
        <x:v>3.0581651009394362E-2</x:v>
      </x:c>
      <x:c r="G43" s="21">
        <x:f t="shared" si="20"/>
        <x:v>5.7763645998940114E-2</x:v>
      </x:c>
      <x:c r="H43" s="21">
        <x:f t="shared" si="20"/>
        <x:v>6.2855386506838792E-2</x:v>
      </x:c>
      <x:c r="I43" s="21">
        <x:f t="shared" si="20"/>
        <x:v>3.2943826552161055E-2</x:v>
      </x:c>
      <x:c r="J43" s="21">
        <x:f t="shared" si="20"/>
        <x:v>2.5121025775219154E-2</x:v>
      </x:c>
      <x:c r="K43" s="21">
        <x:f t="shared" si="20"/>
        <x:v>1.9063706563706564E-2</x:v>
      </x:c>
      <x:c r="L43" s="21">
        <x:f t="shared" si="20"/>
        <x:v>2.0883054892601432E-2</x:v>
      </x:c>
      <x:c r="M43" s="21">
        <x:f t="shared" si="20"/>
        <x:v>1.2308211094250548E-2</x:v>
      </x:c>
      <x:c r="N43" s="21">
        <x:f t="shared" si="20"/>
        <x:v>1.3882002974714923E-2</x:v>
      </x:c>
      <x:c r="O43" s="21">
        <x:f t="shared" si="20"/>
        <x:v>1.0706340378197997E-2</x:v>
      </x:c>
      <x:c r="P43" s="21">
        <x:f t="shared" si="20"/>
        <x:v>4.8863552232175905E-3</x:v>
      </x:c>
      <x:c r="Q43" s="21">
        <x:f t="shared" si="20"/>
        <x:v>4.0286975717439295E-3</x:v>
      </x:c>
      <x:c r="R43" s="21">
        <x:f t="shared" si="20"/>
        <x:v>4.0718454508437765E-3</x:v>
      </x:c>
      <x:c r="S43" s="21">
        <x:f t="shared" si="20"/>
        <x:v>2.9181385347872833E-3</x:v>
      </x:c>
      <x:c r="T43" s="21">
        <x:f t="shared" si="20"/>
        <x:v>1.1318242343541945E-3</x:v>
      </x:c>
      <x:c r="U43" s="21">
        <x:f t="shared" si="20"/>
        <x:v>1.3397183740949774E-3</x:v>
      </x:c>
    </x:row>
    <x:row r="45" ht="14.25" customHeight="1">
      <x:c r="A45" s="2" t="s">
        <x:v>88</x:v>
      </x:c>
      <x:c r="B45" s="22" t="n">
        <x:f t="shared" ref="B45:U45" si="21">SUM(B25,B29,B33,B37,B41)</x:f>
        <x:v>3105</x:v>
      </x:c>
      <x:c r="C45" s="22">
        <x:f t="shared" si="21"/>
        <x:v>3080</x:v>
      </x:c>
      <x:c r="D45" s="22">
        <x:f t="shared" si="21"/>
        <x:v>3866</x:v>
      </x:c>
      <x:c r="E45" s="22">
        <x:f t="shared" si="21"/>
        <x:v>4726</x:v>
      </x:c>
      <x:c r="F45" s="22">
        <x:f t="shared" si="21"/>
        <x:v>5003</x:v>
      </x:c>
      <x:c r="G45" s="22">
        <x:f t="shared" si="21"/>
        <x:v>5661</x:v>
      </x:c>
      <x:c r="H45" s="22">
        <x:f t="shared" si="21"/>
        <x:v>6507</x:v>
      </x:c>
      <x:c r="I45" s="22">
        <x:f t="shared" si="21"/>
        <x:v>7103</x:v>
      </x:c>
      <x:c r="J45" s="22">
        <x:f t="shared" si="21"/>
        <x:v>7643</x:v>
      </x:c>
      <x:c r="K45" s="22">
        <x:f t="shared" si="21"/>
        <x:v>8288</x:v>
      </x:c>
      <x:c r="L45" s="22">
        <x:f t="shared" si="21"/>
        <x:v>6704</x:v>
      </x:c>
      <x:c r="M45" s="22">
        <x:f t="shared" si="21"/>
        <x:v>5931</x:v>
      </x:c>
      <x:c r="N45" s="22">
        <x:f t="shared" si="21"/>
        <x:v>6051</x:v>
      </x:c>
      <x:c r="O45" s="22">
        <x:f t="shared" si="21"/>
        <x:v>7192</x:v>
      </x:c>
      <x:c r="P45" s="22">
        <x:f t="shared" si="21"/>
        <x:v>13507</x:v>
      </x:c>
      <x:c r="Q45" s="22">
        <x:f t="shared" si="21"/>
        <x:v>18120</x:v>
      </x:c>
      <x:c r="R45" s="22">
        <x:f t="shared" si="21"/>
        <x:v>22103</x:v>
      </x:c>
      <x:c r="S45" s="22">
        <x:f t="shared" si="21"/>
        <x:v>26044</x:v>
      </x:c>
      <x:c r="T45" s="22">
        <x:f t="shared" si="21"/>
        <x:v>30040</x:v>
      </x:c>
      <x:c r="U45" s="22">
        <x:f t="shared" si="21"/>
        <x:v>35082</x:v>
      </x:c>
    </x:row>
    <x:row r="46" ht="14.25" customHeight="1">
      <x:c r="A46" s="1" t="s">
        <x:v>92</x:v>
      </x:c>
      <x:c r="B46" s="28"/>
      <x:c r="C46" s="21" t="n">
        <x:f t="shared" ref="C46:U46" si="22">C45/B45-1</x:f>
        <x:v>-0.008051529790660261</x:v>
      </x:c>
      <x:c r="D46" s="21">
        <x:f t="shared" si="22"/>
        <x:v>0.2551948051948052</x:v>
      </x:c>
      <x:c r="E46" s="21">
        <x:f t="shared" si="22"/>
        <x:v>0.22245214692188298</x:v>
      </x:c>
      <x:c r="F46" s="21">
        <x:f t="shared" si="22"/>
        <x:v>5.8611933982225972E-2</x:v>
      </x:c>
      <x:c r="G46" s="21">
        <x:f t="shared" si="22"/>
        <x:v>0.13152108734759138</x:v>
      </x:c>
      <x:c r="H46" s="21">
        <x:f t="shared" si="22"/>
        <x:v>0.14944356120826718</x:v>
      </x:c>
      <x:c r="I46" s="21">
        <x:f t="shared" si="22"/>
        <x:v>9.1593668357153879E-2</x:v>
      </x:c>
      <x:c r="J46" s="21">
        <x:f t="shared" si="22"/>
        <x:v>7.6024215120371608E-2</x:v>
      </x:c>
      <x:c r="K46" s="21">
        <x:f t="shared" si="22"/>
        <x:v>8.4390945963626951E-2</x:v>
      </x:c>
      <x:c r="L46" s="21">
        <x:f t="shared" si="22"/>
        <x:v>-0.19111969111969107</x:v>
      </x:c>
      <x:c r="M46" s="21">
        <x:f t="shared" si="22"/>
        <x:v>-0.11530429594272074</x:v>
      </x:c>
      <x:c r="N46" s="21">
        <x:f t="shared" si="22"/>
        <x:v>2.0232675771370667E-2</x:v>
      </x:c>
      <x:c r="O46" s="21">
        <x:f t="shared" si="22"/>
        <x:v>0.1885638737398776</x:v>
      </x:c>
      <x:c r="P46" s="21">
        <x:f t="shared" si="22"/>
        <x:v>0.87805895439377091</x:v>
      </x:c>
      <x:c r="Q46" s="21">
        <x:f t="shared" si="22"/>
        <x:v>0.34152661582882948</x:v>
      </x:c>
      <x:c r="R46" s="21">
        <x:f t="shared" si="22"/>
        <x:v>0.21981236203090515</x:v>
      </x:c>
      <x:c r="S46" s="21">
        <x:f t="shared" si="22"/>
        <x:v>0.17830158801972584</x:v>
      </x:c>
      <x:c r="T46" s="21">
        <x:f t="shared" si="22"/>
        <x:v>0.1534326524343419</x:v>
      </x:c>
      <x:c r="U46" s="21">
        <x:f t="shared" si="22"/>
        <x:v>0.16784287616511318</x:v>
      </x:c>
    </x:row>
    <x:row r="48" ht="14.25" customHeight="1">
      <x:c r="A48" s="1" t="s">
        <x:v>87</x:v>
      </x:c>
      <x:c r="B48" t="s">
        <x:v>94</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6640625" defaultRowHeight="14.25"/>
  <x:cols>
    <x:col min="1" max="1" width="49.265625" customWidth="1"/>
    <x:col min="2" max="20" width="11" customWidth="1"/>
    <x:col min="21" max="22" width="11.1328125" customWidth="1"/>
  </x:cols>
  <x:sheetData>
    <x:row r="1" ht="8.25" customHeight="1"/>
    <x:row r="2" ht="18" customHeight="1">
      <x:c r="A2" s="15" t="s">
        <x:v>28</x:v>
      </x:c>
      <x:c r="L2" s="17"/>
      <x:c r="M2" s="17"/>
      <x:c r="N2" s="17"/>
      <x:c r="O2" s="18"/>
      <x:c r="P2" s="18"/>
      <x:c r="Q2" s="18"/>
      <x:c r="R2" s="18"/>
      <x:c r="S2" s="18"/>
    </x:row>
    <x:row r="3" ht="14.25" customHeight="1">
      <x:c r="A3" s="29" t="s">
        <x:v>95</x:v>
      </x:c>
      <x:c r="L3" s="17"/>
      <x:c r="M3" s="17"/>
      <x:c r="N3" s="17"/>
      <x:c r="O3" s="18"/>
      <x:c r="P3" s="18"/>
      <x:c r="Q3" s="18"/>
      <x:c r="R3" s="18"/>
      <x:c r="S3" s="18"/>
    </x:row>
    <x:row r="5" ht="14.25" customHeight="1">
      <x:c r="A5" s="30"/>
      <x:c r="B5" s="31"/>
      <x:c r="C5" s="31"/>
      <x:c r="D5" s="31"/>
      <x:c r="E5" s="31"/>
      <x:c r="F5" s="31"/>
      <x:c r="H5" s="31"/>
      <x:c r="I5" s="31"/>
      <x:c r="J5" s="31"/>
    </x:row>
    <x:row r="6" ht="14.25" customHeight="1">
      <x:c r="A6" t="s">
        <x:v>96</x:v>
      </x:c>
      <x:c r="B6" s="2" t="s">
        <x:v>70</x:v>
      </x:c>
      <x:c r="C6" s="2" t="s">
        <x:v>71</x:v>
      </x:c>
      <x:c r="D6" s="2" t="s">
        <x:v>72</x:v>
      </x:c>
      <x:c r="E6" s="2" t="s">
        <x:v>73</x:v>
      </x:c>
      <x:c r="F6" s="2" t="s">
        <x:v>74</x:v>
      </x:c>
      <x:c r="G6" s="32" t="s">
        <x:v>75</x:v>
      </x:c>
      <x:c r="H6" s="2" t="s">
        <x:v>76</x:v>
      </x:c>
      <x:c r="I6" s="2" t="s">
        <x:v>77</x:v>
      </x:c>
      <x:c r="J6" s="2" t="s">
        <x:v>78</x:v>
      </x:c>
      <x:c r="K6" s="32" t="s">
        <x:v>79</x:v>
      </x:c>
      <x:c r="L6" s="32" t="s">
        <x:v>80</x:v>
      </x:c>
      <x:c r="M6" s="32" t="s">
        <x:v>81</x:v>
      </x:c>
      <x:c r="N6" s="32" t="s">
        <x:v>82</x:v>
      </x:c>
      <x:c r="O6" s="32" t="s">
        <x:v>89</x:v>
      </x:c>
      <x:c r="P6" s="32" t="s">
        <x:v>90</x:v>
      </x:c>
      <x:c r="Q6" s="32" t="s">
        <x:v>91</x:v>
      </x:c>
      <x:c r="R6" s="32" t="s">
        <x:v>97</x:v>
      </x:c>
      <x:c r="S6" s="32" t="s">
        <x:v>98</x:v>
      </x:c>
      <x:c r="T6" s="32" t="s">
        <x:v>99</x:v>
      </x:c>
    </x:row>
    <x:row r="7" ht="14.25" customHeight="1">
      <x:c r="A7" s="33" t="s">
        <x:v>100</x:v>
      </x:c>
      <x:c r="B7" s="34">
        <x:v>44227</x:v>
      </x:c>
      <x:c r="C7" s="34">
        <x:v>44318</x:v>
      </x:c>
      <x:c r="D7" s="34">
        <x:v>44409</x:v>
      </x:c>
      <x:c r="E7" s="34">
        <x:v>44500</x:v>
      </x:c>
      <x:c r="F7" s="34">
        <x:v>44591</x:v>
      </x:c>
      <x:c r="G7" s="34">
        <x:v>44682</x:v>
      </x:c>
      <x:c r="H7" s="34">
        <x:v>44773</x:v>
      </x:c>
      <x:c r="I7" s="34">
        <x:v>44864</x:v>
      </x:c>
      <x:c r="J7" s="34">
        <x:v>44955</x:v>
      </x:c>
      <x:c r="K7" s="34">
        <x:v>45046</x:v>
      </x:c>
      <x:c r="L7" s="34">
        <x:v>45137</x:v>
      </x:c>
      <x:c r="M7" s="34">
        <x:v>45228</x:v>
      </x:c>
      <x:c r="N7" s="34">
        <x:v>45319</x:v>
      </x:c>
      <x:c r="O7" s="34">
        <x:v>45410</x:v>
      </x:c>
      <x:c r="P7" s="34">
        <x:v>45501</x:v>
      </x:c>
      <x:c r="Q7" s="34">
        <x:v>45592</x:v>
      </x:c>
      <x:c r="R7" s="34">
        <x:v>45683</x:v>
      </x:c>
      <x:c r="S7" s="34">
        <x:v>45774</x:v>
      </x:c>
      <x:c r="T7" s="34">
        <x:v>45865</x:v>
      </x:c>
    </x:row>
    <x:row r="8" ht="14.25" customHeight="1">
      <x:c r="U8" s="2"/>
      <x:c r="V8" s="2"/>
    </x:row>
    <x:row r="9" ht="14.25" customHeight="1">
      <x:c r="A9" t="s">
        <x:v>101</x:v>
      </x:c>
      <x:c r="B9" s="17">
        <x:v>5003</x:v>
      </x:c>
      <x:c r="C9" s="17">
        <x:v>5661</x:v>
      </x:c>
      <x:c r="D9" s="17">
        <x:v>6507</x:v>
      </x:c>
      <x:c r="E9" s="17">
        <x:v>7103</x:v>
      </x:c>
      <x:c r="F9" s="17">
        <x:v>7643</x:v>
      </x:c>
      <x:c r="G9" s="17">
        <x:v>8288</x:v>
      </x:c>
      <x:c r="H9" s="17">
        <x:v>6704</x:v>
      </x:c>
      <x:c r="I9" s="17">
        <x:v>5931</x:v>
      </x:c>
      <x:c r="J9" s="17">
        <x:v>6051</x:v>
      </x:c>
      <x:c r="K9" s="17">
        <x:v>7192</x:v>
      </x:c>
      <x:c r="L9" s="17">
        <x:v>13507</x:v>
      </x:c>
      <x:c r="M9" s="17">
        <x:v>18120</x:v>
      </x:c>
      <x:c r="N9" s="17">
        <x:v>22103</x:v>
      </x:c>
      <x:c r="O9" s="18">
        <x:v>26044</x:v>
      </x:c>
      <x:c r="P9" s="18">
        <x:v>30040</x:v>
      </x:c>
      <x:c r="Q9" s="18">
        <x:v>35082</x:v>
      </x:c>
      <x:c r="R9" s="18">
        <x:v>39331</x:v>
      </x:c>
      <x:c r="S9" s="18">
        <x:v>44062</x:v>
      </x:c>
      <x:c r="T9" s="18">
        <x:v>46743</x:v>
      </x:c>
    </x:row>
    <x:row r="10" ht="14.25" customHeight="1">
      <x:c r="A10" t="s">
        <x:v>102</x:v>
      </x:c>
      <x:c r="B10" s="17">
        <x:v>1846</x:v>
      </x:c>
      <x:c r="C10" s="17">
        <x:v>2032</x:v>
      </x:c>
      <x:c r="D10" s="17">
        <x:v>2292</x:v>
      </x:c>
      <x:c r="E10" s="17">
        <x:v>2472</x:v>
      </x:c>
      <x:c r="F10" s="17">
        <x:v>2643</x:v>
      </x:c>
      <x:c r="G10" s="17">
        <x:v>2857</x:v>
      </x:c>
      <x:c r="H10" s="17">
        <x:v>3789</x:v>
      </x:c>
      <x:c r="I10" s="17">
        <x:v>2754</x:v>
      </x:c>
      <x:c r="J10" s="17">
        <x:v>2218</x:v>
      </x:c>
      <x:c r="K10" s="17">
        <x:v>2544</x:v>
      </x:c>
      <x:c r="L10" s="17">
        <x:v>4045</x:v>
      </x:c>
      <x:c r="M10" s="17">
        <x:v>4720</x:v>
      </x:c>
      <x:c r="N10" s="17">
        <x:v>5312</x:v>
      </x:c>
      <x:c r="O10" s="18">
        <x:v>5638</x:v>
      </x:c>
      <x:c r="P10" s="18">
        <x:v>7466</x:v>
      </x:c>
      <x:c r="Q10" s="18">
        <x:v>8926</x:v>
      </x:c>
      <x:c r="R10" s="18">
        <x:v>10608</x:v>
      </x:c>
      <x:c r="S10" s="18">
        <x:v>17394</x:v>
      </x:c>
      <x:c r="T10" s="18">
        <x:v>12890</x:v>
      </x:c>
    </x:row>
    <x:row r="11" ht="14.25" customHeight="1">
      <x:c r="A11" s="35" t="s">
        <x:v>103</x:v>
      </x:c>
      <x:c r="B11" s="36">
        <x:v>3157</x:v>
      </x:c>
      <x:c r="C11" s="36">
        <x:v>3629</x:v>
      </x:c>
      <x:c r="D11" s="36">
        <x:v>4215</x:v>
      </x:c>
      <x:c r="E11" s="36">
        <x:v>4631</x:v>
      </x:c>
      <x:c r="F11" s="36">
        <x:v>5000</x:v>
      </x:c>
      <x:c r="G11" s="36">
        <x:v>5431</x:v>
      </x:c>
      <x:c r="H11" s="36">
        <x:v>2915</x:v>
      </x:c>
      <x:c r="I11" s="36">
        <x:v>3177</x:v>
      </x:c>
      <x:c r="J11" s="36">
        <x:v>3833</x:v>
      </x:c>
      <x:c r="K11" s="36">
        <x:v>4648</x:v>
      </x:c>
      <x:c r="L11" s="36">
        <x:v>9462</x:v>
      </x:c>
      <x:c r="M11" s="36">
        <x:v>13400</x:v>
      </x:c>
      <x:c r="N11" s="36">
        <x:v>16791</x:v>
      </x:c>
      <x:c r="O11" s="37">
        <x:v>20406</x:v>
      </x:c>
      <x:c r="P11" s="37">
        <x:v>22574</x:v>
      </x:c>
      <x:c r="Q11" s="37">
        <x:v>26156</x:v>
      </x:c>
      <x:c r="R11" s="37">
        <x:v>28723</x:v>
      </x:c>
      <x:c r="S11" s="37">
        <x:v>26668</x:v>
      </x:c>
      <x:c r="T11" s="37">
        <x:v>33853</x:v>
      </x:c>
    </x:row>
    <x:row r="12" ht="14.25" customHeight="1">
      <x:c r="B12" s="17"/>
      <x:c r="C12" s="17"/>
      <x:c r="D12" s="17"/>
      <x:c r="E12" s="17"/>
      <x:c r="F12" s="17"/>
      <x:c r="G12" s="17"/>
      <x:c r="H12" s="17"/>
      <x:c r="I12" s="17"/>
      <x:c r="J12" s="17"/>
      <x:c r="K12" s="17"/>
      <x:c r="L12" s="17"/>
      <x:c r="M12" s="17"/>
      <x:c r="N12" s="17"/>
      <x:c r="O12" s="18"/>
      <x:c r="P12" s="18"/>
      <x:c r="Q12" s="18"/>
      <x:c r="R12" s="18"/>
      <x:c r="S12" s="18"/>
    </x:row>
    <x:row r="13" ht="14.25" customHeight="1">
      <x:c r="A13" t="s">
        <x:v>104</x:v>
      </x:c>
      <x:c r="B13" s="17"/>
      <x:c r="C13" s="17"/>
      <x:c r="D13" s="17"/>
      <x:c r="E13" s="17"/>
      <x:c r="F13" s="17"/>
      <x:c r="G13" s="17"/>
      <x:c r="H13" s="17"/>
      <x:c r="I13" s="17"/>
      <x:c r="J13" s="17"/>
      <x:c r="K13" s="17"/>
      <x:c r="L13" s="17"/>
      <x:c r="M13" s="17"/>
      <x:c r="N13" s="17"/>
      <x:c r="O13" s="18"/>
      <x:c r="P13" s="18"/>
      <x:c r="Q13" s="18"/>
      <x:c r="R13" s="18"/>
      <x:c r="S13" s="18"/>
      <x:c r="T13" s="18"/>
    </x:row>
    <x:row r="14" ht="14.25" customHeight="1">
      <x:c r="A14" t="s">
        <x:v>105</x:v>
      </x:c>
      <x:c r="B14" s="17">
        <x:v>1145</x:v>
      </x:c>
      <x:c r="C14" s="17">
        <x:v>1153</x:v>
      </x:c>
      <x:c r="D14" s="17">
        <x:v>1245</x:v>
      </x:c>
      <x:c r="E14" s="17">
        <x:v>1403</x:v>
      </x:c>
      <x:c r="F14" s="17">
        <x:v>1467</x:v>
      </x:c>
      <x:c r="G14" s="17">
        <x:v>1618</x:v>
      </x:c>
      <x:c r="H14" s="17">
        <x:v>1824</x:v>
      </x:c>
      <x:c r="I14" s="17">
        <x:v>1945</x:v>
      </x:c>
      <x:c r="J14" s="17">
        <x:v>1952</x:v>
      </x:c>
      <x:c r="K14" s="17">
        <x:v>1875</x:v>
      </x:c>
      <x:c r="L14" s="17">
        <x:v>2040</x:v>
      </x:c>
      <x:c r="M14" s="17">
        <x:v>2294</x:v>
      </x:c>
      <x:c r="N14" s="17">
        <x:v>2466</x:v>
      </x:c>
      <x:c r="O14" s="18">
        <x:v>2720</x:v>
      </x:c>
      <x:c r="P14" s="18">
        <x:v>3090</x:v>
      </x:c>
      <x:c r="Q14" s="18">
        <x:v>3390</x:v>
      </x:c>
      <x:c r="R14" s="18">
        <x:v>3714</x:v>
      </x:c>
      <x:c r="S14" s="18">
        <x:v>3989</x:v>
      </x:c>
      <x:c r="T14" s="18">
        <x:v>4291</x:v>
      </x:c>
    </x:row>
    <x:row r="15" ht="14.25" customHeight="1">
      <x:c r="A15" t="s">
        <x:v>106</x:v>
      </x:c>
      <x:c r="B15" s="17">
        <x:v>505</x:v>
      </x:c>
      <x:c r="C15" s="17">
        <x:v>520</x:v>
      </x:c>
      <x:c r="D15" s="17">
        <x:v>526</x:v>
      </x:c>
      <x:c r="E15" s="17">
        <x:v>557</x:v>
      </x:c>
      <x:c r="F15" s="17">
        <x:v>563</x:v>
      </x:c>
      <x:c r="G15" s="17">
        <x:v>592</x:v>
      </x:c>
      <x:c r="H15" s="17">
        <x:v>592</x:v>
      </x:c>
      <x:c r="I15" s="17">
        <x:v>631</x:v>
      </x:c>
      <x:c r="J15" s="17">
        <x:v>625</x:v>
      </x:c>
      <x:c r="K15" s="17">
        <x:v>633</x:v>
      </x:c>
      <x:c r="L15" s="17">
        <x:v>622</x:v>
      </x:c>
      <x:c r="M15" s="17">
        <x:v>689</x:v>
      </x:c>
      <x:c r="N15" s="17">
        <x:v>710</x:v>
      </x:c>
      <x:c r="O15" s="18">
        <x:v>777</x:v>
      </x:c>
      <x:c r="P15" s="18">
        <x:v>842</x:v>
      </x:c>
      <x:c r="Q15" s="18">
        <x:v>897</x:v>
      </x:c>
      <x:c r="R15" s="18">
        <x:v>975</x:v>
      </x:c>
      <x:c r="S15" s="18">
        <x:v>1041</x:v>
      </x:c>
      <x:c r="T15" s="18">
        <x:v>1122</x:v>
      </x:c>
    </x:row>
    <x:row r="16" ht="14.25" customHeight="1">
      <x:c r="A16" t="s">
        <x:v>107</x:v>
      </x:c>
      <x:c r="B16" s="17" t="s">
        <x:v>108</x:v>
      </x:c>
      <x:c r="C16" s="17" t="s">
        <x:v>108</x:v>
      </x:c>
      <x:c r="D16" s="17" t="s">
        <x:v>108</x:v>
      </x:c>
      <x:c r="E16" s="17" t="s">
        <x:v>108</x:v>
      </x:c>
      <x:c r="F16" s="17" t="s">
        <x:v>108</x:v>
      </x:c>
      <x:c r="G16" s="17">
        <x:v>1353</x:v>
      </x:c>
      <x:c r="H16" s="17" t="s">
        <x:v>108</x:v>
      </x:c>
      <x:c r="I16" s="17" t="s">
        <x:v>108</x:v>
      </x:c>
      <x:c r="J16" s="17" t="s">
        <x:v>108</x:v>
      </x:c>
      <x:c r="K16" s="17" t="s">
        <x:v>108</x:v>
      </x:c>
      <x:c r="L16" s="17" t="s">
        <x:v>108</x:v>
      </x:c>
      <x:c r="M16" s="17" t="s">
        <x:v>108</x:v>
      </x:c>
      <x:c r="N16" s="17" t="s">
        <x:v>108</x:v>
      </x:c>
      <x:c r="O16" s="18" t="s">
        <x:v>108</x:v>
      </x:c>
      <x:c r="P16" s="18" t="s">
        <x:v>108</x:v>
      </x:c>
      <x:c r="Q16" s="18" t="s">
        <x:v>108</x:v>
      </x:c>
      <x:c r="R16" s="18" t="s">
        <x:v>108</x:v>
      </x:c>
      <x:c r="S16" s="18" t="s">
        <x:v>108</x:v>
      </x:c>
      <x:c r="T16" s="17" t="s">
        <x:v>108</x:v>
      </x:c>
    </x:row>
    <x:row r="17" ht="14.25" customHeight="1">
      <x:c r="A17" s="35" t="s">
        <x:v>109</x:v>
      </x:c>
      <x:c r="B17" s="36">
        <x:v>1650</x:v>
      </x:c>
      <x:c r="C17" s="36">
        <x:v>1673</x:v>
      </x:c>
      <x:c r="D17" s="36">
        <x:v>1771</x:v>
      </x:c>
      <x:c r="E17" s="36">
        <x:v>1960</x:v>
      </x:c>
      <x:c r="F17" s="36">
        <x:v>2030</x:v>
      </x:c>
      <x:c r="G17" s="36">
        <x:v>3563</x:v>
      </x:c>
      <x:c r="H17" s="36">
        <x:v>2416</x:v>
      </x:c>
      <x:c r="I17" s="36">
        <x:v>2576</x:v>
      </x:c>
      <x:c r="J17" s="36">
        <x:v>2577</x:v>
      </x:c>
      <x:c r="K17" s="36">
        <x:v>2508</x:v>
      </x:c>
      <x:c r="L17" s="36">
        <x:v>2662</x:v>
      </x:c>
      <x:c r="M17" s="36">
        <x:v>2983</x:v>
      </x:c>
      <x:c r="N17" s="36">
        <x:v>3176</x:v>
      </x:c>
      <x:c r="O17" s="37">
        <x:v>3497</x:v>
      </x:c>
      <x:c r="P17" s="37">
        <x:v>3932</x:v>
      </x:c>
      <x:c r="Q17" s="37">
        <x:v>4287</x:v>
      </x:c>
      <x:c r="R17" s="37">
        <x:v>4689</x:v>
      </x:c>
      <x:c r="S17" s="37">
        <x:v>5030</x:v>
      </x:c>
      <x:c r="T17" s="37">
        <x:v>5413</x:v>
      </x:c>
    </x:row>
    <x:row r="18" ht="14.25" customHeight="1">
      <x:c r="B18" s="17"/>
      <x:c r="C18" s="17"/>
      <x:c r="D18" s="17"/>
      <x:c r="E18" s="17"/>
      <x:c r="F18" s="17"/>
      <x:c r="G18" s="17"/>
      <x:c r="H18" s="17"/>
      <x:c r="I18" s="17"/>
      <x:c r="J18" s="17"/>
      <x:c r="K18" s="17"/>
      <x:c r="L18" s="17"/>
      <x:c r="M18" s="17"/>
      <x:c r="N18" s="17"/>
      <x:c r="O18" s="18"/>
      <x:c r="P18" s="18"/>
      <x:c r="Q18" s="18"/>
      <x:c r="R18" s="18"/>
      <x:c r="S18" s="18"/>
    </x:row>
    <x:row r="19" ht="14.25" customHeight="1">
      <x:c r="A19" t="s">
        <x:v>110</x:v>
      </x:c>
      <x:c r="B19" s="17">
        <x:v>1507</x:v>
      </x:c>
      <x:c r="C19" s="17">
        <x:v>1956</x:v>
      </x:c>
      <x:c r="D19" s="17">
        <x:v>2444</x:v>
      </x:c>
      <x:c r="E19" s="17">
        <x:v>2671</x:v>
      </x:c>
      <x:c r="F19" s="17">
        <x:v>2970</x:v>
      </x:c>
      <x:c r="G19" s="17">
        <x:v>1868</x:v>
      </x:c>
      <x:c r="H19" s="17">
        <x:v>499</x:v>
      </x:c>
      <x:c r="I19" s="17">
        <x:v>601</x:v>
      </x:c>
      <x:c r="J19" s="17">
        <x:v>1256</x:v>
      </x:c>
      <x:c r="K19" s="17">
        <x:v>2140</x:v>
      </x:c>
      <x:c r="L19" s="17">
        <x:v>6800</x:v>
      </x:c>
      <x:c r="M19" s="17">
        <x:v>10417</x:v>
      </x:c>
      <x:c r="N19" s="17">
        <x:v>13615</x:v>
      </x:c>
      <x:c r="O19" s="18">
        <x:v>16909</x:v>
      </x:c>
      <x:c r="P19" s="18">
        <x:v>18642</x:v>
      </x:c>
      <x:c r="Q19" s="18">
        <x:v>21869</x:v>
      </x:c>
      <x:c r="R19" s="18">
        <x:v>24034</x:v>
      </x:c>
      <x:c r="S19" s="18">
        <x:v>21638</x:v>
      </x:c>
      <x:c r="T19" s="18">
        <x:v>28440</x:v>
      </x:c>
    </x:row>
    <x:row r="20" ht="14.25" customHeight="1">
      <x:c r="A20" t="s">
        <x:v>111</x:v>
      </x:c>
      <x:c r="B20" s="17">
        <x:v>7</x:v>
      </x:c>
      <x:c r="C20" s="17">
        <x:v>6</x:v>
      </x:c>
      <x:c r="D20" s="17">
        <x:v>6</x:v>
      </x:c>
      <x:c r="E20" s="17">
        <x:v>7</x:v>
      </x:c>
      <x:c r="F20" s="17">
        <x:v>10</x:v>
      </x:c>
      <x:c r="G20" s="17">
        <x:v>18</x:v>
      </x:c>
      <x:c r="H20" s="17">
        <x:v>46</x:v>
      </x:c>
      <x:c r="I20" s="17">
        <x:v>88</x:v>
      </x:c>
      <x:c r="J20" s="17">
        <x:v>115</x:v>
      </x:c>
      <x:c r="K20" s="17">
        <x:v>150</x:v>
      </x:c>
      <x:c r="L20" s="17">
        <x:v>187</x:v>
      </x:c>
      <x:c r="M20" s="17">
        <x:v>234</x:v>
      </x:c>
      <x:c r="N20" s="17">
        <x:v>295</x:v>
      </x:c>
      <x:c r="O20" s="18">
        <x:v>359</x:v>
      </x:c>
      <x:c r="P20" s="18">
        <x:v>444</x:v>
      </x:c>
      <x:c r="Q20" s="18">
        <x:v>472</x:v>
      </x:c>
      <x:c r="R20" s="18">
        <x:v>511</x:v>
      </x:c>
      <x:c r="S20" s="18">
        <x:v>515</x:v>
      </x:c>
      <x:c r="T20" s="18">
        <x:v>592</x:v>
      </x:c>
    </x:row>
    <x:row r="21" ht="14.25" customHeight="1">
      <x:c r="A21" t="s">
        <x:v>112</x:v>
      </x:c>
      <x:c r="B21" s="17">
        <x:v>-52</x:v>
      </x:c>
      <x:c r="C21" s="17">
        <x:v>-53</x:v>
      </x:c>
      <x:c r="D21" s="17">
        <x:v>-60</x:v>
      </x:c>
      <x:c r="E21" s="17">
        <x:v>-62</x:v>
      </x:c>
      <x:c r="F21" s="17">
        <x:v>-61</x:v>
      </x:c>
      <x:c r="G21" s="17">
        <x:v>-68</x:v>
      </x:c>
      <x:c r="H21" s="17">
        <x:v>-65</x:v>
      </x:c>
      <x:c r="I21" s="17">
        <x:v>-65</x:v>
      </x:c>
      <x:c r="J21" s="17">
        <x:v>-64</x:v>
      </x:c>
      <x:c r="K21" s="17">
        <x:v>-66</x:v>
      </x:c>
      <x:c r="L21" s="17">
        <x:v>-65</x:v>
      </x:c>
      <x:c r="M21" s="17">
        <x:v>-63</x:v>
      </x:c>
      <x:c r="N21" s="17">
        <x:v>-63</x:v>
      </x:c>
      <x:c r="O21" s="18">
        <x:v>-64</x:v>
      </x:c>
      <x:c r="P21" s="18">
        <x:v>-61</x:v>
      </x:c>
      <x:c r="Q21" s="18">
        <x:v>-61</x:v>
      </x:c>
      <x:c r="R21" s="18">
        <x:v>-61</x:v>
      </x:c>
      <x:c r="S21" s="18">
        <x:v>-63</x:v>
      </x:c>
      <x:c r="T21" s="18">
        <x:v>-62</x:v>
      </x:c>
    </x:row>
    <x:row r="22" s="24" customFormat="1" ht="14.25" customHeight="1">
      <x:c r="A22" s="24" t="s">
        <x:v>113</x:v>
      </x:c>
      <x:c r="B22" s="17">
        <x:v>10</x:v>
      </x:c>
      <x:c r="C22" s="17">
        <x:v>135</x:v>
      </x:c>
      <x:c r="D22" s="17">
        <x:v>4</x:v>
      </x:c>
      <x:c r="E22" s="17">
        <x:v>22</x:v>
      </x:c>
      <x:c r="F22" s="17">
        <x:v>-54</x:v>
      </x:c>
      <x:c r="G22" s="17">
        <x:v>-13</x:v>
      </x:c>
      <x:c r="H22" s="17">
        <x:v>-5</x:v>
      </x:c>
      <x:c r="I22" s="17">
        <x:v>-11</x:v>
      </x:c>
      <x:c r="J22" s="17">
        <x:v>-19</x:v>
      </x:c>
      <x:c r="K22" s="17">
        <x:v>-15</x:v>
      </x:c>
      <x:c r="L22" s="17">
        <x:v>59</x:v>
      </x:c>
      <x:c r="M22" s="17">
        <x:v>-66</x:v>
      </x:c>
      <x:c r="N22" s="17">
        <x:v>259</x:v>
      </x:c>
      <x:c r="O22" s="18">
        <x:v>75</x:v>
      </x:c>
      <x:c r="P22" s="18">
        <x:v>189</x:v>
      </x:c>
      <x:c r="Q22" s="18">
        <x:v>36</x:v>
      </x:c>
      <x:c r="R22" s="18">
        <x:v>733</x:v>
      </x:c>
      <x:c r="S22" s="18">
        <x:v>-180</x:v>
      </x:c>
      <x:c r="T22" s="18">
        <x:v>2236</x:v>
      </x:c>
    </x:row>
    <x:row r="23" ht="14.25" customHeight="1">
      <x:c r="A23" s="35" t="s">
        <x:v>114</x:v>
      </x:c>
      <x:c r="B23" s="36">
        <x:v>-36</x:v>
      </x:c>
      <x:c r="C23" s="36">
        <x:v>88</x:v>
      </x:c>
      <x:c r="D23" s="36">
        <x:v>-50</x:v>
      </x:c>
      <x:c r="E23" s="36">
        <x:v>-33</x:v>
      </x:c>
      <x:c r="F23" s="36">
        <x:v>-105</x:v>
      </x:c>
      <x:c r="G23" s="36">
        <x:v>-63</x:v>
      </x:c>
      <x:c r="H23" s="36">
        <x:v>-24</x:v>
      </x:c>
      <x:c r="I23" s="36">
        <x:v>12</x:v>
      </x:c>
      <x:c r="J23" s="36">
        <x:v>32</x:v>
      </x:c>
      <x:c r="K23" s="36">
        <x:v>69</x:v>
      </x:c>
      <x:c r="L23" s="36">
        <x:v>181</x:v>
      </x:c>
      <x:c r="M23" s="36">
        <x:v>105</x:v>
      </x:c>
      <x:c r="N23" s="36">
        <x:v>491</x:v>
      </x:c>
      <x:c r="O23" s="37">
        <x:v>370</x:v>
      </x:c>
      <x:c r="P23" s="37">
        <x:v>572</x:v>
      </x:c>
      <x:c r="Q23" s="37">
        <x:v>447</x:v>
      </x:c>
      <x:c r="R23" s="37">
        <x:v>1183</x:v>
      </x:c>
      <x:c r="S23" s="37">
        <x:v>272</x:v>
      </x:c>
      <x:c r="T23" s="37">
        <x:v>2766</x:v>
      </x:c>
    </x:row>
    <x:row r="24" ht="14.25" customHeight="1">
      <x:c r="B24" s="17"/>
      <x:c r="C24" s="17"/>
      <x:c r="D24" s="17"/>
      <x:c r="E24" s="17"/>
      <x:c r="F24" s="17"/>
      <x:c r="G24" s="17"/>
      <x:c r="H24" s="17"/>
      <x:c r="I24" s="17"/>
      <x:c r="J24" s="17"/>
      <x:c r="K24" s="17"/>
      <x:c r="L24" s="17"/>
      <x:c r="M24" s="17"/>
      <x:c r="N24" s="17"/>
      <x:c r="O24" s="18"/>
      <x:c r="P24" s="18"/>
      <x:c r="Q24" s="18"/>
      <x:c r="R24" s="18"/>
      <x:c r="S24" s="18"/>
    </x:row>
    <x:row r="25" ht="14.25" customHeight="1">
      <x:c r="A25" t="s">
        <x:v>115</x:v>
      </x:c>
      <x:c r="B25" s="17">
        <x:v>1471</x:v>
      </x:c>
      <x:c r="C25" s="17">
        <x:v>2044</x:v>
      </x:c>
      <x:c r="D25" s="17">
        <x:v>2394</x:v>
      </x:c>
      <x:c r="E25" s="17">
        <x:v>2638</x:v>
      </x:c>
      <x:c r="F25" s="17">
        <x:v>2865</x:v>
      </x:c>
      <x:c r="G25" s="17">
        <x:v>1805</x:v>
      </x:c>
      <x:c r="H25" s="17">
        <x:v>475</x:v>
      </x:c>
      <x:c r="I25" s="17">
        <x:v>613</x:v>
      </x:c>
      <x:c r="J25" s="17">
        <x:v>1288</x:v>
      </x:c>
      <x:c r="K25" s="17">
        <x:v>2209</x:v>
      </x:c>
      <x:c r="L25" s="17">
        <x:v>6981</x:v>
      </x:c>
      <x:c r="M25" s="17">
        <x:v>10522</x:v>
      </x:c>
      <x:c r="N25" s="17">
        <x:v>14106</x:v>
      </x:c>
      <x:c r="O25" s="18">
        <x:v>17279</x:v>
      </x:c>
      <x:c r="P25" s="18">
        <x:v>19214</x:v>
      </x:c>
      <x:c r="Q25" s="18">
        <x:v>22316</x:v>
      </x:c>
      <x:c r="R25" s="18">
        <x:v>25217</x:v>
      </x:c>
      <x:c r="S25" s="18">
        <x:v>21910</x:v>
      </x:c>
      <x:c r="T25" s="18">
        <x:v>31206</x:v>
      </x:c>
    </x:row>
    <x:row r="26" ht="14.25" customHeight="1">
      <x:c r="A26" t="s">
        <x:v>116</x:v>
      </x:c>
      <x:c r="B26" s="17">
        <x:v>14</x:v>
      </x:c>
      <x:c r="C26" s="17">
        <x:v>132</x:v>
      </x:c>
      <x:c r="D26" s="17">
        <x:v>20</x:v>
      </x:c>
      <x:c r="E26" s="17">
        <x:v>174</x:v>
      </x:c>
      <x:c r="F26" s="17">
        <x:v>-137</x:v>
      </x:c>
      <x:c r="G26" s="17">
        <x:v>187</x:v>
      </x:c>
      <x:c r="H26" s="17">
        <x:v>-181</x:v>
      </x:c>
      <x:c r="I26" s="17">
        <x:v>-67</x:v>
      </x:c>
      <x:c r="J26" s="17">
        <x:v>-126</x:v>
      </x:c>
      <x:c r="K26" s="17">
        <x:v>166</x:v>
      </x:c>
      <x:c r="L26" s="17">
        <x:v>793</x:v>
      </x:c>
      <x:c r="M26" s="17">
        <x:v>1279</x:v>
      </x:c>
      <x:c r="N26" s="17">
        <x:v>1820</x:v>
      </x:c>
      <x:c r="O26" s="18">
        <x:v>2398</x:v>
      </x:c>
      <x:c r="P26" s="18">
        <x:v>2615</x:v>
      </x:c>
      <x:c r="Q26" s="18">
        <x:v>3007</x:v>
      </x:c>
      <x:c r="R26" s="18">
        <x:v>3126</x:v>
      </x:c>
      <x:c r="S26" s="18">
        <x:v>3135</x:v>
      </x:c>
      <x:c r="T26" s="18">
        <x:v>4784</x:v>
      </x:c>
    </x:row>
    <x:row r="27" ht="14.25" customHeight="1">
      <x:c r="A27" s="35" t="s">
        <x:v>117</x:v>
      </x:c>
      <x:c r="B27" s="36">
        <x:v>1457</x:v>
      </x:c>
      <x:c r="C27" s="36">
        <x:v>1912</x:v>
      </x:c>
      <x:c r="D27" s="36">
        <x:v>2374</x:v>
      </x:c>
      <x:c r="E27" s="36">
        <x:v>2464</x:v>
      </x:c>
      <x:c r="F27" s="36">
        <x:v>3002</x:v>
      </x:c>
      <x:c r="G27" s="36">
        <x:v>1618</x:v>
      </x:c>
      <x:c r="H27" s="36">
        <x:v>656</x:v>
      </x:c>
      <x:c r="I27" s="36">
        <x:v>680</x:v>
      </x:c>
      <x:c r="J27" s="36">
        <x:v>1414</x:v>
      </x:c>
      <x:c r="K27" s="36">
        <x:v>2043</x:v>
      </x:c>
      <x:c r="L27" s="36">
        <x:v>6188</x:v>
      </x:c>
      <x:c r="M27" s="36">
        <x:v>9243</x:v>
      </x:c>
      <x:c r="N27" s="36">
        <x:v>12286</x:v>
      </x:c>
      <x:c r="O27" s="37">
        <x:v>14881</x:v>
      </x:c>
      <x:c r="P27" s="37">
        <x:v>16599</x:v>
      </x:c>
      <x:c r="Q27" s="37">
        <x:v>19309</x:v>
      </x:c>
      <x:c r="R27" s="37">
        <x:v>22091</x:v>
      </x:c>
      <x:c r="S27" s="37">
        <x:v>18775</x:v>
      </x:c>
      <x:c r="T27" s="37">
        <x:v>26422</x:v>
      </x:c>
    </x:row>
    <x:row r="28" ht="14.25" customHeight="1">
      <x:c r="B28" s="17"/>
      <x:c r="C28" s="17"/>
      <x:c r="D28" s="17"/>
      <x:c r="E28" s="17"/>
      <x:c r="F28" s="17"/>
      <x:c r="G28" s="17"/>
      <x:c r="H28" s="17"/>
      <x:c r="I28" s="17"/>
      <x:c r="J28" s="17"/>
      <x:c r="K28" s="17"/>
      <x:c r="L28" s="17"/>
      <x:c r="M28" s="17"/>
      <x:c r="N28" s="17"/>
      <x:c r="O28" s="18"/>
      <x:c r="P28" s="18"/>
      <x:c r="Q28" s="18"/>
      <x:c r="R28" s="18"/>
      <x:c r="S28" s="18"/>
      <x:c r="T28" s="38"/>
    </x:row>
    <x:row r="29" ht="14.25" customHeight="1">
      <x:c r="A29" t="s">
        <x:v>118</x:v>
      </x:c>
      <x:c r="B29" s="17"/>
      <x:c r="C29" s="17"/>
      <x:c r="D29" s="17"/>
      <x:c r="E29" s="17"/>
      <x:c r="F29" s="17"/>
      <x:c r="G29" s="17"/>
      <x:c r="H29" s="17"/>
      <x:c r="I29" s="17"/>
      <x:c r="J29" s="17"/>
      <x:c r="K29" s="17"/>
      <x:c r="L29" s="17"/>
      <x:c r="M29" s="17"/>
      <x:c r="N29" s="17"/>
      <x:c r="O29" s="18"/>
      <x:c r="P29" s="18"/>
      <x:c r="Q29" s="18"/>
      <x:c r="R29" s="18"/>
      <x:c r="S29" s="18"/>
      <x:c r="T29" s="38"/>
    </x:row>
    <x:row r="30" ht="14.25" customHeight="1">
      <x:c r="A30" t="s">
        <x:v>119</x:v>
      </x:c>
      <x:c r="B30" s="145">
        <x:v>5.8999999999999997E-2</x:v>
      </x:c>
      <x:c r="C30" s="145">
        <x:v>7.6999999999999999E-2</x:v>
      </x:c>
      <x:c r="D30" s="145">
        <x:v>9.5000000000000001E-2</x:v>
      </x:c>
      <x:c r="E30" s="145">
        <x:v>9.9000000000000005E-2</x:v>
      </x:c>
      <x:c r="F30" s="145">
        <x:v>0.12</x:v>
      </x:c>
      <x:c r="G30" s="145">
        <x:v>6.5000000000000002E-2</x:v>
      </x:c>
      <x:c r="H30" s="145">
        <x:v>2.6000000000000002E-2</x:v>
      </x:c>
      <x:c r="I30" s="145">
        <x:v>2.7000000000000003E-2</x:v>
      </x:c>
      <x:c r="J30" s="145">
        <x:v>5.7999999999999996E-2</x:v>
      </x:c>
      <x:c r="K30" s="145">
        <x:v>8.299999999999999E-2</x:v>
      </x:c>
      <x:c r="L30" s="145">
        <x:v>2.5000000000000001E-2</x:v>
      </x:c>
      <x:c r="M30" s="145">
        <x:v>3.6999999999999998E-2</x:v>
      </x:c>
      <x:c r="N30" s="145">
        <x:v>0.497</x:v>
      </x:c>
      <x:c r="O30" s="134">
        <x:v>0.6</x:v>
      </x:c>
      <x:c r="P30" s="134">
        <x:v>0.68</x:v>
      </x:c>
      <x:c r="Q30" s="134">
        <x:v>0.79</x:v>
      </x:c>
      <x:c r="R30" s="134">
        <x:v>0.9</x:v>
      </x:c>
      <x:c r="S30" s="134">
        <x:v>0.77</x:v>
      </x:c>
      <x:c r="T30" s="134">
        <x:v>1.08</x:v>
      </x:c>
    </x:row>
    <x:row r="31" ht="14.25" customHeight="1">
      <x:c r="A31" t="s">
        <x:v>120</x:v>
      </x:c>
      <x:c r="B31" s="145">
        <x:v>5.8000000000000003E-2</x:v>
      </x:c>
      <x:c r="C31" s="145">
        <x:v>7.5999999999999998E-2</x:v>
      </x:c>
      <x:c r="D31" s="145">
        <x:v>9.4E-2</x:v>
      </x:c>
      <x:c r="E31" s="145">
        <x:v>9.7000000000000003E-2</x:v>
      </x:c>
      <x:c r="F31" s="145">
        <x:v>0.11799999999999999</x:v>
      </x:c>
      <x:c r="G31" s="145">
        <x:v>6.4000000000000001E-2</x:v>
      </x:c>
      <x:c r="H31" s="145">
        <x:v>2.6000000000000002E-2</x:v>
      </x:c>
      <x:c r="I31" s="145">
        <x:v>2.7000000000000003E-2</x:v>
      </x:c>
      <x:c r="J31" s="145">
        <x:v>5.6999999999999995E-2</x:v>
      </x:c>
      <x:c r="K31" s="145">
        <x:v>8.199999999999999E-2</x:v>
      </x:c>
      <x:c r="L31" s="145">
        <x:v>2.5000000000000001E-2</x:v>
      </x:c>
      <x:c r="M31" s="145">
        <x:v>3.6999999999999998E-2</x:v>
      </x:c>
      <x:c r="N31" s="145">
        <x:v>0.49199999999999999</x:v>
      </x:c>
      <x:c r="O31" s="134">
        <x:v>0.6</x:v>
      </x:c>
      <x:c r="P31" s="134">
        <x:v>0.67</x:v>
      </x:c>
      <x:c r="Q31" s="134">
        <x:v>0.78</x:v>
      </x:c>
      <x:c r="R31" s="134">
        <x:v>0.89</x:v>
      </x:c>
      <x:c r="S31" s="134">
        <x:v>0.76</x:v>
      </x:c>
      <x:c r="T31" s="134">
        <x:v>1.08</x:v>
      </x:c>
    </x:row>
    <x:row r="32" ht="14.25" customHeight="1">
      <x:c r="B32" s="17"/>
      <x:c r="C32" s="17"/>
      <x:c r="D32" s="17"/>
      <x:c r="E32" s="17"/>
      <x:c r="F32" s="17"/>
      <x:c r="G32" s="17"/>
      <x:c r="H32" s="17"/>
      <x:c r="I32" s="17"/>
      <x:c r="J32" s="17"/>
      <x:c r="K32" s="17"/>
      <x:c r="L32" s="17"/>
      <x:c r="M32" s="17"/>
      <x:c r="N32" s="17"/>
      <x:c r="O32" s="18"/>
      <x:c r="P32" s="18"/>
      <x:c r="Q32" s="18"/>
      <x:c r="R32" s="18"/>
      <x:c r="S32" s="18"/>
      <x:c r="T32" s="38"/>
    </x:row>
    <x:row r="33" ht="14.25" customHeight="1">
      <x:c r="A33" t="s">
        <x:v>121</x:v>
      </x:c>
      <x:c r="B33" s="17"/>
      <x:c r="C33" s="17"/>
      <x:c r="D33" s="17"/>
      <x:c r="E33" s="17"/>
      <x:c r="F33" s="17"/>
      <x:c r="G33" s="17"/>
      <x:c r="H33" s="17"/>
      <x:c r="I33" s="17"/>
      <x:c r="J33" s="17"/>
      <x:c r="K33" s="17"/>
      <x:c r="L33" s="17"/>
      <x:c r="M33" s="17"/>
      <x:c r="N33" s="17"/>
      <x:c r="O33" s="18"/>
      <x:c r="P33" s="18"/>
      <x:c r="Q33" s="18"/>
      <x:c r="R33" s="18"/>
      <x:c r="S33" s="18"/>
      <x:c r="T33" s="38"/>
    </x:row>
    <x:row r="34" ht="14.25" customHeight="1">
      <x:c r="A34" t="s">
        <x:v>119</x:v>
      </x:c>
      <x:c r="B34" s="17">
        <x:v>24680</x:v>
      </x:c>
      <x:c r="C34" s="17">
        <x:v>24840</x:v>
      </x:c>
      <x:c r="D34" s="17">
        <x:v>24930</x:v>
      </x:c>
      <x:c r="E34" s="17">
        <x:v>24990</x:v>
      </x:c>
      <x:c r="F34" s="17">
        <x:v>24960</x:v>
      </x:c>
      <x:c r="G34" s="17">
        <x:v>25060</x:v>
      </x:c>
      <x:c r="H34" s="17">
        <x:v>24950</x:v>
      </x:c>
      <x:c r="I34" s="17">
        <x:v>24830</x:v>
      </x:c>
      <x:c r="J34" s="17">
        <x:v>24870</x:v>
      </x:c>
      <x:c r="K34" s="17">
        <x:v>24700</x:v>
      </x:c>
      <x:c r="L34" s="17">
        <x:v>24730</x:v>
      </x:c>
      <x:c r="M34" s="17">
        <x:v>24680</x:v>
      </x:c>
      <x:c r="N34" s="17">
        <x:v>24690</x:v>
      </x:c>
      <x:c r="O34" s="18">
        <x:v>24620</x:v>
      </x:c>
      <x:c r="P34" s="18">
        <x:v>24578</x:v>
      </x:c>
      <x:c r="Q34" s="18">
        <x:v>24533</x:v>
      </x:c>
      <x:c r="R34" s="18">
        <x:v>24489</x:v>
      </x:c>
      <x:c r="S34" s="18">
        <x:v>24441</x:v>
      </x:c>
      <x:c r="T34" s="18">
        <x:v>24366</x:v>
      </x:c>
    </x:row>
    <x:row r="35" ht="14.25" customHeight="1">
      <x:c r="A35" t="s">
        <x:v>120</x:v>
      </x:c>
      <x:c r="B35" s="17">
        <x:v>25120</x:v>
      </x:c>
      <x:c r="C35" s="17">
        <x:v>25280</x:v>
      </x:c>
      <x:c r="D35" s="17">
        <x:v>25320</x:v>
      </x:c>
      <x:c r="E35" s="17">
        <x:v>25380</x:v>
      </x:c>
      <x:c r="F35" s="17">
        <x:v>25350</x:v>
      </x:c>
      <x:c r="G35" s="17">
        <x:v>25370</x:v>
      </x:c>
      <x:c r="H35" s="17">
        <x:v>25160</x:v>
      </x:c>
      <x:c r="I35" s="17">
        <x:v>24990</x:v>
      </x:c>
      <x:c r="J35" s="17">
        <x:v>25070</x:v>
      </x:c>
      <x:c r="K35" s="17">
        <x:v>24900</x:v>
      </x:c>
      <x:c r="L35" s="17">
        <x:v>24990</x:v>
      </x:c>
      <x:c r="M35" s="17">
        <x:v>24940</x:v>
      </x:c>
      <x:c r="N35" s="17">
        <x:v>24940</x:v>
      </x:c>
      <x:c r="O35" s="18">
        <x:v>24890</x:v>
      </x:c>
      <x:c r="P35" s="18">
        <x:v>24848</x:v>
      </x:c>
      <x:c r="Q35" s="18">
        <x:v>24774</x:v>
      </x:c>
      <x:c r="R35" s="18">
        <x:v>24704</x:v>
      </x:c>
      <x:c r="S35" s="18">
        <x:v>24611</x:v>
      </x:c>
      <x:c r="T35" s="18">
        <x:v>24532</x:v>
      </x:c>
    </x:row>
  </x:sheetData>
  <x:pageMargins left="0.7" right="0.7" top="0.75" bottom="0.75" header="0.3" footer="0.3"/>
  <x:tableParts count="1">
    <x:tablePart xmlns:r="http://schemas.openxmlformats.org/officeDocument/2006/relationships" r:id="Reaa9280d0aa042c3"/>
  </x:tableParts>
</x:worksheet>
</file>

<file path=xl/worksheets/sheet4.xml><?xml version="1.0" encoding="utf-8"?>
<x:worksheet xmlns:x="http://schemas.openxmlformats.org/spreadsheetml/2006/main">
  <x:sheetViews>
    <x:sheetView showGridLines="0" workbookViewId="0"/>
  </x:sheetViews>
  <x:sheetFormatPr defaultColWidth="8.6640625" defaultRowHeight="14.25"/>
  <x:cols>
    <x:col min="1" max="1" width="49.265625" customWidth="1"/>
    <x:col min="2" max="20" width="10.59765625" customWidth="1"/>
  </x:cols>
  <x:sheetData>
    <x:row r="1" ht="3.75" customHeight="1"/>
    <x:row r="2" ht="22.5" customHeight="1">
      <x:c r="A2" s="15" t="s">
        <x:v>30</x:v>
      </x:c>
      <x:c r="L2" s="17"/>
      <x:c r="M2" s="17"/>
      <x:c r="N2" s="17"/>
      <x:c r="O2" s="18"/>
      <x:c r="P2" s="18"/>
      <x:c r="Q2" s="18"/>
      <x:c r="R2" s="18"/>
      <x:c r="S2" s="18"/>
    </x:row>
    <x:row r="3" ht="14.25" customHeight="1">
      <x:c r="A3" s="29" t="s">
        <x:v>95</x:v>
      </x:c>
      <x:c r="L3" s="17"/>
      <x:c r="M3" s="17"/>
      <x:c r="N3" s="17"/>
      <x:c r="O3" s="18"/>
      <x:c r="P3" s="18"/>
      <x:c r="Q3" s="18"/>
      <x:c r="R3" s="18"/>
      <x:c r="S3" s="18"/>
    </x:row>
    <x:row r="5" ht="14.25" customHeight="1">
      <x:c r="A5" s="30"/>
      <x:c r="B5" s="31"/>
      <x:c r="C5" s="31"/>
      <x:c r="D5" s="31"/>
      <x:c r="E5" s="31"/>
      <x:c r="F5" s="31"/>
      <x:c r="H5" s="31"/>
      <x:c r="I5" s="31"/>
      <x:c r="J5" s="31"/>
    </x:row>
    <x:row r="6" ht="14.25" customHeight="1">
      <x:c r="A6" t="s">
        <x:v>96</x:v>
      </x:c>
      <x:c r="B6" s="2" t="s">
        <x:v>70</x:v>
      </x:c>
      <x:c r="C6" s="2" t="s">
        <x:v>71</x:v>
      </x:c>
      <x:c r="D6" s="2" t="s">
        <x:v>72</x:v>
      </x:c>
      <x:c r="E6" s="2" t="s">
        <x:v>73</x:v>
      </x:c>
      <x:c r="F6" s="2" t="s">
        <x:v>74</x:v>
      </x:c>
      <x:c r="G6" s="32" t="s">
        <x:v>75</x:v>
      </x:c>
      <x:c r="H6" s="2" t="s">
        <x:v>76</x:v>
      </x:c>
      <x:c r="I6" s="2" t="s">
        <x:v>77</x:v>
      </x:c>
      <x:c r="J6" s="2" t="s">
        <x:v>78</x:v>
      </x:c>
      <x:c r="K6" s="32" t="s">
        <x:v>79</x:v>
      </x:c>
      <x:c r="L6" s="32" t="s">
        <x:v>80</x:v>
      </x:c>
      <x:c r="M6" s="32" t="s">
        <x:v>81</x:v>
      </x:c>
      <x:c r="N6" s="32" t="s">
        <x:v>82</x:v>
      </x:c>
      <x:c r="O6" s="32" t="s">
        <x:v>89</x:v>
      </x:c>
      <x:c r="P6" s="32" t="s">
        <x:v>90</x:v>
      </x:c>
      <x:c r="Q6" s="32" t="s">
        <x:v>91</x:v>
      </x:c>
      <x:c r="R6" s="32" t="s">
        <x:v>97</x:v>
      </x:c>
      <x:c r="S6" s="32" t="s">
        <x:v>98</x:v>
      </x:c>
      <x:c r="T6" s="32" t="s">
        <x:v>99</x:v>
      </x:c>
    </x:row>
    <x:row r="7" ht="14.25" customHeight="1">
      <x:c r="A7" s="33" t="s">
        <x:v>100</x:v>
      </x:c>
      <x:c r="B7" s="34">
        <x:v>44227</x:v>
      </x:c>
      <x:c r="C7" s="34">
        <x:v>44318</x:v>
      </x:c>
      <x:c r="D7" s="34">
        <x:v>44409</x:v>
      </x:c>
      <x:c r="E7" s="34">
        <x:v>44500</x:v>
      </x:c>
      <x:c r="F7" s="34">
        <x:v>44591</x:v>
      </x:c>
      <x:c r="G7" s="34">
        <x:v>44682</x:v>
      </x:c>
      <x:c r="H7" s="34">
        <x:v>44773</x:v>
      </x:c>
      <x:c r="I7" s="34">
        <x:v>44864</x:v>
      </x:c>
      <x:c r="J7" s="34">
        <x:v>44955</x:v>
      </x:c>
      <x:c r="K7" s="34">
        <x:v>45046</x:v>
      </x:c>
      <x:c r="L7" s="34">
        <x:v>45137</x:v>
      </x:c>
      <x:c r="M7" s="34">
        <x:v>45228</x:v>
      </x:c>
      <x:c r="N7" s="34">
        <x:v>45319</x:v>
      </x:c>
      <x:c r="O7" s="34">
        <x:v>45410</x:v>
      </x:c>
      <x:c r="P7" s="34">
        <x:v>45501</x:v>
      </x:c>
      <x:c r="Q7" s="34">
        <x:v>45592</x:v>
      </x:c>
      <x:c r="R7" s="34">
        <x:v>45683</x:v>
      </x:c>
      <x:c r="S7" s="34">
        <x:v>45774</x:v>
      </x:c>
      <x:c r="T7" s="34">
        <x:v>45865</x:v>
      </x:c>
    </x:row>
    <x:row r="9" ht="14.25" customHeight="1">
      <x:c r="A9" t="s">
        <x:v>122</x:v>
      </x:c>
      <x:c r="Q9" s="20"/>
      <x:c r="R9" s="20"/>
      <x:c r="S9" s="20"/>
      <x:c r="T9" s="20"/>
    </x:row>
    <x:row r="10" ht="14.25" customHeight="1">
      <x:c r="A10" t="s">
        <x:v>123</x:v>
      </x:c>
    </x:row>
    <x:row r="11" ht="14.25" customHeight="1">
      <x:c r="A11" t="s">
        <x:v>124</x:v>
      </x:c>
      <x:c r="B11" s="39">
        <x:v>847</x:v>
      </x:c>
      <x:c r="C11" s="39">
        <x:v>978</x:v>
      </x:c>
      <x:c r="D11" s="39">
        <x:v>5628</x:v>
      </x:c>
      <x:c r="E11" s="39">
        <x:v>1288</x:v>
      </x:c>
      <x:c r="F11" s="39">
        <x:v>1990</x:v>
      </x:c>
      <x:c r="G11" s="39">
        <x:v>3887</x:v>
      </x:c>
      <x:c r="H11" s="39">
        <x:v>3013</x:v>
      </x:c>
      <x:c r="I11" s="39">
        <x:v>2800</x:v>
      </x:c>
      <x:c r="J11" s="40">
        <x:v>3389</x:v>
      </x:c>
      <x:c r="K11" s="40">
        <x:v>5079</x:v>
      </x:c>
      <x:c r="L11" s="40">
        <x:v>5783</x:v>
      </x:c>
      <x:c r="M11" s="39">
        <x:v>5519</x:v>
      </x:c>
      <x:c r="N11" s="39">
        <x:v>7280</x:v>
      </x:c>
      <x:c r="O11" s="41">
        <x:v>7587</x:v>
      </x:c>
      <x:c r="P11" s="41">
        <x:v>8571</x:v>
      </x:c>
      <x:c r="Q11" s="41">
        <x:v>9107</x:v>
      </x:c>
      <x:c r="R11" s="41">
        <x:v>8589</x:v>
      </x:c>
      <x:c r="S11" s="41">
        <x:v>15234</x:v>
      </x:c>
      <x:c r="T11" s="41">
        <x:v>11639</x:v>
      </x:c>
    </x:row>
    <x:row r="12" ht="14.25" customHeight="1">
      <x:c r="A12" t="s">
        <x:v>125</x:v>
      </x:c>
      <x:c r="B12" s="39">
        <x:v>10714</x:v>
      </x:c>
      <x:c r="C12" s="39">
        <x:v>11689</x:v>
      </x:c>
      <x:c r="D12" s="39">
        <x:v>14026</x:v>
      </x:c>
      <x:c r="E12" s="39">
        <x:v>18010</x:v>
      </x:c>
      <x:c r="F12" s="39">
        <x:v>19218</x:v>
      </x:c>
      <x:c r="G12" s="39">
        <x:v>16451</x:v>
      </x:c>
      <x:c r="H12" s="39">
        <x:v>14024</x:v>
      </x:c>
      <x:c r="I12" s="39">
        <x:v>10343</x:v>
      </x:c>
      <x:c r="J12" s="40">
        <x:v>9907</x:v>
      </x:c>
      <x:c r="K12" s="40">
        <x:v>10241</x:v>
      </x:c>
      <x:c r="L12" s="40">
        <x:v>10240</x:v>
      </x:c>
      <x:c r="M12" s="39">
        <x:v>12762</x:v>
      </x:c>
      <x:c r="N12" s="39">
        <x:v>18704</x:v>
      </x:c>
      <x:c r="O12" s="40">
        <x:v>23851</x:v>
      </x:c>
      <x:c r="P12" s="40">
        <x:v>26229</x:v>
      </x:c>
      <x:c r="Q12" s="20">
        <x:v>29380</x:v>
      </x:c>
      <x:c r="R12" s="20">
        <x:v>34621</x:v>
      </x:c>
      <x:c r="S12" s="20">
        <x:v>38457</x:v>
      </x:c>
      <x:c r="T12" s="20">
        <x:v>45152</x:v>
      </x:c>
    </x:row>
    <x:row r="13" ht="14.25" customHeight="1">
      <x:c r="A13" t="s">
        <x:v>126</x:v>
      </x:c>
      <x:c r="B13" s="39">
        <x:v>2429</x:v>
      </x:c>
      <x:c r="C13" s="39">
        <x:v>3024</x:v>
      </x:c>
      <x:c r="D13" s="39">
        <x:v>3586</x:v>
      </x:c>
      <x:c r="E13" s="39">
        <x:v>3954</x:v>
      </x:c>
      <x:c r="F13" s="39">
        <x:v>4650</x:v>
      </x:c>
      <x:c r="G13" s="39">
        <x:v>5438</x:v>
      </x:c>
      <x:c r="H13" s="39">
        <x:v>5317</x:v>
      </x:c>
      <x:c r="I13" s="39">
        <x:v>4908</x:v>
      </x:c>
      <x:c r="J13" s="40">
        <x:v>3827</x:v>
      </x:c>
      <x:c r="K13" s="40">
        <x:v>4080</x:v>
      </x:c>
      <x:c r="L13" s="40">
        <x:v>7066</x:v>
      </x:c>
      <x:c r="M13" s="39">
        <x:v>8309</x:v>
      </x:c>
      <x:c r="N13" s="39">
        <x:v>9999</x:v>
      </x:c>
      <x:c r="O13" s="40">
        <x:v>12365</x:v>
      </x:c>
      <x:c r="P13" s="40">
        <x:v>14132</x:v>
      </x:c>
      <x:c r="Q13" s="40">
        <x:v>17693</x:v>
      </x:c>
      <x:c r="R13" s="40">
        <x:v>23065</x:v>
      </x:c>
      <x:c r="S13" s="40">
        <x:v>22132</x:v>
      </x:c>
      <x:c r="T13" s="40">
        <x:v>27808</x:v>
      </x:c>
    </x:row>
    <x:row r="14" ht="14.25" customHeight="1">
      <x:c r="A14" t="s">
        <x:v>127</x:v>
      </x:c>
      <x:c r="B14" s="39">
        <x:v>1826</x:v>
      </x:c>
      <x:c r="C14" s="39">
        <x:v>1992</x:v>
      </x:c>
      <x:c r="D14" s="39">
        <x:v>2114</x:v>
      </x:c>
      <x:c r="E14" s="39">
        <x:v>2233</x:v>
      </x:c>
      <x:c r="F14" s="39">
        <x:v>2605</x:v>
      </x:c>
      <x:c r="G14" s="39">
        <x:v>3163</x:v>
      </x:c>
      <x:c r="H14" s="39">
        <x:v>3889</x:v>
      </x:c>
      <x:c r="I14" s="39">
        <x:v>4454</x:v>
      </x:c>
      <x:c r="J14" s="40">
        <x:v>5159</x:v>
      </x:c>
      <x:c r="K14" s="40">
        <x:v>4611</x:v>
      </x:c>
      <x:c r="L14" s="40">
        <x:v>4319</x:v>
      </x:c>
      <x:c r="M14" s="39">
        <x:v>4779</x:v>
      </x:c>
      <x:c r="N14" s="39">
        <x:v>5282</x:v>
      </x:c>
      <x:c r="O14" s="40">
        <x:v>5864</x:v>
      </x:c>
      <x:c r="P14" s="40">
        <x:v>6675</x:v>
      </x:c>
      <x:c r="Q14" s="40">
        <x:v>7654</x:v>
      </x:c>
      <x:c r="R14" s="40">
        <x:v>10080</x:v>
      </x:c>
      <x:c r="S14" s="40">
        <x:v>11333</x:v>
      </x:c>
      <x:c r="T14" s="40">
        <x:v>14962</x:v>
      </x:c>
    </x:row>
    <x:row r="15" ht="14.25" customHeight="1">
      <x:c r="A15" t="s">
        <x:v>128</x:v>
      </x:c>
      <x:c r="B15" s="39">
        <x:v>239</x:v>
      </x:c>
      <x:c r="C15" s="39">
        <x:v>444</x:v>
      </x:c>
      <x:c r="D15" s="39">
        <x:v>452</x:v>
      </x:c>
      <x:c r="E15" s="39">
        <x:v>321</x:v>
      </x:c>
      <x:c r="F15" s="39">
        <x:v>366</x:v>
      </x:c>
      <x:c r="G15" s="39">
        <x:v>636</x:v>
      </x:c>
      <x:c r="H15" s="39">
        <x:v>1175</x:v>
      </x:c>
      <x:c r="I15" s="39">
        <x:v>718</x:v>
      </x:c>
      <x:c r="J15" s="40">
        <x:v>791</x:v>
      </x:c>
      <x:c r="K15" s="40">
        <x:v>872</x:v>
      </x:c>
      <x:c r="L15" s="40">
        <x:v>1389</x:v>
      </x:c>
      <x:c r="M15" s="39">
        <x:v>1289</x:v>
      </x:c>
      <x:c r="N15" s="39">
        <x:v>3080</x:v>
      </x:c>
      <x:c r="O15" s="20">
        <x:v>4062</x:v>
      </x:c>
      <x:c r="P15" s="20">
        <x:v>4026</x:v>
      </x:c>
      <x:c r="Q15" s="20">
        <x:v>3806</x:v>
      </x:c>
      <x:c r="R15" s="20">
        <x:v>3771</x:v>
      </x:c>
      <x:c r="S15" s="20">
        <x:v>2779</x:v>
      </x:c>
      <x:c r="T15" s="20">
        <x:v>2658</x:v>
      </x:c>
    </x:row>
    <x:row r="16" ht="14.25" customHeight="1">
      <x:c r="A16" s="35" t="s">
        <x:v>129</x:v>
      </x:c>
      <x:c r="B16" s="42">
        <x:v>16055</x:v>
      </x:c>
      <x:c r="C16" s="42">
        <x:v>18127</x:v>
      </x:c>
      <x:c r="D16" s="42">
        <x:v>25806</x:v>
      </x:c>
      <x:c r="E16" s="42">
        <x:v>25806</x:v>
      </x:c>
      <x:c r="F16" s="42">
        <x:v>28829</x:v>
      </x:c>
      <x:c r="G16" s="42">
        <x:v>29575</x:v>
      </x:c>
      <x:c r="H16" s="42">
        <x:v>27418</x:v>
      </x:c>
      <x:c r="I16" s="42">
        <x:v>23223</x:v>
      </x:c>
      <x:c r="J16" s="43">
        <x:v>23073</x:v>
      </x:c>
      <x:c r="K16" s="43">
        <x:v>24883</x:v>
      </x:c>
      <x:c r="L16" s="43">
        <x:v>28797</x:v>
      </x:c>
      <x:c r="M16" s="42">
        <x:v>32658</x:v>
      </x:c>
      <x:c r="N16" s="42">
        <x:v>44345</x:v>
      </x:c>
      <x:c r="O16" s="44">
        <x:v>53729</x:v>
      </x:c>
      <x:c r="P16" s="44">
        <x:v>59633</x:v>
      </x:c>
      <x:c r="Q16" s="44">
        <x:v>67640</x:v>
      </x:c>
      <x:c r="R16" s="44">
        <x:v>80126</x:v>
      </x:c>
      <x:c r="S16" s="44">
        <x:v>89935</x:v>
      </x:c>
      <x:c r="T16" s="44">
        <x:v>102219</x:v>
      </x:c>
    </x:row>
    <x:row r="17" ht="14.25" customHeight="1">
      <x:c r="A17" t="s">
        <x:v>130</x:v>
      </x:c>
      <x:c r="B17" s="39">
        <x:v>2149</x:v>
      </x:c>
      <x:c r="C17" s="39">
        <x:v>2268</x:v>
      </x:c>
      <x:c r="D17" s="39">
        <x:v>2364</x:v>
      </x:c>
      <x:c r="E17" s="39">
        <x:v>2509</x:v>
      </x:c>
      <x:c r="F17" s="39">
        <x:v>2778</x:v>
      </x:c>
      <x:c r="G17" s="39">
        <x:v>2916</x:v>
      </x:c>
      <x:c r="H17" s="39">
        <x:v>3233</x:v>
      </x:c>
      <x:c r="I17" s="39">
        <x:v>3774</x:v>
      </x:c>
      <x:c r="J17" s="40">
        <x:v>3807</x:v>
      </x:c>
      <x:c r="K17" s="40">
        <x:v>3740</x:v>
      </x:c>
      <x:c r="L17" s="40">
        <x:v>3799</x:v>
      </x:c>
      <x:c r="M17" s="39">
        <x:v>3844</x:v>
      </x:c>
      <x:c r="N17" s="39">
        <x:v>3914</x:v>
      </x:c>
      <x:c r="O17" s="40">
        <x:v>4006</x:v>
      </x:c>
      <x:c r="P17" s="40">
        <x:v>4885</x:v>
      </x:c>
      <x:c r="Q17" s="40">
        <x:v>5343</x:v>
      </x:c>
      <x:c r="R17" s="40">
        <x:v>6283</x:v>
      </x:c>
      <x:c r="S17" s="40">
        <x:v>7136</x:v>
      </x:c>
      <x:c r="T17" s="40">
        <x:v>9141</x:v>
      </x:c>
    </x:row>
    <x:row r="18" ht="14.25" customHeight="1">
      <x:c r="A18" t="s">
        <x:v>131</x:v>
      </x:c>
      <x:c r="B18" s="39">
        <x:v>707</x:v>
      </x:c>
      <x:c r="C18" s="39">
        <x:v>727</x:v>
      </x:c>
      <x:c r="D18" s="39">
        <x:v>801</x:v>
      </x:c>
      <x:c r="E18" s="39">
        <x:v>830</x:v>
      </x:c>
      <x:c r="F18" s="39">
        <x:v>829</x:v>
      </x:c>
      <x:c r="G18" s="39">
        <x:v>856</x:v>
      </x:c>
      <x:c r="H18" s="39">
        <x:v>852</x:v>
      </x:c>
      <x:c r="I18" s="39">
        <x:v>927</x:v>
      </x:c>
      <x:c r="J18" s="40">
        <x:v>1038</x:v>
      </x:c>
      <x:c r="K18" s="40">
        <x:v>1094</x:v>
      </x:c>
      <x:c r="L18" s="40">
        <x:v>1235</x:v>
      </x:c>
      <x:c r="M18" s="39">
        <x:v>1316</x:v>
      </x:c>
      <x:c r="N18" s="39">
        <x:v>1346</x:v>
      </x:c>
      <x:c r="O18" s="40">
        <x:v>1532</x:v>
      </x:c>
      <x:c r="P18" s="40">
        <x:v>1556</x:v>
      </x:c>
      <x:c r="Q18" s="40">
        <x:v>1755</x:v>
      </x:c>
      <x:c r="R18" s="40">
        <x:v>1793</x:v>
      </x:c>
      <x:c r="S18" s="40">
        <x:v>1810</x:v>
      </x:c>
      <x:c r="T18" s="40">
        <x:v>2084</x:v>
      </x:c>
    </x:row>
    <x:row r="19" ht="14.25" customHeight="1">
      <x:c r="A19" t="s">
        <x:v>132</x:v>
      </x:c>
      <x:c r="B19" s="39">
        <x:v>4193</x:v>
      </x:c>
      <x:c r="C19" s="39">
        <x:v>4193</x:v>
      </x:c>
      <x:c r="D19" s="39">
        <x:v>4193</x:v>
      </x:c>
      <x:c r="E19" s="39">
        <x:v>4302</x:v>
      </x:c>
      <x:c r="F19" s="39">
        <x:v>4349</x:v>
      </x:c>
      <x:c r="G19" s="39">
        <x:v>4365</x:v>
      </x:c>
      <x:c r="H19" s="39">
        <x:v>4372</x:v>
      </x:c>
      <x:c r="I19" s="39">
        <x:v>4372</x:v>
      </x:c>
      <x:c r="J19" s="40">
        <x:v>4372</x:v>
      </x:c>
      <x:c r="K19" s="40">
        <x:v>4430</x:v>
      </x:c>
      <x:c r="L19" s="40">
        <x:v>4430</x:v>
      </x:c>
      <x:c r="M19" s="39">
        <x:v>4430</x:v>
      </x:c>
      <x:c r="N19" s="39">
        <x:v>4430</x:v>
      </x:c>
      <x:c r="O19" s="40">
        <x:v>4453</x:v>
      </x:c>
      <x:c r="P19" s="40">
        <x:v>4622</x:v>
      </x:c>
      <x:c r="Q19" s="40">
        <x:v>4724</x:v>
      </x:c>
      <x:c r="R19" s="40">
        <x:v>5188</x:v>
      </x:c>
      <x:c r="S19" s="40">
        <x:v>5498</x:v>
      </x:c>
      <x:c r="T19" s="40">
        <x:v>5755</x:v>
      </x:c>
    </x:row>
    <x:row r="20" ht="14.25" customHeight="1">
      <x:c r="A20" t="s">
        <x:v>133</x:v>
      </x:c>
      <x:c r="B20" s="39">
        <x:v>2737</x:v>
      </x:c>
      <x:c r="C20" s="39">
        <x:v>2613</x:v>
      </x:c>
      <x:c r="D20" s="39">
        <x:v>2478</x:v>
      </x:c>
      <x:c r="E20" s="39">
        <x:v>2454</x:v>
      </x:c>
      <x:c r="F20" s="39">
        <x:v>2339</x:v>
      </x:c>
      <x:c r="G20" s="39">
        <x:v>2211</x:v>
      </x:c>
      <x:c r="H20" s="39">
        <x:v>2036</x:v>
      </x:c>
      <x:c r="I20" s="39">
        <x:v>1850</x:v>
      </x:c>
      <x:c r="J20" s="40">
        <x:v>1676</x:v>
      </x:c>
      <x:c r="K20" s="40">
        <x:v>1541</x:v>
      </x:c>
      <x:c r="L20" s="40">
        <x:v>1395</x:v>
      </x:c>
      <x:c r="M20" s="39">
        <x:v>1251</x:v>
      </x:c>
      <x:c r="N20" s="39">
        <x:v>1112</x:v>
      </x:c>
      <x:c r="O20" s="40">
        <x:v>986</x:v>
      </x:c>
      <x:c r="P20" s="40">
        <x:v>952</x:v>
      </x:c>
      <x:c r="Q20" s="40">
        <x:v>838</x:v>
      </x:c>
      <x:c r="R20" s="40">
        <x:v>807</x:v>
      </x:c>
      <x:c r="S20" s="40">
        <x:v>769</x:v>
      </x:c>
      <x:c r="T20" s="40">
        <x:v>755</x:v>
      </x:c>
    </x:row>
    <x:row r="21" ht="14.25" customHeight="1">
      <x:c r="A21" t="s">
        <x:v>134</x:v>
      </x:c>
      <x:c r="B21" s="39">
        <x:v>806</x:v>
      </x:c>
      <x:c r="C21" s="39">
        <x:v>778</x:v>
      </x:c>
      <x:c r="D21" s="39">
        <x:v>958</x:v>
      </x:c>
      <x:c r="E21" s="39">
        <x:v>970</x:v>
      </x:c>
      <x:c r="F21" s="39">
        <x:v>1222</x:v>
      </x:c>
      <x:c r="G21" s="39">
        <x:v>1784</x:v>
      </x:c>
      <x:c r="H21" s="39">
        <x:v>2225</x:v>
      </x:c>
      <x:c r="I21" s="39">
        <x:v>2762</x:v>
      </x:c>
      <x:c r="J21" s="40">
        <x:v>3396</x:v>
      </x:c>
      <x:c r="K21" s="40">
        <x:v>4568</x:v>
      </x:c>
      <x:c r="L21" s="40">
        <x:v>5398</x:v>
      </x:c>
      <x:c r="M21" s="39">
        <x:v>5982</x:v>
      </x:c>
      <x:c r="N21" s="39">
        <x:v>6081</x:v>
      </x:c>
      <x:c r="O21" s="40">
        <x:v>7798</x:v>
      </x:c>
      <x:c r="P21" s="40">
        <x:v>9578</x:v>
      </x:c>
      <x:c r="Q21" s="40">
        <x:v>10276</x:v>
      </x:c>
      <x:c r="R21" s="40">
        <x:v>10979</x:v>
      </x:c>
      <x:c r="S21" s="40">
        <x:v>13318</x:v>
      </x:c>
      <x:c r="T21" s="40">
        <x:v>13570</x:v>
      </x:c>
    </x:row>
    <x:row r="22" ht="14.25" customHeight="1">
      <x:c r="A22" t="s">
        <x:v>135</x:v>
      </x:c>
      <x:c r="B22" s="39">
        <x:v>2144</x:v>
      </x:c>
      <x:c r="C22" s="39">
        <x:v>2090</x:v>
      </x:c>
      <x:c r="D22" s="39">
        <x:v>2050</x:v>
      </x:c>
      <x:c r="E22" s="39">
        <x:v>3761</x:v>
      </x:c>
      <x:c r="F22" s="39">
        <x:v>3841</x:v>
      </x:c>
      <x:c r="G22" s="39">
        <x:v>3505</x:v>
      </x:c>
      <x:c r="H22" s="39">
        <x:v>3340</x:v>
      </x:c>
      <x:c r="I22" s="39">
        <x:v>3580</x:v>
      </x:c>
      <x:c r="J22" s="40">
        <x:v>3820</x:v>
      </x:c>
      <x:c r="K22" s="40">
        <x:v>4204</x:v>
      </x:c>
      <x:c r="L22" s="40">
        <x:v>4501</x:v>
      </x:c>
      <x:c r="M22" s="39">
        <x:v>4667</x:v>
      </x:c>
      <x:c r="N22" s="39">
        <x:v>4500</x:v>
      </x:c>
      <x:c r="O22" s="20">
        <x:v>4568</x:v>
      </x:c>
      <x:c r="P22" s="20">
        <x:v>4001</x:v>
      </x:c>
      <x:c r="Q22" s="20">
        <x:v>5437</x:v>
      </x:c>
      <x:c r="R22" s="20">
        <x:v>6425</x:v>
      </x:c>
      <x:c r="S22" s="20">
        <x:v>6788</x:v>
      </x:c>
      <x:c r="T22" s="40">
        <x:v>7216</x:v>
      </x:c>
    </x:row>
    <x:row r="23" ht="14.25" customHeight="1">
      <x:c r="A23" s="35" t="s">
        <x:v>136</x:v>
      </x:c>
      <x:c r="B23" s="42">
        <x:v>28791</x:v>
      </x:c>
      <x:c r="C23" s="42">
        <x:v>30796</x:v>
      </x:c>
      <x:c r="D23" s="42">
        <x:v>38650</x:v>
      </x:c>
      <x:c r="E23" s="42">
        <x:v>40632</x:v>
      </x:c>
      <x:c r="F23" s="42">
        <x:v>44187</x:v>
      </x:c>
      <x:c r="G23" s="42">
        <x:v>45212</x:v>
      </x:c>
      <x:c r="H23" s="42">
        <x:v>43476</x:v>
      </x:c>
      <x:c r="I23" s="42">
        <x:v>40488</x:v>
      </x:c>
      <x:c r="J23" s="43">
        <x:v>41182</x:v>
      </x:c>
      <x:c r="K23" s="43">
        <x:v>44460</x:v>
      </x:c>
      <x:c r="L23" s="43">
        <x:v>49555</x:v>
      </x:c>
      <x:c r="M23" s="42">
        <x:v>54148</x:v>
      </x:c>
      <x:c r="N23" s="42">
        <x:v>65728</x:v>
      </x:c>
      <x:c r="O23" s="44">
        <x:v>77072</x:v>
      </x:c>
      <x:c r="P23" s="44">
        <x:v>85227</x:v>
      </x:c>
      <x:c r="Q23" s="44">
        <x:v>96013</x:v>
      </x:c>
      <x:c r="R23" s="44">
        <x:v>111601</x:v>
      </x:c>
      <x:c r="S23" s="44">
        <x:v>125254</x:v>
      </x:c>
      <x:c r="T23" s="43">
        <x:v>140740</x:v>
      </x:c>
    </x:row>
    <x:row r="24" ht="14.25" customHeight="1">
      <x:c r="B24" s="20"/>
      <x:c r="C24" s="41"/>
      <x:c r="D24" s="41"/>
      <x:c r="E24" s="41"/>
      <x:c r="F24" s="41"/>
      <x:c r="G24" s="41"/>
      <x:c r="H24" s="41"/>
      <x:c r="I24" s="41"/>
      <x:c r="J24" s="45"/>
      <x:c r="K24" s="45"/>
      <x:c r="L24" s="45"/>
      <x:c r="M24" s="45"/>
      <x:c r="N24" s="45"/>
      <x:c r="O24" s="20"/>
      <x:c r="P24" s="20"/>
      <x:c r="Q24" s="20"/>
      <x:c r="R24" s="20"/>
      <x:c r="S24" s="20"/>
      <x:c r="T24" s="20"/>
    </x:row>
    <x:row r="25" ht="14.25" customHeight="1">
      <x:c r="A25" t="s">
        <x:v>137</x:v>
      </x:c>
      <x:c r="B25" s="39"/>
      <x:c r="C25" s="41"/>
      <x:c r="D25" s="41"/>
      <x:c r="E25" s="41"/>
      <x:c r="F25" s="41"/>
      <x:c r="G25" s="41"/>
      <x:c r="H25" s="41"/>
      <x:c r="I25" s="41"/>
      <x:c r="J25" s="45"/>
      <x:c r="K25" s="45"/>
      <x:c r="L25" s="45"/>
      <x:c r="M25" s="39"/>
      <x:c r="N25" s="39"/>
      <x:c r="O25" s="20"/>
      <x:c r="P25" s="20"/>
      <x:c r="Q25" s="20"/>
      <x:c r="R25" s="20"/>
      <x:c r="S25" s="20"/>
      <x:c r="T25" s="20"/>
    </x:row>
    <x:row r="26" ht="14.25" customHeight="1">
      <x:c r="A26" t="s">
        <x:v>138</x:v>
      </x:c>
      <x:c r="B26" s="39"/>
      <x:c r="C26" s="41"/>
      <x:c r="D26" s="41"/>
      <x:c r="E26" s="41"/>
      <x:c r="F26" s="41"/>
      <x:c r="G26" s="41"/>
      <x:c r="H26" s="41"/>
      <x:c r="I26" s="41"/>
      <x:c r="J26" s="45"/>
      <x:c r="K26" s="45"/>
      <x:c r="L26" s="45"/>
      <x:c r="M26" s="39"/>
      <x:c r="N26" s="39"/>
      <x:c r="O26" s="20"/>
      <x:c r="P26" s="20"/>
      <x:c r="Q26" s="20"/>
      <x:c r="R26" s="20"/>
      <x:c r="S26" s="20"/>
      <x:c r="T26" s="20"/>
    </x:row>
    <x:row r="27" ht="14.25" customHeight="1">
      <x:c r="A27" t="s">
        <x:v>139</x:v>
      </x:c>
      <x:c r="B27" s="39">
        <x:v>1201</x:v>
      </x:c>
      <x:c r="C27" s="39">
        <x:v>1218</x:v>
      </x:c>
      <x:c r="D27" s="39">
        <x:v>1474</x:v>
      </x:c>
      <x:c r="E27" s="39">
        <x:v>1664</x:v>
      </x:c>
      <x:c r="F27" s="39">
        <x:v>1783</x:v>
      </x:c>
      <x:c r="G27" s="39">
        <x:v>1999</x:v>
      </x:c>
      <x:c r="H27" s="39">
        <x:v>2421</x:v>
      </x:c>
      <x:c r="I27" s="39">
        <x:v>1491</x:v>
      </x:c>
      <x:c r="J27" s="40">
        <x:v>1193</x:v>
      </x:c>
      <x:c r="K27" s="40">
        <x:v>1141</x:v>
      </x:c>
      <x:c r="L27" s="40">
        <x:v>1929</x:v>
      </x:c>
      <x:c r="M27" s="39">
        <x:v>2380</x:v>
      </x:c>
      <x:c r="N27" s="39">
        <x:v>2699</x:v>
      </x:c>
      <x:c r="O27" s="40">
        <x:v>2715</x:v>
      </x:c>
      <x:c r="P27" s="40">
        <x:v>3680</x:v>
      </x:c>
      <x:c r="Q27" s="40">
        <x:v>5353</x:v>
      </x:c>
      <x:c r="R27" s="40">
        <x:v>6310</x:v>
      </x:c>
      <x:c r="S27" s="40">
        <x:v>7331</x:v>
      </x:c>
      <x:c r="T27" s="40">
        <x:v>9064</x:v>
      </x:c>
    </x:row>
    <x:row r="28" ht="14.25" customHeight="1">
      <x:c r="A28" t="s">
        <x:v>140</x:v>
      </x:c>
      <x:c r="B28" s="39">
        <x:v>1725</x:v>
      </x:c>
      <x:c r="C28" s="39">
        <x:v>1787</x:v>
      </x:c>
      <x:c r="D28" s="39">
        <x:v>1974</x:v>
      </x:c>
      <x:c r="E28" s="39">
        <x:v>1948</x:v>
      </x:c>
      <x:c r="F28" s="39">
        <x:v>2552</x:v>
      </x:c>
      <x:c r="G28" s="39">
        <x:v>3563</x:v>
      </x:c>
      <x:c r="H28" s="39">
        <x:v>3903</x:v>
      </x:c>
      <x:c r="I28" s="39">
        <x:v>4115</x:v>
      </x:c>
      <x:c r="J28" s="40">
        <x:v>4120</x:v>
      </x:c>
      <x:c r="K28" s="40">
        <x:v>4869</x:v>
      </x:c>
      <x:c r="L28" s="40">
        <x:v>7156</x:v>
      </x:c>
      <x:c r="M28" s="39">
        <x:v>5472</x:v>
      </x:c>
      <x:c r="N28" s="39">
        <x:v>6682</x:v>
      </x:c>
      <x:c r="O28" s="40">
        <x:v>11258</x:v>
      </x:c>
      <x:c r="P28" s="40">
        <x:v>10289</x:v>
      </x:c>
      <x:c r="Q28" s="40">
        <x:v>11126</x:v>
      </x:c>
      <x:c r="R28" s="40">
        <x:v>11737</x:v>
      </x:c>
      <x:c r="S28" s="40">
        <x:v>19211</x:v>
      </x:c>
      <x:c r="T28" s="40">
        <x:v>15193</x:v>
      </x:c>
    </x:row>
    <x:row r="29" ht="14.25" customHeight="1">
      <x:c r="A29" t="s">
        <x:v>141</x:v>
      </x:c>
      <x:c r="B29" s="39">
        <x:v>999</x:v>
      </x:c>
      <x:c r="C29" s="39">
        <x:v>999</x:v>
      </x:c>
      <x:c r="D29" s="39">
        <x:v>1000</x:v>
      </x:c>
      <x:c r="E29" s="40">
        <x:v>0</x:v>
      </x:c>
      <x:c r="F29" s="40">
        <x:v>0</x:v>
      </x:c>
      <x:c r="G29" s="40">
        <x:v>0</x:v>
      </x:c>
      <x:c r="H29" s="39">
        <x:v>1249</x:v>
      </x:c>
      <x:c r="I29" s="39">
        <x:v>1249</x:v>
      </x:c>
      <x:c r="J29" s="40">
        <x:v>1250</x:v>
      </x:c>
      <x:c r="K29" s="40">
        <x:v>1250</x:v>
      </x:c>
      <x:c r="L29" s="40">
        <x:v>1249</x:v>
      </x:c>
      <x:c r="M29" s="39">
        <x:v>1249</x:v>
      </x:c>
      <x:c r="N29" s="39">
        <x:v>1250</x:v>
      </x:c>
      <x:c r="O29" s="40">
        <x:v>1250</x:v>
      </x:c>
      <x:c r="P29" s="40">
        <x:v>0</x:v>
      </x:c>
      <x:c r="Q29" s="40">
        <x:v>0</x:v>
      </x:c>
      <x:c r="R29" s="40">
        <x:v>0</x:v>
      </x:c>
      <x:c r="S29" s="40">
        <x:v>0</x:v>
      </x:c>
      <x:c r="T29" s="40">
        <x:v>0</x:v>
      </x:c>
    </x:row>
    <x:row r="30" ht="14.25" customHeight="1">
      <x:c r="A30" s="35" t="s">
        <x:v>142</x:v>
      </x:c>
      <x:c r="B30" s="42">
        <x:v>3925</x:v>
      </x:c>
      <x:c r="C30" s="42">
        <x:v>4004</x:v>
      </x:c>
      <x:c r="D30" s="42">
        <x:v>4448</x:v>
      </x:c>
      <x:c r="E30" s="42">
        <x:v>3612</x:v>
      </x:c>
      <x:c r="F30" s="42">
        <x:v>4335</x:v>
      </x:c>
      <x:c r="G30" s="42">
        <x:v>5562</x:v>
      </x:c>
      <x:c r="H30" s="42">
        <x:v>7573</x:v>
      </x:c>
      <x:c r="I30" s="42">
        <x:v>6855</x:v>
      </x:c>
      <x:c r="J30" s="43">
        <x:v>6563</x:v>
      </x:c>
      <x:c r="K30" s="43">
        <x:v>7260</x:v>
      </x:c>
      <x:c r="L30" s="43">
        <x:v>10334</x:v>
      </x:c>
      <x:c r="M30" s="42">
        <x:v>9101</x:v>
      </x:c>
      <x:c r="N30" s="42">
        <x:v>10631</x:v>
      </x:c>
      <x:c r="O30" s="43">
        <x:v>15223</x:v>
      </x:c>
      <x:c r="P30" s="44">
        <x:v>13969</x:v>
      </x:c>
      <x:c r="Q30" s="44">
        <x:v>16479</x:v>
      </x:c>
      <x:c r="R30" s="44">
        <x:v>18047</x:v>
      </x:c>
      <x:c r="S30" s="44">
        <x:v>26542</x:v>
      </x:c>
      <x:c r="T30" s="44">
        <x:v>24257</x:v>
      </x:c>
    </x:row>
    <x:row r="31" ht="14.25" customHeight="1">
      <x:c r="A31" t="s">
        <x:v>143</x:v>
      </x:c>
      <x:c r="B31" s="39">
        <x:v>5964</x:v>
      </x:c>
      <x:c r="C31" s="39">
        <x:v>5964</x:v>
      </x:c>
      <x:c r="D31" s="39">
        <x:v>10943</x:v>
      </x:c>
      <x:c r="E31" s="39">
        <x:v>10944</x:v>
      </x:c>
      <x:c r="F31" s="39">
        <x:v>10946</x:v>
      </x:c>
      <x:c r="G31" s="39">
        <x:v>10947</x:v>
      </x:c>
      <x:c r="H31" s="39">
        <x:v>9700</x:v>
      </x:c>
      <x:c r="I31" s="39">
        <x:v>9701</x:v>
      </x:c>
      <x:c r="J31" s="40">
        <x:v>9703</x:v>
      </x:c>
      <x:c r="K31" s="40">
        <x:v>9704</x:v>
      </x:c>
      <x:c r="L31" s="40">
        <x:v>8456</x:v>
      </x:c>
      <x:c r="M31" s="39">
        <x:v>8457</x:v>
      </x:c>
      <x:c r="N31" s="39">
        <x:v>8459</x:v>
      </x:c>
      <x:c r="O31" s="40">
        <x:v>8460</x:v>
      </x:c>
      <x:c r="P31" s="40">
        <x:v>8461</x:v>
      </x:c>
      <x:c r="Q31" s="40">
        <x:v>8462</x:v>
      </x:c>
      <x:c r="R31" s="40">
        <x:v>8463</x:v>
      </x:c>
      <x:c r="S31" s="40">
        <x:v>8464</x:v>
      </x:c>
      <x:c r="T31" s="40">
        <x:v>8466</x:v>
      </x:c>
    </x:row>
    <x:row r="32" ht="14.25" customHeight="1">
      <x:c r="A32" t="s">
        <x:v>144</x:v>
      </x:c>
      <x:c r="B32" s="39">
        <x:v>634</x:v>
      </x:c>
      <x:c r="C32" s="39">
        <x:v>640</x:v>
      </x:c>
      <x:c r="D32" s="39">
        <x:v>716</x:v>
      </x:c>
      <x:c r="E32" s="39">
        <x:v>743</x:v>
      </x:c>
      <x:c r="F32" s="39">
        <x:v>741</x:v>
      </x:c>
      <x:c r="G32" s="39">
        <x:v>752</x:v>
      </x:c>
      <x:c r="H32" s="39">
        <x:v>743</x:v>
      </x:c>
      <x:c r="I32" s="39">
        <x:v>798</x:v>
      </x:c>
      <x:c r="J32" s="40">
        <x:v>902</x:v>
      </x:c>
      <x:c r="K32" s="40">
        <x:v>939</x:v>
      </x:c>
      <x:c r="L32" s="40">
        <x:v>1041</x:v>
      </x:c>
      <x:c r="M32" s="39">
        <x:v>1091</x:v>
      </x:c>
      <x:c r="N32" s="39">
        <x:v>1119</x:v>
      </x:c>
      <x:c r="O32" s="40">
        <x:v>1281</x:v>
      </x:c>
      <x:c r="P32" s="40">
        <x:v>1304</x:v>
      </x:c>
      <x:c r="Q32" s="40">
        <x:v>1490</x:v>
      </x:c>
      <x:c r="R32" s="40">
        <x:v>1519</x:v>
      </x:c>
      <x:c r="S32" s="40">
        <x:v>1521</x:v>
      </x:c>
      <x:c r="T32" s="40">
        <x:v>1831</x:v>
      </x:c>
    </x:row>
    <x:row r="33" ht="14.25" customHeight="1">
      <x:c r="A33" t="s">
        <x:v>145</x:v>
      </x:c>
      <x:c r="B33" s="39">
        <x:v>1375</x:v>
      </x:c>
      <x:c r="C33" s="39">
        <x:v>1414</x:v>
      </x:c>
      <x:c r="D33" s="39">
        <x:v>1396</x:v>
      </x:c>
      <x:c r="E33" s="39">
        <x:v>1535</x:v>
      </x:c>
      <x:c r="F33" s="39">
        <x:v>1553</x:v>
      </x:c>
      <x:c r="G33" s="39">
        <x:v>1631</x:v>
      </x:c>
      <x:c r="H33" s="39">
        <x:v>1609</x:v>
      </x:c>
      <x:c r="I33" s="39">
        <x:v>1785</x:v>
      </x:c>
      <x:c r="J33" s="40">
        <x:v>1913</x:v>
      </x:c>
      <x:c r="K33" s="40">
        <x:v>2037</x:v>
      </x:c>
      <x:c r="L33" s="40">
        <x:v>2223</x:v>
      </x:c>
      <x:c r="M33" s="39">
        <x:v>2234</x:v>
      </x:c>
      <x:c r="N33" s="39">
        <x:v>2541</x:v>
      </x:c>
      <x:c r="O33" s="20">
        <x:v>2966</x:v>
      </x:c>
      <x:c r="P33" s="20">
        <x:v>3336</x:v>
      </x:c>
      <x:c r="Q33" s="20">
        <x:v>3683</x:v>
      </x:c>
      <x:c r="R33" s="20">
        <x:v>4245</x:v>
      </x:c>
      <x:c r="S33" s="20">
        <x:v>4884</x:v>
      </x:c>
      <x:c r="T33" s="20">
        <x:v>6055</x:v>
      </x:c>
    </x:row>
    <x:row r="34" ht="14.25" customHeight="1">
      <x:c r="A34" s="35" t="s">
        <x:v>146</x:v>
      </x:c>
      <x:c r="B34" s="42">
        <x:v>11898</x:v>
      </x:c>
      <x:c r="C34" s="42">
        <x:v>12022</x:v>
      </x:c>
      <x:c r="D34" s="42">
        <x:v>17503</x:v>
      </x:c>
      <x:c r="E34" s="42">
        <x:v>16834</x:v>
      </x:c>
      <x:c r="F34" s="42">
        <x:v>17575</x:v>
      </x:c>
      <x:c r="G34" s="42">
        <x:v>18892</x:v>
      </x:c>
      <x:c r="H34" s="42">
        <x:v>19625</x:v>
      </x:c>
      <x:c r="I34" s="42">
        <x:v>19139</x:v>
      </x:c>
      <x:c r="J34" s="43">
        <x:v>19081</x:v>
      </x:c>
      <x:c r="K34" s="43">
        <x:v>19940</x:v>
      </x:c>
      <x:c r="L34" s="43">
        <x:v>22054</x:v>
      </x:c>
      <x:c r="M34" s="42">
        <x:v>20883</x:v>
      </x:c>
      <x:c r="N34" s="42">
        <x:v>22750</x:v>
      </x:c>
      <x:c r="O34" s="44">
        <x:v>27930</x:v>
      </x:c>
      <x:c r="P34" s="44">
        <x:v>27070</x:v>
      </x:c>
      <x:c r="Q34" s="44">
        <x:v>30114</x:v>
      </x:c>
      <x:c r="R34" s="44">
        <x:v>32274</x:v>
      </x:c>
      <x:c r="S34" s="44">
        <x:v>41411</x:v>
      </x:c>
      <x:c r="T34" s="44">
        <x:v>40609</x:v>
      </x:c>
    </x:row>
    <x:row r="35" ht="14.25" customHeight="1">
      <x:c r="B35" s="20"/>
      <x:c r="C35" s="20"/>
      <x:c r="D35" s="20"/>
      <x:c r="E35" s="20"/>
      <x:c r="F35" s="20"/>
      <x:c r="G35" s="20"/>
      <x:c r="H35" s="20"/>
      <x:c r="I35" s="20"/>
      <x:c r="J35" s="20"/>
      <x:c r="K35" s="20"/>
      <x:c r="L35" s="20"/>
      <x:c r="M35" s="20"/>
      <x:c r="N35" s="20"/>
      <x:c r="O35" s="20"/>
      <x:c r="P35" s="20"/>
      <x:c r="Q35" s="20"/>
      <x:c r="R35" s="20"/>
      <x:c r="S35" s="20"/>
      <x:c r="T35" s="20"/>
    </x:row>
    <x:row r="36" ht="14.25" customHeight="1">
      <x:c r="A36" t="s">
        <x:v>147</x:v>
      </x:c>
      <x:c r="B36" s="39"/>
      <x:c r="C36" s="41"/>
      <x:c r="D36" s="20"/>
      <x:c r="E36" s="41"/>
      <x:c r="F36" s="41"/>
      <x:c r="G36" s="41"/>
      <x:c r="H36" s="41"/>
      <x:c r="I36" s="41"/>
      <x:c r="J36" s="45"/>
      <x:c r="K36" s="45"/>
      <x:c r="L36" s="45"/>
      <x:c r="M36" s="39"/>
      <x:c r="N36" s="45"/>
      <x:c r="O36" s="20"/>
      <x:c r="P36" s="20"/>
      <x:c r="Q36" s="20"/>
      <x:c r="R36" s="20"/>
      <x:c r="S36" s="20"/>
      <x:c r="T36" s="20"/>
    </x:row>
    <x:row r="37" ht="14.25" customHeight="1">
      <x:c r="A37" t="s">
        <x:v>148</x:v>
      </x:c>
      <x:c r="B37" s="20"/>
      <x:c r="C37" s="41"/>
      <x:c r="D37" s="20"/>
      <x:c r="E37" s="41"/>
      <x:c r="F37" s="41"/>
      <x:c r="G37" s="41"/>
      <x:c r="H37" s="41"/>
      <x:c r="I37" s="41"/>
      <x:c r="J37" s="45"/>
      <x:c r="K37" s="45"/>
      <x:c r="L37" s="45"/>
      <x:c r="M37" s="39"/>
      <x:c r="N37" s="45"/>
      <x:c r="O37" s="20"/>
      <x:c r="P37" s="20"/>
      <x:c r="Q37" s="20"/>
      <x:c r="R37" s="20"/>
      <x:c r="S37" s="20"/>
      <x:c r="T37" s="20"/>
    </x:row>
    <x:row r="38" ht="14.25" customHeight="1">
      <x:c r="A38" t="s">
        <x:v>149</x:v>
      </x:c>
      <x:c r="B38" s="40" t="s">
        <x:v>108</x:v>
      </x:c>
      <x:c r="C38" s="40" t="s">
        <x:v>108</x:v>
      </x:c>
      <x:c r="D38" s="40" t="s">
        <x:v>108</x:v>
      </x:c>
      <x:c r="E38" s="40" t="s">
        <x:v>108</x:v>
      </x:c>
      <x:c r="F38" s="40" t="s">
        <x:v>108</x:v>
      </x:c>
      <x:c r="G38" s="40" t="s">
        <x:v>108</x:v>
      </x:c>
      <x:c r="H38" s="40" t="s">
        <x:v>108</x:v>
      </x:c>
      <x:c r="I38" s="40" t="s">
        <x:v>108</x:v>
      </x:c>
      <x:c r="J38" s="40" t="s">
        <x:v>108</x:v>
      </x:c>
      <x:c r="K38" s="40" t="s">
        <x:v>108</x:v>
      </x:c>
      <x:c r="L38" s="40" t="s">
        <x:v>108</x:v>
      </x:c>
      <x:c r="M38" s="40" t="s">
        <x:v>108</x:v>
      </x:c>
      <x:c r="N38" s="40" t="s">
        <x:v>108</x:v>
      </x:c>
      <x:c r="O38" s="40" t="s">
        <x:v>108</x:v>
      </x:c>
      <x:c r="P38" s="40" t="s">
        <x:v>108</x:v>
      </x:c>
      <x:c r="Q38" s="40" t="s">
        <x:v>108</x:v>
      </x:c>
      <x:c r="R38" s="40" t="s">
        <x:v>108</x:v>
      </x:c>
      <x:c r="S38" s="40" t="s">
        <x:v>108</x:v>
      </x:c>
      <x:c r="T38" s="40" t="s">
        <x:v>108</x:v>
      </x:c>
    </x:row>
    <x:row r="39" ht="14.25" customHeight="1">
      <x:c r="A39" t="s">
        <x:v>150</x:v>
      </x:c>
      <x:c r="B39" s="39">
        <x:v>3</x:v>
      </x:c>
      <x:c r="C39" s="39">
        <x:v>1</x:v>
      </x:c>
      <x:c r="D39" s="39">
        <x:v>3</x:v>
      </x:c>
      <x:c r="E39" s="39">
        <x:v>3</x:v>
      </x:c>
      <x:c r="F39" s="39">
        <x:v>3</x:v>
      </x:c>
      <x:c r="G39" s="39">
        <x:v>3</x:v>
      </x:c>
      <x:c r="H39" s="39">
        <x:v>2</x:v>
      </x:c>
      <x:c r="I39" s="39">
        <x:v>2</x:v>
      </x:c>
      <x:c r="J39" s="40">
        <x:v>2</x:v>
      </x:c>
      <x:c r="K39" s="40">
        <x:v>2</x:v>
      </x:c>
      <x:c r="L39" s="40">
        <x:v>2</x:v>
      </x:c>
      <x:c r="M39" s="39">
        <x:v>2</x:v>
      </x:c>
      <x:c r="N39" s="39">
        <x:v>2</x:v>
      </x:c>
      <x:c r="O39" s="20">
        <x:v>2</x:v>
      </x:c>
      <x:c r="P39" s="20">
        <x:v>25</x:v>
      </x:c>
      <x:c r="Q39" s="20">
        <x:v>25</x:v>
      </x:c>
      <x:c r="R39" s="20">
        <x:v>24</x:v>
      </x:c>
      <x:c r="S39" s="20">
        <x:v>24</x:v>
      </x:c>
      <x:c r="T39" s="20">
        <x:v>24</x:v>
      </x:c>
    </x:row>
    <x:row r="40" ht="14.25" customHeight="1">
      <x:c r="A40" t="s">
        <x:v>151</x:v>
      </x:c>
      <x:c r="B40" s="39">
        <x:v>8719</x:v>
      </x:c>
      <x:c r="C40" s="39">
        <x:v>9280</x:v>
      </x:c>
      <x:c r="D40" s="39">
        <x:v>9745</x:v>
      </x:c>
      <x:c r="E40" s="39">
        <x:v>10465</x:v>
      </x:c>
      <x:c r="F40" s="39">
        <x:v>10385</x:v>
      </x:c>
      <x:c r="G40" s="39">
        <x:v>10623</x:v>
      </x:c>
      <x:c r="H40" s="39">
        <x:v>10968</x:v>
      </x:c>
      <x:c r="I40" s="39">
        <x:v>11565</x:v>
      </x:c>
      <x:c r="J40" s="40">
        <x:v>11971</x:v>
      </x:c>
      <x:c r="K40" s="40">
        <x:v>12453</x:v>
      </x:c>
      <x:c r="L40" s="40">
        <x:v>12629</x:v>
      </x:c>
      <x:c r="M40" s="39">
        <x:v>12991</x:v>
      </x:c>
      <x:c r="N40" s="39">
        <x:v>13132</x:v>
      </x:c>
      <x:c r="O40" s="20">
        <x:v>12651</x:v>
      </x:c>
      <x:c r="P40" s="20">
        <x:v>12115</x:v>
      </x:c>
      <x:c r="Q40" s="20">
        <x:v>11821</x:v>
      </x:c>
      <x:c r="R40" s="20">
        <x:v>11237</x:v>
      </x:c>
      <x:c r="S40" s="20">
        <x:v>11475</x:v>
      </x:c>
      <x:c r="T40" s="20">
        <x:v>11200</x:v>
      </x:c>
    </x:row>
    <x:row r="41" ht="14.25" customHeight="1">
      <x:c r="A41" t="s">
        <x:v>152</x:v>
      </x:c>
      <x:c r="B41" s="39">
        <x:v>19</x:v>
      </x:c>
      <x:c r="C41" s="39">
        <x:v>14</x:v>
      </x:c>
      <x:c r="D41" s="39">
        <x:v>8</x:v>
      </x:c>
      <x:c r="E41" s="39">
        <x:v>9</x:v>
      </x:c>
      <x:c r="F41" s="39">
        <x:v>-11</x:v>
      </x:c>
      <x:c r="G41" s="39">
        <x:v>-64</x:v>
      </x:c>
      <x:c r="H41" s="39">
        <x:v>-90</x:v>
      </x:c>
      <x:c r="I41" s="39">
        <x:v>-123</x:v>
      </x:c>
      <x:c r="J41" s="40">
        <x:v>-43</x:v>
      </x:c>
      <x:c r="K41" s="40">
        <x:v>-50</x:v>
      </x:c>
      <x:c r="L41" s="40">
        <x:v>-51</x:v>
      </x:c>
      <x:c r="M41" s="39">
        <x:v>-88</x:v>
      </x:c>
      <x:c r="N41" s="39">
        <x:v>27</x:v>
      </x:c>
      <x:c r="O41" s="20">
        <x:v>-109</x:v>
      </x:c>
      <x:c r="P41" s="20">
        <x:v>56</x:v>
      </x:c>
      <x:c r="Q41" s="20">
        <x:v>103</x:v>
      </x:c>
      <x:c r="R41" s="20">
        <x:v>28</x:v>
      </x:c>
      <x:c r="S41" s="20">
        <x:v>186</x:v>
      </x:c>
      <x:c r="T41" s="20">
        <x:v>170</x:v>
      </x:c>
    </x:row>
    <x:row r="42" ht="14.25" customHeight="1">
      <x:c r="A42" t="s">
        <x:v>153</x:v>
      </x:c>
      <x:c r="B42" s="39">
        <x:v>18908</x:v>
      </x:c>
      <x:c r="C42" s="39">
        <x:v>20721</x:v>
      </x:c>
      <x:c r="D42" s="39">
        <x:v>22995</x:v>
      </x:c>
      <x:c r="E42" s="39">
        <x:v>25359</x:v>
      </x:c>
      <x:c r="F42" s="39">
        <x:v>16235</x:v>
      </x:c>
      <x:c r="G42" s="39">
        <x:v>15758</x:v>
      </x:c>
      <x:c r="H42" s="39">
        <x:v>12971</x:v>
      </x:c>
      <x:c r="I42" s="39">
        <x:v>9905</x:v>
      </x:c>
      <x:c r="J42" s="40">
        <x:v>10171</x:v>
      </x:c>
      <x:c r="K42" s="40">
        <x:v>12115</x:v>
      </x:c>
      <x:c r="L42" s="40">
        <x:v>14921</x:v>
      </x:c>
      <x:c r="M42" s="39">
        <x:v>20360</x:v>
      </x:c>
      <x:c r="N42" s="39">
        <x:v>29817</x:v>
      </x:c>
      <x:c r="O42" s="20">
        <x:v>36598</x:v>
      </x:c>
      <x:c r="P42" s="20">
        <x:v>45961</x:v>
      </x:c>
      <x:c r="Q42" s="20">
        <x:v>53950</x:v>
      </x:c>
      <x:c r="R42" s="20">
        <x:v>68038</x:v>
      </x:c>
      <x:c r="S42" s="20">
        <x:v>72158</x:v>
      </x:c>
      <x:c r="T42" s="20">
        <x:v>88737</x:v>
      </x:c>
    </x:row>
    <x:row r="43" ht="14.25" customHeight="1">
      <x:c r="A43" t="s">
        <x:v>154</x:v>
      </x:c>
      <x:c r="B43" s="39">
        <x:v>16893</x:v>
      </x:c>
      <x:c r="C43" s="39">
        <x:v>18774</x:v>
      </x:c>
      <x:c r="D43" s="39">
        <x:v>21147</x:v>
      </x:c>
      <x:c r="E43" s="39">
        <x:v>23798</x:v>
      </x:c>
      <x:c r="F43" s="39">
        <x:v>26612</x:v>
      </x:c>
      <x:c r="G43" s="39">
        <x:v>26320</x:v>
      </x:c>
      <x:c r="H43" s="39">
        <x:v>23851</x:v>
      </x:c>
      <x:c r="I43" s="39">
        <x:v>21349</x:v>
      </x:c>
      <x:c r="J43" s="40">
        <x:v>22101</x:v>
      </x:c>
      <x:c r="K43" s="40">
        <x:v>24520</x:v>
      </x:c>
      <x:c r="L43" s="40">
        <x:v>27501</x:v>
      </x:c>
      <x:c r="M43" s="39">
        <x:v>33265</x:v>
      </x:c>
      <x:c r="N43" s="39">
        <x:v>42978</x:v>
      </x:c>
      <x:c r="O43" s="20">
        <x:v>49142</x:v>
      </x:c>
      <x:c r="P43" s="20">
        <x:v>58157</x:v>
      </x:c>
      <x:c r="Q43" s="20">
        <x:v>65899</x:v>
      </x:c>
      <x:c r="R43" s="20">
        <x:v>79327</x:v>
      </x:c>
      <x:c r="S43" s="20">
        <x:v>83843</x:v>
      </x:c>
      <x:c r="T43" s="20">
        <x:v>100131</x:v>
      </x:c>
    </x:row>
    <x:row r="44" ht="14.25" customHeight="1">
      <x:c r="A44" s="35" t="s">
        <x:v>155</x:v>
      </x:c>
      <x:c r="B44" s="42">
        <x:v>28791</x:v>
      </x:c>
      <x:c r="C44" s="42">
        <x:v>30796</x:v>
      </x:c>
      <x:c r="D44" s="42">
        <x:v>38650</x:v>
      </x:c>
      <x:c r="E44" s="42">
        <x:v>40632</x:v>
      </x:c>
      <x:c r="F44" s="42">
        <x:v>44187</x:v>
      </x:c>
      <x:c r="G44" s="42">
        <x:v>45212</x:v>
      </x:c>
      <x:c r="H44" s="42">
        <x:v>43476</x:v>
      </x:c>
      <x:c r="I44" s="42">
        <x:v>40488</x:v>
      </x:c>
      <x:c r="J44" s="43">
        <x:v>41182</x:v>
      </x:c>
      <x:c r="K44" s="43">
        <x:v>44460</x:v>
      </x:c>
      <x:c r="L44" s="43">
        <x:v>49555</x:v>
      </x:c>
      <x:c r="M44" s="42">
        <x:v>54148</x:v>
      </x:c>
      <x:c r="N44" s="42">
        <x:v>65728</x:v>
      </x:c>
      <x:c r="O44" s="44">
        <x:v>77072</x:v>
      </x:c>
      <x:c r="P44" s="44">
        <x:v>85227</x:v>
      </x:c>
      <x:c r="Q44" s="44">
        <x:v>96013</x:v>
      </x:c>
      <x:c r="R44" s="44">
        <x:v>111601</x:v>
      </x:c>
      <x:c r="S44" s="44">
        <x:v>125254</x:v>
      </x:c>
      <x:c r="T44" s="44">
        <x:v>140740</x:v>
      </x:c>
    </x:row>
  </x:sheetData>
  <x:pageMargins left="0.7" right="0.7" top="0.75" bottom="0.75" header="0.3" footer="0.3"/>
  <x:tableParts count="1">
    <x:tablePart xmlns:r="http://schemas.openxmlformats.org/officeDocument/2006/relationships" r:id="Re67819aa543a451e"/>
  </x:tableParts>
</x:worksheet>
</file>

<file path=xl/worksheets/sheet5.xml><?xml version="1.0" encoding="utf-8"?>
<x:worksheet xmlns:x="http://schemas.openxmlformats.org/spreadsheetml/2006/main">
  <x:sheetViews>
    <x:sheetView showGridLines="0" workbookViewId="0"/>
  </x:sheetViews>
  <x:sheetFormatPr defaultColWidth="8.6640625" defaultRowHeight="14.25"/>
  <x:cols>
    <x:col min="1" max="1" width="50.73046875" customWidth="1"/>
    <x:col min="2" max="19" width="11" customWidth="1"/>
  </x:cols>
  <x:sheetData>
    <x:row r="1" ht="4.5" customHeight="1">
      <x:c r="S1" s="46"/>
    </x:row>
    <x:row r="2" ht="21.75" customHeight="1">
      <x:c r="A2" s="15" t="s">
        <x:v>32</x:v>
      </x:c>
      <x:c r="L2" s="17"/>
      <x:c r="M2" s="17"/>
      <x:c r="N2" s="17"/>
      <x:c r="O2" s="18"/>
      <x:c r="P2" s="18"/>
      <x:c r="Q2" s="18"/>
      <x:c r="R2" s="18"/>
      <x:c r="S2" s="18"/>
    </x:row>
    <x:row r="3" ht="14.25" customHeight="1">
      <x:c r="A3" s="29" t="s">
        <x:v>95</x:v>
      </x:c>
      <x:c r="L3" s="17"/>
      <x:c r="M3" s="17"/>
      <x:c r="N3" s="17"/>
      <x:c r="O3" s="18"/>
      <x:c r="P3" s="18"/>
      <x:c r="Q3" s="18"/>
      <x:c r="R3" s="18"/>
      <x:c r="S3" s="18"/>
    </x:row>
    <x:row r="5" ht="14.25" customHeight="1">
      <x:c r="A5" s="30"/>
      <x:c r="B5" s="31"/>
      <x:c r="C5" s="31"/>
      <x:c r="D5" s="31"/>
      <x:c r="E5" s="31"/>
      <x:c r="F5" s="31"/>
      <x:c r="H5" s="31"/>
      <x:c r="I5" s="31"/>
      <x:c r="J5" s="31"/>
    </x:row>
    <x:row r="6" ht="14.25" customHeight="1">
      <x:c r="A6" t="s">
        <x:v>96</x:v>
      </x:c>
      <x:c r="B6" s="2" t="s">
        <x:v>71</x:v>
      </x:c>
      <x:c r="C6" s="2" t="s">
        <x:v>72</x:v>
      </x:c>
      <x:c r="D6" s="2" t="s">
        <x:v>73</x:v>
      </x:c>
      <x:c r="E6" s="2" t="s">
        <x:v>74</x:v>
      </x:c>
      <x:c r="F6" s="32" t="s">
        <x:v>75</x:v>
      </x:c>
      <x:c r="G6" s="32" t="s">
        <x:v>76</x:v>
      </x:c>
      <x:c r="H6" s="2" t="s">
        <x:v>77</x:v>
      </x:c>
      <x:c r="I6" s="2" t="s">
        <x:v>78</x:v>
      </x:c>
      <x:c r="J6" s="32" t="s">
        <x:v>79</x:v>
      </x:c>
      <x:c r="K6" s="32" t="s">
        <x:v>80</x:v>
      </x:c>
      <x:c r="L6" s="32" t="s">
        <x:v>81</x:v>
      </x:c>
      <x:c r="M6" s="32" t="s">
        <x:v>82</x:v>
      </x:c>
      <x:c r="N6" s="32" t="s">
        <x:v>89</x:v>
      </x:c>
      <x:c r="O6" s="32" t="s">
        <x:v>90</x:v>
      </x:c>
      <x:c r="P6" s="32" t="s">
        <x:v>91</x:v>
      </x:c>
      <x:c r="Q6" s="32" t="s">
        <x:v>97</x:v>
      </x:c>
      <x:c r="R6" s="32" t="s">
        <x:v>98</x:v>
      </x:c>
      <x:c r="S6" s="32" t="s">
        <x:v>99</x:v>
      </x:c>
    </x:row>
    <x:row r="7" ht="14.25" customHeight="1">
      <x:c r="A7" s="33" t="s">
        <x:v>100</x:v>
      </x:c>
      <x:c r="B7" s="34">
        <x:v>44318</x:v>
      </x:c>
      <x:c r="C7" s="34">
        <x:v>44409</x:v>
      </x:c>
      <x:c r="D7" s="34">
        <x:v>44500</x:v>
      </x:c>
      <x:c r="E7" s="34">
        <x:v>44591</x:v>
      </x:c>
      <x:c r="F7" s="34">
        <x:v>44682</x:v>
      </x:c>
      <x:c r="G7" s="34">
        <x:v>44773</x:v>
      </x:c>
      <x:c r="H7" s="34">
        <x:v>44864</x:v>
      </x:c>
      <x:c r="I7" s="34">
        <x:v>44955</x:v>
      </x:c>
      <x:c r="J7" s="34">
        <x:v>45046</x:v>
      </x:c>
      <x:c r="K7" s="34">
        <x:v>45137</x:v>
      </x:c>
      <x:c r="L7" s="34">
        <x:v>45228</x:v>
      </x:c>
      <x:c r="M7" s="34">
        <x:v>45319</x:v>
      </x:c>
      <x:c r="N7" s="34">
        <x:v>45410</x:v>
      </x:c>
      <x:c r="O7" s="34">
        <x:v>45501</x:v>
      </x:c>
      <x:c r="P7" s="34">
        <x:v>45592</x:v>
      </x:c>
      <x:c r="Q7" s="34">
        <x:v>45683</x:v>
      </x:c>
      <x:c r="R7" s="34">
        <x:v>45774</x:v>
      </x:c>
      <x:c r="S7" s="34">
        <x:v>45865</x:v>
      </x:c>
    </x:row>
    <x:row r="9" ht="14.25" customHeight="1">
      <x:c r="A9" t="s">
        <x:v>156</x:v>
      </x:c>
    </x:row>
    <x:row r="10" ht="14.25" customHeight="1">
      <x:c r="A10" t="s">
        <x:v>117</x:v>
      </x:c>
      <x:c r="B10" s="20">
        <x:v>1912</x:v>
      </x:c>
      <x:c r="C10" s="20">
        <x:v>4285</x:v>
      </x:c>
      <x:c r="D10" s="20">
        <x:v>6749</x:v>
      </x:c>
      <x:c r="E10" s="20">
        <x:v>9752</x:v>
      </x:c>
      <x:c r="F10" s="20">
        <x:v>1618</x:v>
      </x:c>
      <x:c r="G10" s="20">
        <x:v>2274</x:v>
      </x:c>
      <x:c r="H10" s="20">
        <x:v>2954</x:v>
      </x:c>
      <x:c r="I10" s="20">
        <x:v>4368</x:v>
      </x:c>
      <x:c r="J10" s="20">
        <x:v>2043</x:v>
      </x:c>
      <x:c r="K10" s="20">
        <x:v>8232</x:v>
      </x:c>
      <x:c r="L10" s="20">
        <x:v>17475</x:v>
      </x:c>
      <x:c r="M10" s="20">
        <x:v>29760</x:v>
      </x:c>
      <x:c r="N10" s="20">
        <x:v>14881</x:v>
      </x:c>
      <x:c r="O10" s="20">
        <x:v>31480</x:v>
      </x:c>
      <x:c r="P10" s="20">
        <x:v>50789</x:v>
      </x:c>
      <x:c r="Q10" s="20">
        <x:v>72880</x:v>
      </x:c>
      <x:c r="R10" s="20">
        <x:v>18775</x:v>
      </x:c>
      <x:c r="S10" s="20">
        <x:v>45197</x:v>
      </x:c>
    </x:row>
    <x:row r="11" ht="28.5" customHeight="1">
      <x:c r="A11" s="14" t="s">
        <x:v>157</x:v>
      </x:c>
      <x:c r="B11" s="20"/>
      <x:c r="C11" s="20"/>
      <x:c r="D11" s="20"/>
      <x:c r="E11" s="20"/>
      <x:c r="F11" s="20"/>
      <x:c r="G11" s="20"/>
      <x:c r="H11" s="20"/>
      <x:c r="I11" s="20"/>
      <x:c r="J11" s="20"/>
      <x:c r="K11" s="20"/>
      <x:c r="L11" s="20"/>
      <x:c r="M11" s="20"/>
      <x:c r="N11" s="20"/>
      <x:c r="O11" s="20"/>
      <x:c r="P11" s="20"/>
      <x:c r="Q11" s="20"/>
      <x:c r="R11" s="20"/>
      <x:c r="S11" s="20"/>
    </x:row>
    <x:row r="12" ht="14.25" customHeight="1">
      <x:c r="A12" t="s">
        <x:v>107</x:v>
      </x:c>
      <x:c r="B12" s="47" t="s">
        <x:v>108</x:v>
      </x:c>
      <x:c r="C12" s="47" t="s">
        <x:v>108</x:v>
      </x:c>
      <x:c r="D12" s="47" t="s">
        <x:v>108</x:v>
      </x:c>
      <x:c r="E12" s="47" t="s">
        <x:v>108</x:v>
      </x:c>
      <x:c r="F12" s="20">
        <x:v>1353</x:v>
      </x:c>
      <x:c r="G12" s="20">
        <x:v>1353</x:v>
      </x:c>
      <x:c r="H12" s="20">
        <x:v>1353</x:v>
      </x:c>
      <x:c r="I12" s="20">
        <x:v>1353</x:v>
      </x:c>
      <x:c r="J12" s="47" t="s">
        <x:v>108</x:v>
      </x:c>
      <x:c r="K12" s="47" t="s">
        <x:v>108</x:v>
      </x:c>
      <x:c r="L12" s="47" t="s">
        <x:v>108</x:v>
      </x:c>
      <x:c r="M12" s="47" t="s">
        <x:v>108</x:v>
      </x:c>
      <x:c r="N12" s="47" t="s">
        <x:v>108</x:v>
      </x:c>
      <x:c r="O12" s="47" t="s">
        <x:v>108</x:v>
      </x:c>
      <x:c r="P12" s="47" t="s">
        <x:v>108</x:v>
      </x:c>
      <x:c r="Q12" s="47" t="s">
        <x:v>108</x:v>
      </x:c>
      <x:c r="R12" s="47" t="s">
        <x:v>108</x:v>
      </x:c>
      <x:c r="S12" s="47" t="s">
        <x:v>108</x:v>
      </x:c>
    </x:row>
    <x:row r="13" ht="14.25" customHeight="1">
      <x:c r="A13" t="s">
        <x:v>158</x:v>
      </x:c>
      <x:c r="B13" s="20">
        <x:v>429</x:v>
      </x:c>
      <x:c r="C13" s="20">
        <x:v>894</x:v>
      </x:c>
      <x:c r="D13" s="20">
        <x:v>1453</x:v>
      </x:c>
      <x:c r="E13" s="20">
        <x:v>2004</x:v>
      </x:c>
      <x:c r="F13" s="20">
        <x:v>578</x:v>
      </x:c>
      <x:c r="G13" s="20">
        <x:v>1226</x:v>
      </x:c>
      <x:c r="H13" s="20">
        <x:v>1971</x:v>
      </x:c>
      <x:c r="I13" s="20">
        <x:v>2709</x:v>
      </x:c>
      <x:c r="J13" s="20">
        <x:v>735</x:v>
      </x:c>
      <x:c r="K13" s="20">
        <x:v>1576</x:v>
      </x:c>
      <x:c r="L13" s="20">
        <x:v>2555</x:v>
      </x:c>
      <x:c r="M13" s="20">
        <x:v>3549</x:v>
      </x:c>
      <x:c r="N13" s="20">
        <x:v>1011</x:v>
      </x:c>
      <x:c r="O13" s="20">
        <x:v>2164</x:v>
      </x:c>
      <x:c r="P13" s="20">
        <x:v>3416</x:v>
      </x:c>
      <x:c r="Q13" s="20">
        <x:v>4737</x:v>
      </x:c>
      <x:c r="R13" s="20">
        <x:v>1474</x:v>
      </x:c>
      <x:c r="S13" s="20">
        <x:v>3099</x:v>
      </x:c>
    </x:row>
    <x:row r="14" ht="14.25" customHeight="1">
      <x:c r="A14" t="s">
        <x:v>159</x:v>
      </x:c>
      <x:c r="B14" s="20">
        <x:v>281</x:v>
      </x:c>
      <x:c r="C14" s="20">
        <x:v>567</x:v>
      </x:c>
      <x:c r="D14" s="20">
        <x:v>865</x:v>
      </x:c>
      <x:c r="E14" s="20">
        <x:v>1174</x:v>
      </x:c>
      <x:c r="F14" s="20">
        <x:v>334</x:v>
      </x:c>
      <x:c r="G14" s="20">
        <x:v>712</x:v>
      </x:c>
      <x:c r="H14" s="20">
        <x:v>1118</x:v>
      </x:c>
      <x:c r="I14" s="20">
        <x:v>1544</x:v>
      </x:c>
      <x:c r="J14" s="20">
        <x:v>384</x:v>
      </x:c>
      <x:c r="K14" s="20">
        <x:v>749</x:v>
      </x:c>
      <x:c r="L14" s="20">
        <x:v>1121</x:v>
      </x:c>
      <x:c r="M14" s="20">
        <x:v>1508</x:v>
      </x:c>
      <x:c r="N14" s="20">
        <x:v>410</x:v>
      </x:c>
      <x:c r="O14" s="20">
        <x:v>843</x:v>
      </x:c>
      <x:c r="P14" s="20">
        <x:v>1321</x:v>
      </x:c>
      <x:c r="Q14" s="20">
        <x:v>1864</x:v>
      </x:c>
      <x:c r="R14" s="20">
        <x:v>611</x:v>
      </x:c>
      <x:c r="S14" s="20">
        <x:v>1280</x:v>
      </x:c>
    </x:row>
    <x:row r="15" ht="14.25" customHeight="1">
      <x:c r="A15" t="s">
        <x:v>160</x:v>
      </x:c>
      <x:c r="B15" s="20">
        <x:v>24</x:v>
      </x:c>
      <x:c r="C15" s="20">
        <x:v>-161</x:v>
      </x:c>
      <x:c r="D15" s="20">
        <x:v>-182</x:v>
      </x:c>
      <x:c r="E15" s="20">
        <x:v>-406</x:v>
      </x:c>
      <x:c r="F15" s="20">
        <x:v>-542</x:v>
      </x:c>
      <x:c r="G15" s="20">
        <x:v>-985</x:v>
      </x:c>
      <x:c r="H15" s="20">
        <x:v>-1517</x:v>
      </x:c>
      <x:c r="I15" s="20">
        <x:v>-2164</x:v>
      </x:c>
      <x:c r="J15" s="20">
        <x:v>-1135</x:v>
      </x:c>
      <x:c r="K15" s="20">
        <x:v>-1881</x:v>
      </x:c>
      <x:c r="L15" s="20">
        <x:v>-2411</x:v>
      </x:c>
      <x:c r="M15" s="20">
        <x:v>-2489</x:v>
      </x:c>
      <x:c r="N15" s="20">
        <x:v>-1577</x:v>
      </x:c>
      <x:c r="O15" s="20">
        <x:v>-3276</x:v>
      </x:c>
      <x:c r="P15" s="20">
        <x:v>-3879</x:v>
      </x:c>
      <x:c r="Q15" s="20">
        <x:v>-4477</x:v>
      </x:c>
      <x:c r="R15" s="20">
        <x:v>-2177</x:v>
      </x:c>
      <x:c r="S15" s="20">
        <x:v>-2160</x:v>
      </x:c>
    </x:row>
    <x:row r="16" ht="14.25" customHeight="1">
      <x:c r="A16" t="s">
        <x:v>161</x:v>
      </x:c>
      <x:c r="B16" s="20">
        <x:v>-133</x:v>
      </x:c>
      <x:c r="C16" s="20">
        <x:v>-133</x:v>
      </x:c>
      <x:c r="D16" s="20">
        <x:v>-152</x:v>
      </x:c>
      <x:c r="E16" s="20">
        <x:v>-100</x:v>
      </x:c>
      <x:c r="F16" s="20">
        <x:v>17</x:v>
      </x:c>
      <x:c r="G16" s="20">
        <x:v>24</x:v>
      </x:c>
      <x:c r="H16" s="20">
        <x:v>35</x:v>
      </x:c>
      <x:c r="I16" s="20">
        <x:v>45</x:v>
      </x:c>
      <x:c r="J16" s="20">
        <x:v>14</x:v>
      </x:c>
      <x:c r="K16" s="20">
        <x:v>-45</x:v>
      </x:c>
      <x:c r="L16" s="20">
        <x:v>24</x:v>
      </x:c>
      <x:c r="M16" s="20">
        <x:v>-238</x:v>
      </x:c>
      <x:c r="N16" s="20">
        <x:v>-69</x:v>
      </x:c>
      <x:c r="O16" s="20">
        <x:v>-264</x:v>
      </x:c>
      <x:c r="P16" s="20">
        <x:v>-302</x:v>
      </x:c>
      <x:c r="Q16" s="20">
        <x:v>-1030</x:v>
      </x:c>
      <x:c r="R16" s="20">
        <x:v>175</x:v>
      </x:c>
      <x:c r="S16" s="20">
        <x:v>-2073</x:v>
      </x:c>
    </x:row>
    <x:row r="17" ht="14.25" customHeight="1">
      <x:c r="A17" t="s">
        <x:v>162</x:v>
      </x:c>
      <x:c r="B17" s="20">
        <x:v>-3</x:v>
      </x:c>
      <x:c r="C17" s="20">
        <x:v>16</x:v>
      </x:c>
      <x:c r="D17" s="20">
        <x:v>25</x:v>
      </x:c>
      <x:c r="E17" s="20">
        <x:v>47</x:v>
      </x:c>
      <x:c r="F17" s="20">
        <x:v>23</x:v>
      </x:c>
      <x:c r="G17" s="20">
        <x:v>18</x:v>
      </x:c>
      <x:c r="H17" s="20">
        <x:v>-27</x:v>
      </x:c>
      <x:c r="I17" s="20">
        <x:v>-7</x:v>
      </x:c>
      <x:c r="J17" s="20">
        <x:v>-34</x:v>
      </x:c>
      <x:c r="K17" s="20">
        <x:v>-102</x:v>
      </x:c>
      <x:c r="L17" s="20">
        <x:v>-170</x:v>
      </x:c>
      <x:c r="M17" s="20">
        <x:v>-278</x:v>
      </x:c>
      <x:c r="N17" s="20">
        <x:v>-145</x:v>
      </x:c>
      <x:c r="O17" s="20">
        <x:v>-288</x:v>
      </x:c>
      <x:c r="P17" s="20">
        <x:v>-365</x:v>
      </x:c>
      <x:c r="Q17" s="20">
        <x:v>-502</x:v>
      </x:c>
      <x:c r="R17" s="20">
        <x:v>-98</x:v>
      </x:c>
      <x:c r="S17" s="20">
        <x:v>-196</x:v>
      </x:c>
    </x:row>
    <x:row r="18" ht="27.75" customHeight="1">
      <x:c r="A18" s="14" t="s">
        <x:v>163</x:v>
      </x:c>
      <x:c r="B18" s="20"/>
      <x:c r="C18" s="20"/>
      <x:c r="D18" s="20"/>
      <x:c r="E18" s="20"/>
      <x:c r="F18" s="20"/>
      <x:c r="G18" s="20"/>
      <x:c r="H18" s="20"/>
      <x:c r="I18" s="20"/>
      <x:c r="J18" s="20"/>
      <x:c r="K18" s="20"/>
      <x:c r="L18" s="20"/>
      <x:c r="M18" s="20"/>
      <x:c r="N18" s="20"/>
      <x:c r="O18" s="20"/>
      <x:c r="P18" s="20"/>
      <x:c r="Q18" s="20"/>
      <x:c r="R18" s="20"/>
      <x:c r="S18" s="20"/>
    </x:row>
    <x:row r="19" ht="14.25" customHeight="1">
      <x:c r="A19" t="s">
        <x:v>164</x:v>
      </x:c>
      <x:c r="B19" s="20">
        <x:v>-595</x:v>
      </x:c>
      <x:c r="C19" s="20">
        <x:v>-1157</x:v>
      </x:c>
      <x:c r="D19" s="20">
        <x:v>-1523</x:v>
      </x:c>
      <x:c r="E19" s="20">
        <x:v>-2215</x:v>
      </x:c>
      <x:c r="F19" s="20">
        <x:v>-788</x:v>
      </x:c>
      <x:c r="G19" s="20">
        <x:v>-668</x:v>
      </x:c>
      <x:c r="H19" s="20">
        <x:v>-258</x:v>
      </x:c>
      <x:c r="I19" s="20">
        <x:v>822</x:v>
      </x:c>
      <x:c r="J19" s="20">
        <x:v>-252</x:v>
      </x:c>
      <x:c r="K19" s="20">
        <x:v>-3239</x:v>
      </x:c>
      <x:c r="L19" s="20">
        <x:v>-4482</x:v>
      </x:c>
      <x:c r="M19" s="20">
        <x:v>-6172</x:v>
      </x:c>
      <x:c r="N19" s="20">
        <x:v>-2366</x:v>
      </x:c>
      <x:c r="O19" s="20">
        <x:v>-4133</x:v>
      </x:c>
      <x:c r="P19" s="20">
        <x:v>-7694</x:v>
      </x:c>
      <x:c r="Q19" s="20">
        <x:v>-13063</x:v>
      </x:c>
      <x:c r="R19" s="20">
        <x:v>933</x:v>
      </x:c>
      <x:c r="S19" s="20">
        <x:v>-4743</x:v>
      </x:c>
    </x:row>
    <x:row r="20" ht="14.25" customHeight="1">
      <x:c r="A20" t="s">
        <x:v>127</x:v>
      </x:c>
      <x:c r="B20" s="20">
        <x:v>-159</x:v>
      </x:c>
      <x:c r="C20" s="20">
        <x:v>-282</x:v>
      </x:c>
      <x:c r="D20" s="20">
        <x:v>-400</x:v>
      </x:c>
      <x:c r="E20" s="20">
        <x:v>-774</x:v>
      </x:c>
      <x:c r="F20" s="20">
        <x:v>-560</x:v>
      </x:c>
      <x:c r="G20" s="20">
        <x:v>-1285</x:v>
      </x:c>
      <x:c r="H20" s="20">
        <x:v>-1848</x:v>
      </x:c>
      <x:c r="I20" s="20">
        <x:v>-2554</x:v>
      </x:c>
      <x:c r="J20" s="20">
        <x:v>566</x:v>
      </x:c>
      <x:c r="K20" s="20">
        <x:v>861</x:v>
      </x:c>
      <x:c r="L20" s="20">
        <x:v>405</x:v>
      </x:c>
      <x:c r="M20" s="20">
        <x:v>-98</x:v>
      </x:c>
      <x:c r="N20" s="20">
        <x:v>-577</x:v>
      </x:c>
      <x:c r="O20" s="20">
        <x:v>-1380</x:v>
      </x:c>
      <x:c r="P20" s="20">
        <x:v>-2357</x:v>
      </x:c>
      <x:c r="Q20" s="20">
        <x:v>-4781</x:v>
      </x:c>
      <x:c r="R20" s="20">
        <x:v>-1258</x:v>
      </x:c>
      <x:c r="S20" s="20">
        <x:v>-4880</x:v>
      </x:c>
    </x:row>
    <x:row r="21" ht="14.25" customHeight="1">
      <x:c r="A21" t="s">
        <x:v>165</x:v>
      </x:c>
      <x:c r="B21" s="20">
        <x:v>2</x:v>
      </x:c>
      <x:c r="C21" s="20">
        <x:v>18</x:v>
      </x:c>
      <x:c r="D21" s="20">
        <x:v>-1557</x:v>
      </x:c>
      <x:c r="E21" s="20">
        <x:v>-1715</x:v>
      </x:c>
      <x:c r="F21" s="20">
        <x:v>-1261</x:v>
      </x:c>
      <x:c r="G21" s="20">
        <x:v>-1554</x:v>
      </x:c>
      <x:c r="H21" s="20">
        <x:v>-1307</x:v>
      </x:c>
      <x:c r="I21" s="20">
        <x:v>-1517</x:v>
      </x:c>
      <x:c r="J21" s="20">
        <x:v>-215</x:v>
      </x:c>
      <x:c r="K21" s="20">
        <x:v>-592</x:v>
      </x:c>
      <x:c r="L21" s="20">
        <x:v>-337</x:v>
      </x:c>
      <x:c r="M21" s="20">
        <x:v>-1522</x:v>
      </x:c>
      <x:c r="N21" s="20">
        <x:v>-726</x:v>
      </x:c>
      <x:c r="O21" s="20">
        <x:v>-12</x:v>
      </x:c>
      <x:c r="P21" s="20">
        <x:v>-726</x:v>
      </x:c>
      <x:c r="Q21" s="20">
        <x:v>-395</x:v>
      </x:c>
      <x:c r="R21" s="20">
        <x:v>560</x:v>
      </x:c>
      <x:c r="S21" s="20">
        <x:v>946</x:v>
      </x:c>
    </x:row>
    <x:row r="22" ht="14.25" customHeight="1">
      <x:c r="A22" t="s">
        <x:v>139</x:v>
      </x:c>
      <x:c r="B22" s="20">
        <x:v>36</x:v>
      </x:c>
      <x:c r="C22" s="20">
        <x:v>245</x:v>
      </x:c>
      <x:c r="D22" s="20">
        <x:v>474</x:v>
      </x:c>
      <x:c r="E22" s="20">
        <x:v>568</x:v>
      </x:c>
      <x:c r="F22" s="20">
        <x:v>255</x:v>
      </x:c>
      <x:c r="G22" s="20">
        <x:v>559</x:v>
      </x:c>
      <x:c r="H22" s="20">
        <x:v>-358</x:v>
      </x:c>
      <x:c r="I22" s="20">
        <x:v>-551</x:v>
      </x:c>
      <x:c r="J22" s="20">
        <x:v>11</x:v>
      </x:c>
      <x:c r="K22" s="20">
        <x:v>789</x:v>
      </x:c>
      <x:c r="L22" s="20">
        <x:v>1250</x:v>
      </x:c>
      <x:c r="M22" s="20">
        <x:v>1531</x:v>
      </x:c>
      <x:c r="N22" s="20">
        <x:v>-22</x:v>
      </x:c>
      <x:c r="O22" s="20">
        <x:v>801</x:v>
      </x:c>
      <x:c r="P22" s="20">
        <x:v>2490</x:v>
      </x:c>
      <x:c r="Q22" s="20">
        <x:v>3357</x:v>
      </x:c>
      <x:c r="R22" s="20">
        <x:v>941</x:v>
      </x:c>
      <x:c r="S22" s="20">
        <x:v>2255</x:v>
      </x:c>
    </x:row>
    <x:row r="23" ht="14.25" customHeight="1">
      <x:c r="A23" t="s">
        <x:v>140</x:v>
      </x:c>
      <x:c r="B23" s="20">
        <x:v>33</x:v>
      </x:c>
      <x:c r="C23" s="20">
        <x:v>166</x:v>
      </x:c>
      <x:c r="D23" s="20">
        <x:v>70</x:v>
      </x:c>
      <x:c r="E23" s="20">
        <x:v>581</x:v>
      </x:c>
      <x:c r="F23" s="20">
        <x:v>634</x:v>
      </x:c>
      <x:c r="G23" s="20">
        <x:v>1267</x:v>
      </x:c>
      <x:c r="H23" s="20">
        <x:v>1175</x:v>
      </x:c>
      <x:c r="I23" s="20">
        <x:v>1341</x:v>
      </x:c>
      <x:c r="J23" s="20">
        <x:v>689</x:v>
      </x:c>
      <x:c r="K23" s="20">
        <x:v>2675</x:v>
      </x:c>
      <x:c r="L23" s="20">
        <x:v>953</x:v>
      </x:c>
      <x:c r="M23" s="20">
        <x:v>2025</x:v>
      </x:c>
      <x:c r="N23" s="20">
        <x:v>4202</x:v>
      </x:c>
      <x:c r="O23" s="20">
        <x:v>3314</x:v>
      </x:c>
      <x:c r="P23" s="20">
        <x:v>3918</x:v>
      </x:c>
      <x:c r="Q23" s="20">
        <x:v>4278</x:v>
      </x:c>
      <x:c r="R23" s="20">
        <x:v>7128</x:v>
      </x:c>
      <x:c r="S23" s="20">
        <x:v>3075</x:v>
      </x:c>
    </x:row>
    <x:row r="24" ht="14.25" customHeight="1">
      <x:c r="A24" t="s">
        <x:v>145</x:v>
      </x:c>
      <x:c r="B24" s="20">
        <x:v>47</x:v>
      </x:c>
      <x:c r="C24" s="20">
        <x:v>98</x:v>
      </x:c>
      <x:c r="D24" s="20">
        <x:v>253</x:v>
      </x:c>
      <x:c r="E24" s="20">
        <x:v>192</x:v>
      </x:c>
      <x:c r="F24" s="20">
        <x:v>70</x:v>
      </x:c>
      <x:c r="G24" s="20">
        <x:v>60</x:v>
      </x:c>
      <x:c r="H24" s="20">
        <x:v>102</x:v>
      </x:c>
      <x:c r="I24" s="20">
        <x:v>252</x:v>
      </x:c>
      <x:c r="J24" s="20">
        <x:v>105</x:v>
      </x:c>
      <x:c r="K24" s="20">
        <x:v>236</x:v>
      </x:c>
      <x:c r="L24" s="20">
        <x:v>208</x:v>
      </x:c>
      <x:c r="M24" s="20">
        <x:v>514</x:v>
      </x:c>
      <x:c r="N24" s="20">
        <x:v>323</x:v>
      </x:c>
      <x:c r="O24" s="20">
        <x:v>584</x:v>
      </x:c>
      <x:c r="P24" s="20">
        <x:v>349</x:v>
      </x:c>
      <x:c r="Q24" s="20">
        <x:v>1221</x:v>
      </x:c>
      <x:c r="R24" s="20">
        <x:v>350</x:v>
      </x:c>
      <x:c r="S24" s="20">
        <x:v>979</x:v>
      </x:c>
    </x:row>
    <x:row r="25" ht="14.25" customHeight="1">
      <x:c r="A25" s="35" t="s">
        <x:v>166</x:v>
      </x:c>
      <x:c r="B25" s="44">
        <x:v>1874</x:v>
      </x:c>
      <x:c r="C25" s="44">
        <x:v>4556</x:v>
      </x:c>
      <x:c r="D25" s="44">
        <x:v>6075</x:v>
      </x:c>
      <x:c r="E25" s="44">
        <x:v>9108</x:v>
      </x:c>
      <x:c r="F25" s="44">
        <x:v>1731</x:v>
      </x:c>
      <x:c r="G25" s="44">
        <x:v>3001</x:v>
      </x:c>
      <x:c r="H25" s="44">
        <x:v>3393</x:v>
      </x:c>
      <x:c r="I25" s="44">
        <x:v>5641</x:v>
      </x:c>
      <x:c r="J25" s="44">
        <x:v>2911</x:v>
      </x:c>
      <x:c r="K25" s="44">
        <x:v>9259</x:v>
      </x:c>
      <x:c r="L25" s="44">
        <x:v>16591</x:v>
      </x:c>
      <x:c r="M25" s="44">
        <x:v>28090</x:v>
      </x:c>
      <x:c r="N25" s="44">
        <x:v>15345</x:v>
      </x:c>
      <x:c r="O25" s="44">
        <x:v>29833</x:v>
      </x:c>
      <x:c r="P25" s="44">
        <x:v>47460</x:v>
      </x:c>
      <x:c r="Q25" s="44">
        <x:v>64089</x:v>
      </x:c>
      <x:c r="R25" s="44">
        <x:v>27414</x:v>
      </x:c>
      <x:c r="S25" s="44">
        <x:v>42779</x:v>
      </x:c>
    </x:row>
    <x:row r="27" ht="14.25" customHeight="1">
      <x:c r="A27" t="s">
        <x:v>167</x:v>
      </x:c>
      <x:c r="B27" s="20"/>
      <x:c r="C27" s="20"/>
      <x:c r="D27" s="20"/>
      <x:c r="E27" s="20"/>
      <x:c r="F27" s="20"/>
      <x:c r="G27" s="20"/>
      <x:c r="H27" s="20"/>
      <x:c r="I27" s="20"/>
      <x:c r="J27" s="20"/>
      <x:c r="K27" s="20"/>
      <x:c r="L27" s="20"/>
      <x:c r="M27" s="20"/>
      <x:c r="N27" s="20"/>
      <x:c r="O27" s="20"/>
      <x:c r="P27" s="20"/>
      <x:c r="Q27" s="20"/>
      <x:c r="R27" s="20"/>
      <x:c r="S27" s="20"/>
    </x:row>
    <x:row r="28" ht="14.25" customHeight="1">
      <x:c r="A28" t="s">
        <x:v>168</x:v>
      </x:c>
      <x:c r="B28" s="20">
        <x:v>3140</x:v>
      </x:c>
      <x:c r="C28" s="20">
        <x:v>5236</x:v>
      </x:c>
      <x:c r="D28" s="20">
        <x:v>7780</x:v>
      </x:c>
      <x:c r="E28" s="20">
        <x:v>15197</x:v>
      </x:c>
      <x:c r="F28" s="20">
        <x:v>5947</x:v>
      </x:c>
      <x:c r="G28" s="20">
        <x:v>10983</x:v>
      </x:c>
      <x:c r="H28" s="20">
        <x:v>16792</x:v>
      </x:c>
      <x:c r="I28" s="20">
        <x:v>19425</x:v>
      </x:c>
      <x:c r="J28" s="20">
        <x:v>2512</x:v>
      </x:c>
      <x:c r="K28" s="20">
        <x:v>5111</x:v>
      </x:c>
      <x:c r="L28" s="20">
        <x:v>8001</x:v>
      </x:c>
      <x:c r="M28" s="20">
        <x:v>9732</x:v>
      </x:c>
      <x:c r="N28" s="20">
        <x:v>4004</x:v>
      </x:c>
      <x:c r="O28" s="20">
        <x:v>8098</x:v>
      </x:c>
      <x:c r="P28" s="20">
        <x:v>9485</x:v>
      </x:c>
      <x:c r="Q28" s="20">
        <x:v>11195</x:v>
      </x:c>
      <x:c r="R28" s="20">
        <x:v>3122</x:v>
      </x:c>
      <x:c r="S28" s="20">
        <x:v>6252</x:v>
      </x:c>
    </x:row>
    <x:row r="29" ht="14.25" customHeight="1">
      <x:c r="A29" t="s">
        <x:v>169</x:v>
      </x:c>
      <x:c r="B29" s="20">
        <x:v>358</x:v>
      </x:c>
      <x:c r="C29" s="20">
        <x:v>705</x:v>
      </x:c>
      <x:c r="D29" s="20">
        <x:v>916</x:v>
      </x:c>
      <x:c r="E29" s="20">
        <x:v>1023</x:v>
      </x:c>
      <x:c r="F29" s="20">
        <x:v>1029</x:v>
      </x:c>
      <x:c r="G29" s="20">
        <x:v>1731</x:v>
      </x:c>
      <x:c r="H29" s="20">
        <x:v>1806</x:v>
      </x:c>
      <x:c r="I29" s="20">
        <x:v>1806</x:v>
      </x:c>
      <x:c r="J29" s="47" t="s">
        <x:v>108</x:v>
      </x:c>
      <x:c r="K29" s="47" t="s">
        <x:v>108</x:v>
      </x:c>
      <x:c r="L29" s="47" t="s">
        <x:v>108</x:v>
      </x:c>
      <x:c r="M29" s="20">
        <x:v>50</x:v>
      </x:c>
      <x:c r="N29" s="20">
        <x:v>149</x:v>
      </x:c>
      <x:c r="O29" s="20">
        <x:v>164</x:v>
      </x:c>
      <x:c r="P29" s="20">
        <x:v>318</x:v>
      </x:c>
      <x:c r="Q29" s="20">
        <x:v>495</x:v>
      </x:c>
      <x:c r="R29" s="20">
        <x:v>467</x:v>
      </x:c>
      <x:c r="S29" s="20">
        <x:v>487</x:v>
      </x:c>
    </x:row>
    <x:row r="30" ht="14.25" customHeight="1">
      <x:c r="A30" t="s">
        <x:v>170</x:v>
      </x:c>
      <x:c r="B30" s="20">
        <x:v>-4470</x:v>
      </x:c>
      <x:c r="C30" s="20">
        <x:v>-9268</x:v>
      </x:c>
      <x:c r="D30" s="20">
        <x:v>-16020</x:v>
      </x:c>
      <x:c r="E30" s="20">
        <x:v>-24787</x:v>
      </x:c>
      <x:c r="F30" s="20">
        <x:v>-3932</x:v>
      </x:c>
      <x:c r="G30" s="20">
        <x:v>-7576</x:v>
      </x:c>
      <x:c r="H30" s="20">
        <x:v>-9764</x:v>
      </x:c>
      <x:c r="I30" s="20">
        <x:v>-11897</x:v>
      </x:c>
      <x:c r="J30" s="20">
        <x:v>-2801</x:v>
      </x:c>
      <x:c r="K30" s="20">
        <x:v>-5343</x:v>
      </x:c>
      <x:c r="L30" s="20">
        <x:v>-10688</x:v>
      </x:c>
      <x:c r="M30" s="20">
        <x:v>-18211</x:v>
      </x:c>
      <x:c r="N30" s="20">
        <x:v>-9303</x:v>
      </x:c>
      <x:c r="O30" s="20">
        <x:v>-15047</x:v>
      </x:c>
      <x:c r="P30" s="20">
        <x:v>-19565</x:v>
      </x:c>
      <x:c r="Q30" s="20">
        <x:v>-26575</x:v>
      </x:c>
      <x:c r="R30" s="20">
        <x:v>-6546</x:v>
      </x:c>
      <x:c r="S30" s="20">
        <x:v>-14358</x:v>
      </x:c>
    </x:row>
    <x:row r="31" ht="14.25" customHeight="1">
      <x:c r="A31" t="s">
        <x:v>171</x:v>
      </x:c>
      <x:c r="B31" s="20">
        <x:v>-298</x:v>
      </x:c>
      <x:c r="C31" s="20">
        <x:v>-481</x:v>
      </x:c>
      <x:c r="D31" s="20">
        <x:v>-703</x:v>
      </x:c>
      <x:c r="E31" s="20">
        <x:v>-976</x:v>
      </x:c>
      <x:c r="F31" s="20">
        <x:v>-361</x:v>
      </x:c>
      <x:c r="G31" s="20">
        <x:v>-794</x:v>
      </x:c>
      <x:c r="H31" s="20">
        <x:v>-1324</x:v>
      </x:c>
      <x:c r="I31" s="20">
        <x:v>-1833</x:v>
      </x:c>
      <x:c r="J31" s="20">
        <x:v>-248</x:v>
      </x:c>
      <x:c r="K31" s="20">
        <x:v>-537</x:v>
      </x:c>
      <x:c r="L31" s="20">
        <x:v>-815</x:v>
      </x:c>
      <x:c r="M31" s="20">
        <x:v>-1069</x:v>
      </x:c>
      <x:c r="N31" s="20">
        <x:v>-369</x:v>
      </x:c>
      <x:c r="O31" s="20">
        <x:v>-1346</x:v>
      </x:c>
      <x:c r="P31" s="20">
        <x:v>-2159</x:v>
      </x:c>
      <x:c r="Q31" s="20">
        <x:v>-3236</x:v>
      </x:c>
      <x:c r="R31" s="20">
        <x:v>-1227</x:v>
      </x:c>
      <x:c r="S31" s="20">
        <x:v>-3122</x:v>
      </x:c>
    </x:row>
    <x:row r="32" ht="14.25" customHeight="1">
      <x:c r="A32" t="s">
        <x:v>172</x:v>
      </x:c>
      <x:c r="B32" s="20">
        <x:v>-2</x:v>
      </x:c>
      <x:c r="C32" s="20">
        <x:v>3</x:v>
      </x:c>
      <x:c r="D32" s="20">
        <x:v>-203</x:v>
      </x:c>
      <x:c r="E32" s="20">
        <x:v>-24</x:v>
      </x:c>
      <x:c r="F32" s="20">
        <x:v>-36</x:v>
      </x:c>
      <x:c r="G32" s="20">
        <x:v>-49</x:v>
      </x:c>
      <x:c r="H32" s="20">
        <x:v>-49</x:v>
      </x:c>
      <x:c r="I32" s="20">
        <x:v>-49</x:v>
      </x:c>
      <x:c r="J32" s="20">
        <x:v>-221</x:v>
      </x:c>
      <x:c r="K32" s="20">
        <x:v>-435</x:v>
      </x:c>
      <x:c r="L32" s="20">
        <x:v>-872</x:v>
      </x:c>
      <x:c r="M32" s="20">
        <x:v>-985</x:v>
      </x:c>
      <x:c r="N32" s="20">
        <x:v>-135</x:v>
      </x:c>
      <x:c r="O32" s="20">
        <x:v>-429</x:v>
      </x:c>
      <x:c r="P32" s="20">
        <x:v>-837</x:v>
      </x:c>
      <x:c r="Q32" s="20">
        <x:v>-456</x:v>
      </x:c>
      <x:c r="R32" s="20">
        <x:v>-649</x:v>
      </x:c>
      <x:c r="S32" s="20">
        <x:v>-995</x:v>
      </x:c>
    </x:row>
    <x:row r="33" ht="14.25" customHeight="1">
      <x:c r="A33" t="s">
        <x:v>173</x:v>
      </x:c>
      <x:c r="B33" s="47" t="s">
        <x:v>108</x:v>
      </x:c>
      <x:c r="C33" s="47" t="s">
        <x:v>108</x:v>
      </x:c>
      <x:c r="D33" s="20">
        <x:v>-14</x:v>
      </x:c>
      <x:c r="E33" s="20">
        <x:v>-263</x:v>
      </x:c>
      <x:c r="F33" s="20">
        <x:v>-35</x:v>
      </x:c>
      <x:c r="G33" s="20">
        <x:v>-65</x:v>
      </x:c>
      <x:c r="H33" s="20">
        <x:v>-83</x:v>
      </x:c>
      <x:c r="I33" s="20">
        <x:v>-77</x:v>
      </x:c>
      <x:c r="J33" s="20">
        <x:v>-83</x:v>
      </x:c>
      <x:c r="K33" s="20">
        <x:v>-83</x:v>
      </x:c>
      <x:c r="L33" s="20">
        <x:v>-83</x:v>
      </x:c>
      <x:c r="M33" s="20">
        <x:v>-83</x:v>
      </x:c>
      <x:c r="N33" s="20">
        <x:v>-39</x:v>
      </x:c>
      <x:c r="O33" s="20">
        <x:v>-317</x:v>
      </x:c>
      <x:c r="P33" s="20">
        <x:v>-465</x:v>
      </x:c>
      <x:c r="Q33" s="20">
        <x:v>-1007</x:v>
      </x:c>
      <x:c r="R33" s="20">
        <x:v>-383</x:v>
      </x:c>
      <x:c r="S33" s="20">
        <x:v>-677</x:v>
      </x:c>
    </x:row>
    <x:row r="34" ht="14.25" customHeight="1">
      <x:c r="A34" s="35" t="s">
        <x:v>174</x:v>
      </x:c>
      <x:c r="B34" s="44">
        <x:v>-1272</x:v>
      </x:c>
      <x:c r="C34" s="44">
        <x:v>-3805</x:v>
      </x:c>
      <x:c r="D34" s="44">
        <x:v>-8244</x:v>
      </x:c>
      <x:c r="E34" s="44">
        <x:v>-9830</x:v>
      </x:c>
      <x:c r="F34" s="44">
        <x:v>2612</x:v>
      </x:c>
      <x:c r="G34" s="44">
        <x:v>4230</x:v>
      </x:c>
      <x:c r="H34" s="44">
        <x:v>7378</x:v>
      </x:c>
      <x:c r="I34" s="44">
        <x:v>7375</x:v>
      </x:c>
      <x:c r="J34" s="44">
        <x:v>-841</x:v>
      </x:c>
      <x:c r="K34" s="44">
        <x:v>-1287</x:v>
      </x:c>
      <x:c r="L34" s="44">
        <x:v>-4457</x:v>
      </x:c>
      <x:c r="M34" s="44">
        <x:v>-10566</x:v>
      </x:c>
      <x:c r="N34" s="44">
        <x:v>-5693</x:v>
      </x:c>
      <x:c r="O34" s="44">
        <x:v>-8877</x:v>
      </x:c>
      <x:c r="P34" s="44">
        <x:v>-13223</x:v>
      </x:c>
      <x:c r="Q34" s="44">
        <x:v>-20421</x:v>
      </x:c>
      <x:c r="R34" s="44">
        <x:v>-5216</x:v>
      </x:c>
      <x:c r="S34" s="44">
        <x:v>-12343</x:v>
      </x:c>
    </x:row>
    <x:row r="36" ht="14.25" customHeight="1">
      <x:c r="A36" t="s">
        <x:v>175</x:v>
      </x:c>
      <x:c r="B36" s="20"/>
      <x:c r="C36" s="20"/>
      <x:c r="D36" s="20"/>
      <x:c r="E36" s="20"/>
      <x:c r="F36" s="20"/>
      <x:c r="G36" s="20"/>
      <x:c r="H36" s="20"/>
      <x:c r="I36" s="20"/>
      <x:c r="J36" s="20"/>
      <x:c r="K36" s="20"/>
      <x:c r="L36" s="20"/>
      <x:c r="M36" s="20"/>
      <x:c r="N36" s="20"/>
      <x:c r="O36" s="20"/>
      <x:c r="P36" s="20"/>
      <x:c r="Q36" s="20"/>
      <x:c r="R36" s="20"/>
      <x:c r="S36" s="20"/>
    </x:row>
    <x:row r="37" ht="14.25" customHeight="1">
      <x:c r="A37" t="s">
        <x:v>176</x:v>
      </x:c>
      <x:c r="B37" s="47" t="s">
        <x:v>108</x:v>
      </x:c>
      <x:c r="C37" s="20">
        <x:v>4985</x:v>
      </x:c>
      <x:c r="D37" s="20">
        <x:v>4977</x:v>
      </x:c>
      <x:c r="E37" s="20">
        <x:v>4977</x:v>
      </x:c>
      <x:c r="F37" s="47" t="s">
        <x:v>108</x:v>
      </x:c>
      <x:c r="G37" s="47" t="s">
        <x:v>108</x:v>
      </x:c>
      <x:c r="H37" s="47" t="s">
        <x:v>108</x:v>
      </x:c>
      <x:c r="I37" s="47" t="s">
        <x:v>108</x:v>
      </x:c>
      <x:c r="J37" s="47" t="s">
        <x:v>108</x:v>
      </x:c>
      <x:c r="K37" s="47" t="s">
        <x:v>108</x:v>
      </x:c>
      <x:c r="L37" s="47" t="s">
        <x:v>108</x:v>
      </x:c>
      <x:c r="M37" s="47" t="s">
        <x:v>108</x:v>
      </x:c>
      <x:c r="N37" s="47" t="s">
        <x:v>108</x:v>
      </x:c>
      <x:c r="O37" s="47" t="s">
        <x:v>108</x:v>
      </x:c>
      <x:c r="P37" s="47" t="s">
        <x:v>108</x:v>
      </x:c>
      <x:c r="Q37" s="47" t="s">
        <x:v>108</x:v>
      </x:c>
      <x:c r="R37" s="47" t="s">
        <x:v>108</x:v>
      </x:c>
      <x:c r="S37" s="47" t="s">
        <x:v>108</x:v>
      </x:c>
    </x:row>
    <x:row r="38" ht="14.25" customHeight="1">
      <x:c r="A38" t="s">
        <x:v>177</x:v>
      </x:c>
      <x:c r="B38" s="20">
        <x:v>126</x:v>
      </x:c>
      <x:c r="C38" s="20">
        <x:v>128</x:v>
      </x:c>
      <x:c r="D38" s="20">
        <x:v>277</x:v>
      </x:c>
      <x:c r="E38" s="20">
        <x:v>281</x:v>
      </x:c>
      <x:c r="F38" s="20">
        <x:v>204</x:v>
      </x:c>
      <x:c r="G38" s="20">
        <x:v>205</x:v>
      </x:c>
      <x:c r="H38" s="20">
        <x:v>349</x:v>
      </x:c>
      <x:c r="I38" s="20">
        <x:v>355</x:v>
      </x:c>
      <x:c r="J38" s="20">
        <x:v>246</x:v>
      </x:c>
      <x:c r="K38" s="20">
        <x:v>247</x:v>
      </x:c>
      <x:c r="L38" s="20">
        <x:v>403</x:v>
      </x:c>
      <x:c r="M38" s="20">
        <x:v>403</x:v>
      </x:c>
      <x:c r="N38" s="20">
        <x:v>285</x:v>
      </x:c>
      <x:c r="O38" s="20">
        <x:v>285</x:v>
      </x:c>
      <x:c r="P38" s="20">
        <x:v>489</x:v>
      </x:c>
      <x:c r="Q38" s="20">
        <x:v>490</x:v>
      </x:c>
      <x:c r="R38" s="20">
        <x:v>370</x:v>
      </x:c>
      <x:c r="S38" s="20">
        <x:v>370</x:v>
      </x:c>
    </x:row>
    <x:row r="39" ht="14.25" customHeight="1">
      <x:c r="A39" t="s">
        <x:v>178</x:v>
      </x:c>
      <x:c r="B39" s="47" t="s">
        <x:v>108</x:v>
      </x:c>
      <x:c r="C39" s="47" t="s">
        <x:v>108</x:v>
      </x:c>
      <x:c r="D39" s="47" t="s">
        <x:v>108</x:v>
      </x:c>
      <x:c r="E39" s="47" t="s">
        <x:v>108</x:v>
      </x:c>
      <x:c r="F39" s="20">
        <x:v>-1996</x:v>
      </x:c>
      <x:c r="G39" s="20">
        <x:v>-5341</x:v>
      </x:c>
      <x:c r="H39" s="20">
        <x:v>-8826</x:v>
      </x:c>
      <x:c r="I39" s="20">
        <x:v>-10039</x:v>
      </x:c>
      <x:c r="J39" s="47" t="s">
        <x:v>108</x:v>
      </x:c>
      <x:c r="K39" s="20">
        <x:v>-3067</x:v>
      </x:c>
      <x:c r="L39" s="20">
        <x:v>-6874</x:v>
      </x:c>
      <x:c r="M39" s="20">
        <x:v>-9533</x:v>
      </x:c>
      <x:c r="N39" s="20">
        <x:v>-7740</x:v>
      </x:c>
      <x:c r="O39" s="20">
        <x:v>-14898</x:v>
      </x:c>
      <x:c r="P39" s="20">
        <x:v>-25895</x:v>
      </x:c>
      <x:c r="Q39" s="20">
        <x:v>-33706</x:v>
      </x:c>
      <x:c r="R39" s="20">
        <x:v>-14095</x:v>
      </x:c>
      <x:c r="S39" s="20">
        <x:v>-23815</x:v>
      </x:c>
    </x:row>
    <x:row r="40" ht="14.25" customHeight="1">
      <x:c r="A40" t="s">
        <x:v>179</x:v>
      </x:c>
      <x:c r="B40" s="20">
        <x:v>-477</x:v>
      </x:c>
      <x:c r="C40" s="20">
        <x:v>-843</x:v>
      </x:c>
      <x:c r="D40" s="20">
        <x:v>-1282</x:v>
      </x:c>
      <x:c r="E40" s="20">
        <x:v>-1904</x:v>
      </x:c>
      <x:c r="F40" s="20">
        <x:v>-532</x:v>
      </x:c>
      <x:c r="G40" s="20">
        <x:v>-837</x:v>
      </x:c>
      <x:c r="H40" s="20">
        <x:v>-1131</x:v>
      </x:c>
      <x:c r="I40" s="20">
        <x:v>-1475</x:v>
      </x:c>
      <x:c r="J40" s="20">
        <x:v>-507</x:v>
      </x:c>
      <x:c r="K40" s="20">
        <x:v>-1179</x:v>
      </x:c>
      <x:c r="L40" s="20">
        <x:v>-1942</x:v>
      </x:c>
      <x:c r="M40" s="20">
        <x:v>-2783</x:v>
      </x:c>
      <x:c r="N40" s="20">
        <x:v>-1752</x:v>
      </x:c>
      <x:c r="O40" s="20">
        <x:v>-3389</x:v>
      </x:c>
      <x:c r="P40" s="20">
        <x:v>-5068</x:v>
      </x:c>
      <x:c r="Q40" s="20">
        <x:v>-6930</x:v>
      </x:c>
      <x:c r="R40" s="20">
        <x:v>-1532</x:v>
      </x:c>
      <x:c r="S40" s="20">
        <x:v>-3380</x:v>
      </x:c>
    </x:row>
    <x:row r="41" ht="14.25" customHeight="1">
      <x:c r="A41" t="s">
        <x:v>180</x:v>
      </x:c>
      <x:c r="B41" s="20">
        <x:v>-99</x:v>
      </x:c>
      <x:c r="C41" s="20">
        <x:v>-198</x:v>
      </x:c>
      <x:c r="D41" s="20">
        <x:v>-298</x:v>
      </x:c>
      <x:c r="E41" s="20">
        <x:v>-399</x:v>
      </x:c>
      <x:c r="F41" s="20">
        <x:v>-100</x:v>
      </x:c>
      <x:c r="G41" s="20">
        <x:v>-200</x:v>
      </x:c>
      <x:c r="H41" s="20">
        <x:v>-300</x:v>
      </x:c>
      <x:c r="I41" s="20">
        <x:v>-398</x:v>
      </x:c>
      <x:c r="J41" s="20">
        <x:v>-99</x:v>
      </x:c>
      <x:c r="K41" s="20">
        <x:v>-199</x:v>
      </x:c>
      <x:c r="L41" s="20">
        <x:v>-296</x:v>
      </x:c>
      <x:c r="M41" s="20">
        <x:v>-395</x:v>
      </x:c>
      <x:c r="N41" s="20">
        <x:v>-98</x:v>
      </x:c>
      <x:c r="O41" s="20">
        <x:v>-344</x:v>
      </x:c>
      <x:c r="P41" s="20">
        <x:v>-589</x:v>
      </x:c>
      <x:c r="Q41" s="20">
        <x:v>-834</x:v>
      </x:c>
      <x:c r="R41" s="20">
        <x:v>-244</x:v>
      </x:c>
      <x:c r="S41" s="20">
        <x:v>-488</x:v>
      </x:c>
    </x:row>
    <x:row r="42" ht="14.25" customHeight="1">
      <x:c r="A42" t="s">
        <x:v>181</x:v>
      </x:c>
      <x:c r="B42" s="20">
        <x:v>-19</x:v>
      </x:c>
      <x:c r="C42" s="20">
        <x:v>-40</x:v>
      </x:c>
      <x:c r="D42" s="20">
        <x:v>-62</x:v>
      </x:c>
      <x:c r="E42" s="20"/>
      <x:c r="F42" s="20">
        <x:v>-22</x:v>
      </x:c>
      <x:c r="G42" s="20">
        <x:v>-36</x:v>
      </x:c>
      <x:c r="H42" s="20">
        <x:v>-54</x:v>
      </x:c>
      <x:c r="I42" s="20">
        <x:v>-58</x:v>
      </x:c>
      <x:c r="J42" s="20">
        <x:v>-20</x:v>
      </x:c>
      <x:c r="K42" s="20">
        <x:v>-31</x:v>
      </x:c>
      <x:c r="L42" s="20">
        <x:v>-44</x:v>
      </x:c>
      <x:c r="M42" s="20">
        <x:v>-74</x:v>
      </x:c>
      <x:c r="N42" s="20">
        <x:v>-40</x:v>
      </x:c>
      <x:c r="O42" s="20">
        <x:v>-69</x:v>
      </x:c>
      <x:c r="P42" s="20">
        <x:v>-97</x:v>
      </x:c>
      <x:c r="Q42" s="20">
        <x:v>-129</x:v>
      </x:c>
      <x:c r="R42" s="20">
        <x:v>-52</x:v>
      </x:c>
      <x:c r="S42" s="20">
        <x:v>-73</x:v>
      </x:c>
    </x:row>
    <x:row r="43" ht="14.25" customHeight="1">
      <x:c r="A43" t="s">
        <x:v>182</x:v>
      </x:c>
      <x:c r="B43" s="47" t="s">
        <x:v>108</x:v>
      </x:c>
      <x:c r="C43" s="47" t="s">
        <x:v>108</x:v>
      </x:c>
      <x:c r="D43" s="20">
        <x:v>-1000</x:v>
      </x:c>
      <x:c r="E43" s="20">
        <x:v>-1000</x:v>
      </x:c>
      <x:c r="F43" s="47" t="s">
        <x:v>108</x:v>
      </x:c>
      <x:c r="G43" s="47" t="s">
        <x:v>108</x:v>
      </x:c>
      <x:c r="H43" s="47" t="s">
        <x:v>108</x:v>
      </x:c>
      <x:c r="I43" s="47" t="s">
        <x:v>108</x:v>
      </x:c>
      <x:c r="J43" s="47" t="s">
        <x:v>108</x:v>
      </x:c>
      <x:c r="K43" s="20">
        <x:v>-1250</x:v>
      </x:c>
      <x:c r="L43" s="20">
        <x:v>-1250</x:v>
      </x:c>
      <x:c r="M43" s="20">
        <x:v>-1250</x:v>
      </x:c>
      <x:c r="N43" s="47" t="s">
        <x:v>108</x:v>
      </x:c>
      <x:c r="O43" s="20">
        <x:v>-1250</x:v>
      </x:c>
      <x:c r="P43" s="47" t="s">
        <x:v>108</x:v>
      </x:c>
      <x:c r="Q43" s="20">
        <x:v>-1250</x:v>
      </x:c>
      <x:c r="R43" s="47" t="s">
        <x:v>108</x:v>
      </x:c>
      <x:c r="S43" s="47" t="s">
        <x:v>108</x:v>
      </x:c>
    </x:row>
    <x:row r="44" ht="14.25" customHeight="1">
      <x:c r="A44" t="s">
        <x:v>162</x:v>
      </x:c>
      <x:c r="B44" s="20">
        <x:v>-2</x:v>
      </x:c>
      <x:c r="C44" s="20">
        <x:v>-2</x:v>
      </x:c>
      <x:c r="D44" s="20">
        <x:v>-2</x:v>
      </x:c>
      <x:c r="E44" s="20">
        <x:v>-7</x:v>
      </x:c>
      <x:c r="F44" s="47" t="s">
        <x:v>108</x:v>
      </x:c>
      <x:c r="G44" s="20">
        <x:v>1</x:v>
      </x:c>
      <x:c r="H44" s="20">
        <x:v>1</x:v>
      </x:c>
      <x:c r="I44" s="20">
        <x:v>-2</x:v>
      </x:c>
      <x:c r="J44" s="47" t="s">
        <x:v>108</x:v>
      </x:c>
      <x:c r="K44" s="47" t="s">
        <x:v>108</x:v>
      </x:c>
      <x:c r="L44" s="20">
        <x:v>-1</x:v>
      </x:c>
      <x:c r="M44" s="20">
        <x:v>-1</x:v>
      </x:c>
      <x:c r="N44" s="47" t="s">
        <x:v>108</x:v>
      </x:c>
      <x:c r="O44" s="47" t="s">
        <x:v>108</x:v>
      </x:c>
      <x:c r="P44" s="47" t="s">
        <x:v>108</x:v>
      </x:c>
      <x:c r="Q44" s="47" t="s">
        <x:v>108</x:v>
      </x:c>
      <x:c r="R44" s="47" t="s">
        <x:v>108</x:v>
      </x:c>
      <x:c r="S44" s="47" t="s">
        <x:v>108</x:v>
      </x:c>
    </x:row>
    <x:row r="45" ht="14.25" customHeight="1">
      <x:c r="A45" s="35" t="s">
        <x:v>183</x:v>
      </x:c>
      <x:c r="B45" s="44">
        <x:v>-471</x:v>
      </x:c>
      <x:c r="C45" s="44">
        <x:v>4030</x:v>
      </x:c>
      <x:c r="D45" s="44">
        <x:v>2610</x:v>
      </x:c>
      <x:c r="E45" s="44">
        <x:v>1865</x:v>
      </x:c>
      <x:c r="F45" s="44">
        <x:v>-2446</x:v>
      </x:c>
      <x:c r="G45" s="44">
        <x:v>-6208</x:v>
      </x:c>
      <x:c r="H45" s="44">
        <x:v>-9961</x:v>
      </x:c>
      <x:c r="I45" s="44">
        <x:v>-11617</x:v>
      </x:c>
      <x:c r="J45" s="44">
        <x:v>-380</x:v>
      </x:c>
      <x:c r="K45" s="44">
        <x:v>-5479</x:v>
      </x:c>
      <x:c r="L45" s="44">
        <x:v>-10004</x:v>
      </x:c>
      <x:c r="M45" s="44">
        <x:v>-13633</x:v>
      </x:c>
      <x:c r="N45" s="44">
        <x:v>-9345</x:v>
      </x:c>
      <x:c r="O45" s="44">
        <x:v>-19665</x:v>
      </x:c>
      <x:c r="P45" s="44">
        <x:v>-32410</x:v>
      </x:c>
      <x:c r="Q45" s="44">
        <x:v>-42359</x:v>
      </x:c>
      <x:c r="R45" s="44">
        <x:v>-15553</x:v>
      </x:c>
      <x:c r="S45" s="44">
        <x:v>-27386</x:v>
      </x:c>
    </x:row>
    <x:row r="47" ht="14.25" customHeight="1">
      <x:c r="A47" t="s">
        <x:v>184</x:v>
      </x:c>
      <x:c r="B47" s="20">
        <x:v>131</x:v>
      </x:c>
      <x:c r="C47" s="20">
        <x:v>4781</x:v>
      </x:c>
      <x:c r="D47" s="20">
        <x:v>441</x:v>
      </x:c>
      <x:c r="E47" s="20">
        <x:v>1143</x:v>
      </x:c>
      <x:c r="F47" s="20">
        <x:v>1897</x:v>
      </x:c>
      <x:c r="G47" s="20">
        <x:v>1023</x:v>
      </x:c>
      <x:c r="H47" s="20">
        <x:v>810</x:v>
      </x:c>
      <x:c r="I47" s="20">
        <x:v>1399</x:v>
      </x:c>
      <x:c r="J47" s="20">
        <x:v>1690</x:v>
      </x:c>
      <x:c r="K47" s="20">
        <x:v>2493</x:v>
      </x:c>
      <x:c r="L47" s="20">
        <x:v>2130</x:v>
      </x:c>
      <x:c r="M47" s="20">
        <x:v>3891</x:v>
      </x:c>
      <x:c r="N47" s="20">
        <x:v>307</x:v>
      </x:c>
      <x:c r="O47" s="20">
        <x:v>1291</x:v>
      </x:c>
      <x:c r="P47" s="20">
        <x:v>1827</x:v>
      </x:c>
      <x:c r="Q47" s="20">
        <x:v>1309</x:v>
      </x:c>
      <x:c r="R47" s="20">
        <x:v>6645</x:v>
      </x:c>
      <x:c r="S47" s="20">
        <x:v>3050</x:v>
      </x:c>
    </x:row>
    <x:row r="48" ht="14.25" customHeight="1">
      <x:c r="A48" t="s">
        <x:v>185</x:v>
      </x:c>
      <x:c r="B48" s="20">
        <x:v>847</x:v>
      </x:c>
      <x:c r="C48" s="20">
        <x:v>847</x:v>
      </x:c>
      <x:c r="D48" s="20">
        <x:v>847</x:v>
      </x:c>
      <x:c r="E48" s="20">
        <x:v>847</x:v>
      </x:c>
      <x:c r="F48" s="20">
        <x:v>1990</x:v>
      </x:c>
      <x:c r="G48" s="20">
        <x:v>1990</x:v>
      </x:c>
      <x:c r="H48" s="20">
        <x:v>1990</x:v>
      </x:c>
      <x:c r="I48" s="20">
        <x:v>1990</x:v>
      </x:c>
      <x:c r="J48" s="20">
        <x:v>3389</x:v>
      </x:c>
      <x:c r="K48" s="20">
        <x:v>3389</x:v>
      </x:c>
      <x:c r="L48" s="20">
        <x:v>3389</x:v>
      </x:c>
      <x:c r="M48" s="20">
        <x:v>3389</x:v>
      </x:c>
      <x:c r="N48" s="20">
        <x:v>7280</x:v>
      </x:c>
      <x:c r="O48" s="20">
        <x:v>7280</x:v>
      </x:c>
      <x:c r="P48" s="20">
        <x:v>7280</x:v>
      </x:c>
      <x:c r="Q48" s="20">
        <x:v>7280</x:v>
      </x:c>
      <x:c r="R48" s="20">
        <x:v>8589</x:v>
      </x:c>
      <x:c r="S48" s="20">
        <x:v>8589</x:v>
      </x:c>
    </x:row>
    <x:row r="49" ht="14.25" customHeight="1">
      <x:c r="A49" s="35" t="s">
        <x:v>186</x:v>
      </x:c>
      <x:c r="B49" s="44">
        <x:v>978</x:v>
      </x:c>
      <x:c r="C49" s="44">
        <x:v>5628</x:v>
      </x:c>
      <x:c r="D49" s="44">
        <x:v>1288</x:v>
      </x:c>
      <x:c r="E49" s="44">
        <x:v>1990</x:v>
      </x:c>
      <x:c r="F49" s="44">
        <x:v>3887</x:v>
      </x:c>
      <x:c r="G49" s="44">
        <x:v>3013</x:v>
      </x:c>
      <x:c r="H49" s="44">
        <x:v>2800</x:v>
      </x:c>
      <x:c r="I49" s="44">
        <x:v>3389</x:v>
      </x:c>
      <x:c r="J49" s="44">
        <x:v>5079</x:v>
      </x:c>
      <x:c r="K49" s="44">
        <x:v>5882</x:v>
      </x:c>
      <x:c r="L49" s="44">
        <x:v>5519</x:v>
      </x:c>
      <x:c r="M49" s="44">
        <x:v>7280</x:v>
      </x:c>
      <x:c r="N49" s="44">
        <x:v>7587</x:v>
      </x:c>
      <x:c r="O49" s="44">
        <x:v>8571</x:v>
      </x:c>
      <x:c r="P49" s="44">
        <x:v>9107</x:v>
      </x:c>
      <x:c r="Q49" s="44">
        <x:v>8589</x:v>
      </x:c>
      <x:c r="R49" s="44">
        <x:v>15234</x:v>
      </x:c>
      <x:c r="S49" s="44">
        <x:v>11639</x:v>
      </x:c>
    </x:row>
    <x:row r="50" ht="14.25" customHeight="1">
      <x:c r="B50" s="20"/>
      <x:c r="C50" s="20"/>
      <x:c r="D50" s="20"/>
      <x:c r="E50" s="20"/>
      <x:c r="F50" s="20"/>
      <x:c r="G50" s="20"/>
      <x:c r="H50" s="20"/>
      <x:c r="I50" s="20"/>
      <x:c r="J50" s="20"/>
      <x:c r="K50" s="20"/>
      <x:c r="L50" s="20"/>
      <x:c r="M50" s="20"/>
      <x:c r="N50" s="20"/>
      <x:c r="O50" s="20"/>
      <x:c r="P50" s="20"/>
      <x:c r="Q50" s="20"/>
      <x:c r="R50" s="20"/>
      <x:c r="S50" s="20"/>
    </x:row>
    <x:row r="51" ht="14.25" customHeight="1">
      <x:c r="A51" s="24" t="s">
        <x:v>187</x:v>
      </x:c>
      <x:c r="B51" s="20"/>
      <x:c r="C51" s="20"/>
      <x:c r="D51" s="20"/>
      <x:c r="E51" s="20"/>
      <x:c r="F51" s="20"/>
      <x:c r="G51" s="20"/>
      <x:c r="H51" s="20"/>
      <x:c r="I51" s="20"/>
      <x:c r="J51" s="20"/>
      <x:c r="K51" s="20"/>
      <x:c r="L51" s="20"/>
      <x:c r="M51" s="20"/>
      <x:c r="N51" s="20"/>
      <x:c r="O51" s="20"/>
      <x:c r="P51" s="20"/>
      <x:c r="Q51" s="20"/>
      <x:c r="R51" s="20"/>
      <x:c r="S51" s="20"/>
    </x:row>
    <x:row r="52" ht="14.25" customHeight="1">
      <x:c r="A52" t="s">
        <x:v>188</x:v>
      </x:c>
      <x:c r="B52" s="47" t="s">
        <x:v>108</x:v>
      </x:c>
      <x:c r="C52" s="20">
        <x:v>241</x:v>
      </x:c>
      <x:c r="D52" s="20">
        <x:v>313</x:v>
      </x:c>
      <x:c r="E52" s="20">
        <x:v>396</x:v>
      </x:c>
      <x:c r="F52" s="47" t="s">
        <x:v>108</x:v>
      </x:c>
      <x:c r="G52" s="20">
        <x:v>1108</x:v>
      </x:c>
      <x:c r="H52" s="20">
        <x:v>1372</x:v>
      </x:c>
      <x:c r="I52" s="20">
        <x:v>1404</x:v>
      </x:c>
      <x:c r="J52" s="47" t="s">
        <x:v>108</x:v>
      </x:c>
      <x:c r="K52" s="20">
        <x:v>328</x:v>
      </x:c>
      <x:c r="L52" s="20">
        <x:v>4676</x:v>
      </x:c>
      <x:c r="M52" s="20">
        <x:v>6549</x:v>
      </x:c>
      <x:c r="N52" s="47" t="s">
        <x:v>108</x:v>
      </x:c>
      <x:c r="O52" s="20">
        <x:v>7449</x:v>
      </x:c>
      <x:c r="P52" s="20">
        <x:v>10989</x:v>
      </x:c>
      <x:c r="Q52" s="20">
        <x:v>15118</x:v>
      </x:c>
      <x:c r="R52" s="47" t="s">
        <x:v>108</x:v>
      </x:c>
      <x:c r="S52" s="20">
        <x:v>8451</x:v>
      </x:c>
    </x:row>
    <x:row r="53" ht="14.25" customHeight="1">
      <x:c r="A53" t="s">
        <x:v>189</x:v>
      </x:c>
      <x:c r="B53" s="47" t="s">
        <x:v>108</x:v>
      </x:c>
      <x:c r="C53" s="47" t="s">
        <x:v>108</x:v>
      </x:c>
      <x:c r="D53" s="47" t="s">
        <x:v>108</x:v>
      </x:c>
      <x:c r="E53" s="20">
        <x:v>246</x:v>
      </x:c>
      <x:c r="F53" s="47" t="s">
        <x:v>108</x:v>
      </x:c>
      <x:c r="G53" s="47" t="s">
        <x:v>108</x:v>
      </x:c>
      <x:c r="H53" s="47" t="s">
        <x:v>108</x:v>
      </x:c>
      <x:c r="I53" s="20">
        <x:v>254</x:v>
      </x:c>
      <x:c r="J53" s="47" t="s">
        <x:v>108</x:v>
      </x:c>
      <x:c r="K53" s="47" t="s">
        <x:v>108</x:v>
      </x:c>
      <x:c r="L53" s="47" t="s">
        <x:v>108</x:v>
      </x:c>
      <x:c r="M53" s="20">
        <x:v>252</x:v>
      </x:c>
      <x:c r="N53" s="47" t="s">
        <x:v>108</x:v>
      </x:c>
      <x:c r="O53" s="47" t="s">
        <x:v>108</x:v>
      </x:c>
      <x:c r="P53" s="47" t="s">
        <x:v>108</x:v>
      </x:c>
      <x:c r="Q53" s="20">
        <x:v>246</x:v>
      </x:c>
      <x:c r="R53" s="47" t="s">
        <x:v>108</x:v>
      </x:c>
      <x:c r="S53" s="47" t="s">
        <x:v>108</x:v>
      </x:c>
    </x:row>
    <x:row r="54" ht="14.25" customHeight="1">
      <x:c r="A54" s="48" t="s">
        <x:v>190</x:v>
      </x:c>
      <x:c r="B54" s="20">
        <x:v>137</x:v>
      </x:c>
      <x:c r="C54" s="20">
        <x:v>138</x:v>
      </x:c>
      <x:c r="D54" s="20">
        <x:v>143</x:v>
      </x:c>
      <x:c r="E54" s="20">
        <x:v>145</x:v>
      </x:c>
      <x:c r="F54" s="20">
        <x:v>155</x:v>
      </x:c>
      <x:c r="G54" s="20">
        <x:v>182</x:v>
      </x:c>
      <x:c r="H54" s="20">
        <x:v>181</x:v>
      </x:c>
      <x:c r="I54" s="20">
        <x:v>181</x:v>
      </x:c>
      <x:c r="J54" s="20">
        <x:v>181</x:v>
      </x:c>
      <x:c r="K54" s="20">
        <x:v>146</x:v>
      </x:c>
      <x:c r="L54" s="20">
        <x:v>144</x:v>
      </x:c>
      <x:c r="M54" s="20">
        <x:v>143</x:v>
      </x:c>
      <x:c r="N54" s="20">
        <x:v>181</x:v>
      </x:c>
      <x:c r="O54" s="20">
        <x:v>181</x:v>
      </x:c>
      <x:c r="P54" s="20">
        <x:v>181</x:v>
      </x:c>
      <x:c r="Q54" s="20">
        <x:v>146</x:v>
      </x:c>
      <x:c r="R54" s="20">
        <x:v>144</x:v>
      </x:c>
      <x:c r="S54" s="20">
        <x:v>143</x:v>
      </x:c>
    </x:row>
    <x:row r="55" ht="14.25" customHeight="1">
      <x:c r="A55" s="49" t="s">
        <x:v>191</x:v>
      </x:c>
      <x:c r="B55" s="20" t="n">
        <x:f>B54</x:f>
        <x:v>137</x:v>
      </x:c>
      <x:c r="C55" s="20" t="n">
        <x:f>C54+B55</x:f>
        <x:v>275</x:v>
      </x:c>
      <x:c r="D55" s="20" t="n">
        <x:f>D54+C55</x:f>
        <x:v>418</x:v>
      </x:c>
      <x:c r="E55" s="20" t="n">
        <x:f>E54+D55</x:f>
        <x:v>563</x:v>
      </x:c>
      <x:c r="F55" s="20" t="n">
        <x:f>F54</x:f>
        <x:v>155</x:v>
      </x:c>
      <x:c r="G55" s="20" t="n">
        <x:f>G54+F55</x:f>
        <x:v>337</x:v>
      </x:c>
      <x:c r="H55" s="20" t="n">
        <x:f>H54+G55</x:f>
        <x:v>518</x:v>
      </x:c>
      <x:c r="I55" s="20" t="n">
        <x:f>I54+H55</x:f>
        <x:v>699</x:v>
      </x:c>
      <x:c r="J55" s="20" t="n">
        <x:f>J54</x:f>
        <x:v>181</x:v>
      </x:c>
      <x:c r="K55" s="20" t="n">
        <x:f>K54+J55</x:f>
        <x:v>327</x:v>
      </x:c>
      <x:c r="L55" s="20" t="n">
        <x:f>L54+K55</x:f>
        <x:v>471</x:v>
      </x:c>
      <x:c r="M55" s="20" t="n">
        <x:f>M54+L55</x:f>
        <x:v>614</x:v>
      </x:c>
      <x:c r="N55" s="20">
        <x:v>795</x:v>
      </x:c>
      <x:c r="O55" s="20">
        <x:v>976</x:v>
      </x:c>
      <x:c r="P55" s="20">
        <x:v>1157</x:v>
      </x:c>
      <x:c r="Q55" s="20">
        <x:v>1303</x:v>
      </x:c>
      <x:c r="R55" s="20">
        <x:v>1447</x:v>
      </x:c>
      <x:c r="S55" s="20">
        <x:v>1590</x:v>
      </x:c>
    </x:row>
  </x:sheetData>
  <x:pageMargins left="0.7" right="0.7" top="0.75" bottom="0.75" header="0.3" footer="0.3"/>
  <x:tableParts count="1">
    <x:tablePart xmlns:r="http://schemas.openxmlformats.org/officeDocument/2006/relationships" r:id="Ra2042274cba44e0d"/>
  </x:tableParts>
</x:worksheet>
</file>

<file path=xl/worksheets/sheet6.xml><?xml version="1.0" encoding="utf-8"?>
<x:worksheet xmlns:x="http://schemas.openxmlformats.org/spreadsheetml/2006/main">
  <x:sheetViews>
    <x:sheetView showGridLines="0" workbookViewId="0"/>
  </x:sheetViews>
  <x:sheetFormatPr defaultColWidth="8.6640625" defaultRowHeight="14.25"/>
  <x:cols>
    <x:col min="1" max="1" width="41.86328125" customWidth="1"/>
    <x:col min="2" max="2" width="1.265625" customWidth="1"/>
    <x:col min="3" max="3" width="8.59765625" hidden="1" customWidth="0"/>
    <x:col min="4" max="4" width="8.59765625" customWidth="0"/>
    <x:col min="5" max="9" width="8" customWidth="1"/>
    <x:col min="10" max="10" width="8.1328125" customWidth="1"/>
    <x:col min="11" max="12" width="8.265625" customWidth="1"/>
    <x:col min="13" max="14" width="8.1328125" customWidth="1"/>
    <x:col min="15" max="29" width="8.265625" customWidth="1"/>
    <x:col min="30" max="33" width="9.3984375" customWidth="1"/>
  </x:cols>
  <x:sheetData>
    <x:row r="1" ht="9" customHeight="1">
      <x:c r="S1" s="46"/>
    </x:row>
    <x:row r="2" ht="26.25" customHeight="1">
      <x:c r="A2" s="50" t="s">
        <x:v>192</x:v>
      </x:c>
      <x:c r="L2" s="17"/>
      <x:c r="M2" s="17"/>
      <x:c r="N2" s="17"/>
      <x:c r="O2" s="18"/>
      <x:c r="P2" s="18"/>
      <x:c r="Q2" s="18"/>
      <x:c r="R2" s="18"/>
      <x:c r="S2" s="18"/>
    </x:row>
    <x:row r="4" ht="14.25" customHeight="1">
      <x:c r="A4" s="24"/>
      <x:c r="D4" s="156" t="s">
        <x:v>193</x:v>
      </x:c>
      <x:c r="E4" s="156"/>
      <x:c r="F4" s="156"/>
      <x:c r="G4" s="156"/>
      <x:c r="H4" s="156"/>
      <x:c r="I4" s="156"/>
      <x:c r="J4" s="156"/>
      <x:c r="K4" s="156"/>
      <x:c r="L4" s="156"/>
      <x:c r="M4" s="156"/>
      <x:c r="N4" s="156"/>
      <x:c r="O4" s="156"/>
      <x:c r="P4" s="156"/>
      <x:c r="Q4" s="156"/>
      <x:c r="R4" s="156"/>
      <x:c r="S4" s="156"/>
      <x:c r="T4" s="156"/>
      <x:c r="U4" s="156"/>
      <x:c r="V4" s="156"/>
      <x:c r="W4" s="156" t="s">
        <x:v>194</x:v>
      </x:c>
      <x:c r="X4" s="156"/>
      <x:c r="Y4" s="156"/>
      <x:c r="Z4" s="156"/>
      <x:c r="AA4" s="156"/>
      <x:c r="AB4" s="156"/>
      <x:c r="AC4" s="156"/>
      <x:c r="AD4" s="156"/>
      <x:c r="AE4" s="156"/>
      <x:c r="AF4" s="156"/>
    </x:row>
    <x:row r="5" ht="14.25" customHeight="1">
      <x:c r="A5" s="24" t="s">
        <x:v>195</x:v>
      </x:c>
      <x:c r="D5" s="51" t="s">
        <x:v>70</x:v>
      </x:c>
      <x:c r="E5" s="51" t="s">
        <x:v>71</x:v>
      </x:c>
      <x:c r="F5" s="51" t="str">
        <x:f t="shared" ref="F5:AF5" si="0">IF(MID(E5,2,1)="4","Q1 "&amp;RIGHT(E5,4)+1, "Q"&amp;MID(E5,2,1)+1&amp;" "&amp;RIGHT(E5,4))</x:f>
        <x:v>Q2 2022</x:v>
      </x:c>
      <x:c r="G5" s="51" t="str">
        <x:f t="shared" si="0"/>
        <x:v>Q3 2022</x:v>
      </x:c>
      <x:c r="H5" s="51" t="str">
        <x:f t="shared" si="0"/>
        <x:v>Q4 2022</x:v>
      </x:c>
      <x:c r="I5" s="51" t="str">
        <x:f t="shared" si="0"/>
        <x:v>Q1 2023</x:v>
      </x:c>
      <x:c r="J5" s="51" t="str">
        <x:f t="shared" si="0"/>
        <x:v>Q2 2023</x:v>
      </x:c>
      <x:c r="K5" s="51" t="str">
        <x:f t="shared" si="0"/>
        <x:v>Q3 2023</x:v>
      </x:c>
      <x:c r="L5" s="51" t="str">
        <x:f t="shared" si="0"/>
        <x:v>Q4 2023</x:v>
      </x:c>
      <x:c r="M5" s="51" t="str">
        <x:f t="shared" si="0"/>
        <x:v>Q1 2024</x:v>
      </x:c>
      <x:c r="N5" s="51" t="str">
        <x:f t="shared" si="0"/>
        <x:v>Q2 2024</x:v>
      </x:c>
      <x:c r="O5" s="51" t="str">
        <x:f t="shared" si="0"/>
        <x:v>Q3 2024</x:v>
      </x:c>
      <x:c r="P5" s="51" t="str">
        <x:f t="shared" si="0"/>
        <x:v>Q4 2024</x:v>
      </x:c>
      <x:c r="Q5" s="51" t="str">
        <x:f t="shared" si="0"/>
        <x:v>Q1 2025</x:v>
      </x:c>
      <x:c r="R5" s="51" t="str">
        <x:f t="shared" si="0"/>
        <x:v>Q2 2025</x:v>
      </x:c>
      <x:c r="S5" s="51" t="str">
        <x:f t="shared" si="0"/>
        <x:v>Q3 2025</x:v>
      </x:c>
      <x:c r="T5" s="51" t="str">
        <x:f t="shared" si="0"/>
        <x:v>Q4 2025</x:v>
      </x:c>
      <x:c r="U5" s="51" t="str">
        <x:f t="shared" si="0"/>
        <x:v>Q1 2026</x:v>
      </x:c>
      <x:c r="V5" s="51" t="str">
        <x:f t="shared" si="0"/>
        <x:v>Q2 2026</x:v>
      </x:c>
      <x:c r="W5" s="52" t="str">
        <x:f t="shared" si="0"/>
        <x:v>Q3 2026</x:v>
      </x:c>
      <x:c r="X5" s="52" t="str">
        <x:f t="shared" si="0"/>
        <x:v>Q4 2026</x:v>
      </x:c>
      <x:c r="Y5" s="52" t="str">
        <x:f t="shared" si="0"/>
        <x:v>Q1 2027</x:v>
      </x:c>
      <x:c r="Z5" s="52" t="str">
        <x:f t="shared" si="0"/>
        <x:v>Q2 2027</x:v>
      </x:c>
      <x:c r="AA5" s="52" t="str">
        <x:f t="shared" si="0"/>
        <x:v>Q3 2027</x:v>
      </x:c>
      <x:c r="AB5" s="52" t="str">
        <x:f t="shared" si="0"/>
        <x:v>Q4 2027</x:v>
      </x:c>
      <x:c r="AC5" s="52" t="str">
        <x:f t="shared" si="0"/>
        <x:v>Q1 2028</x:v>
      </x:c>
      <x:c r="AD5" s="52" t="str">
        <x:f t="shared" si="0"/>
        <x:v>Q2 2028</x:v>
      </x:c>
      <x:c r="AE5" s="52" t="str">
        <x:f t="shared" si="0"/>
        <x:v>Q3 2028</x:v>
      </x:c>
      <x:c r="AF5" s="52" t="str">
        <x:f t="shared" si="0"/>
        <x:v>Q4 2028</x:v>
      </x:c>
    </x:row>
    <x:row r="6" ht="14.25" customHeight="1">
      <x:c r="A6" s="3" t="s">
        <x:v>196</x:v>
      </x:c>
      <x:c r="E6" s="1"/>
      <x:c r="F6" s="1"/>
      <x:c r="G6" s="1"/>
      <x:c r="H6" s="1"/>
      <x:c r="I6" s="1"/>
      <x:c r="J6" s="1"/>
      <x:c r="K6" s="1"/>
      <x:c r="L6" s="1"/>
      <x:c r="M6" s="1"/>
      <x:c r="N6" s="1"/>
      <x:c r="O6" s="1"/>
      <x:c r="P6" s="1"/>
      <x:c r="W6" s="1"/>
      <x:c r="X6" s="1"/>
      <x:c r="Y6" s="1"/>
      <x:c r="Z6" s="1"/>
      <x:c r="AA6" s="1"/>
      <x:c r="AB6" s="1"/>
      <x:c r="AC6" s="1"/>
      <x:c r="AD6" s="1"/>
    </x:row>
    <x:row r="7" ht="14.25" customHeight="1">
      <x:c r="A7" t="s">
        <x:v>197</x:v>
      </x:c>
      <x:c r="D7" s="18" t="n">
        <x:f>'Balance Sheet'!B13</x:f>
        <x:v>2429</x:v>
      </x:c>
      <x:c r="E7" s="18" t="n">
        <x:f>'Balance Sheet'!C13</x:f>
        <x:v>3024</x:v>
      </x:c>
      <x:c r="F7" s="18" t="n">
        <x:f>'Balance Sheet'!D13</x:f>
        <x:v>3586</x:v>
      </x:c>
      <x:c r="G7" s="18" t="n">
        <x:f>'Balance Sheet'!E13</x:f>
        <x:v>3954</x:v>
      </x:c>
      <x:c r="H7" s="18" t="n">
        <x:f>'Balance Sheet'!F13</x:f>
        <x:v>4650</x:v>
      </x:c>
      <x:c r="I7" s="18" t="n">
        <x:f>'Balance Sheet'!G13</x:f>
        <x:v>5438</x:v>
      </x:c>
      <x:c r="J7" s="18" t="n">
        <x:f>'Balance Sheet'!H13</x:f>
        <x:v>5317</x:v>
      </x:c>
      <x:c r="K7" s="18" t="n">
        <x:f>'Balance Sheet'!I13</x:f>
        <x:v>4908</x:v>
      </x:c>
      <x:c r="L7" s="18" t="n">
        <x:f>'Balance Sheet'!J13</x:f>
        <x:v>3827</x:v>
      </x:c>
      <x:c r="M7" s="18" t="n">
        <x:f>'Balance Sheet'!K13</x:f>
        <x:v>4080</x:v>
      </x:c>
      <x:c r="N7" s="18" t="n">
        <x:f>'Balance Sheet'!L13</x:f>
        <x:v>7066</x:v>
      </x:c>
      <x:c r="O7" s="18" t="n">
        <x:f>'Balance Sheet'!M13</x:f>
        <x:v>8309</x:v>
      </x:c>
      <x:c r="P7" s="18" t="n">
        <x:f>'Balance Sheet'!N13</x:f>
        <x:v>9999</x:v>
      </x:c>
      <x:c r="Q7" s="18" t="n">
        <x:f>'Balance Sheet'!O13</x:f>
        <x:v>12365</x:v>
      </x:c>
      <x:c r="R7" s="18" t="n">
        <x:f>'Balance Sheet'!P13</x:f>
        <x:v>14132</x:v>
      </x:c>
      <x:c r="S7" s="18" t="n">
        <x:f>'Balance Sheet'!Q13</x:f>
        <x:v>17693</x:v>
      </x:c>
      <x:c r="T7" s="18" t="n">
        <x:f>'Balance Sheet'!R13</x:f>
        <x:v>23065</x:v>
      </x:c>
      <x:c r="U7" s="18" t="n">
        <x:f>'Balance Sheet'!S13</x:f>
        <x:v>22132</x:v>
      </x:c>
      <x:c r="V7" s="18" t="n">
        <x:f>'Balance Sheet'!T13</x:f>
        <x:v>27808</x:v>
      </x:c>
      <x:c r="W7" s="53" t="n">
        <x:f>(W20/90)*'DCF Valuation'!X$10</x:f>
        <x:v>25619.09829412488</x:v>
      </x:c>
      <x:c r="X7" s="53" t="n">
        <x:f>(X20/90)*'DCF Valuation'!Y$10</x:f>
        <x:v>27691.161033530432</x:v>
      </x:c>
      <x:c r="Y7" s="53" t="n">
        <x:f>(Y20/90)*'DCF Valuation'!Z$10</x:f>
        <x:v>30221.560231422005</x:v>
      </x:c>
      <x:c r="Z7" s="53" t="n">
        <x:f>(Z20/90)*'DCF Valuation'!AA$10</x:f>
        <x:v>32349.85406411404</x:v>
      </x:c>
      <x:c r="AA7" s="53" t="n">
        <x:f>(AA20/90)*'DCF Valuation'!AB$10</x:f>
        <x:v>31978.51665561842</x:v>
      </x:c>
      <x:c r="AB7" s="53" t="n">
        <x:f>(AB20/90)*'DCF Valuation'!AC$10</x:f>
        <x:v>34506.086616111934</x:v>
      </x:c>
      <x:c r="AC7" s="53" t="n">
        <x:f>(AC20/90)*'DCF Valuation'!AD$10</x:f>
        <x:v>35567.050640385125</x:v>
      </x:c>
      <x:c r="AD7" s="53" t="n">
        <x:f>(AD20/90)*'DCF Valuation'!AE$10</x:f>
        <x:v>36628.014664658316</x:v>
      </x:c>
      <x:c r="AE7" s="53" t="n">
        <x:f>(AE20/90)*'DCF Valuation'!AF$10</x:f>
        <x:v>41521.8005595225</x:v>
      </x:c>
      <x:c r="AF7" s="53" t="n">
        <x:f>(AF20/90)*'DCF Valuation'!AG$10</x:f>
        <x:v>46722.42884758849</x:v>
      </x:c>
    </x:row>
    <x:row r="8" ht="14.25" customHeight="1">
      <x:c r="A8" t="s">
        <x:v>198</x:v>
      </x:c>
      <x:c r="D8" s="18" t="n">
        <x:f>'Balance Sheet'!B14</x:f>
        <x:v>1826</x:v>
      </x:c>
      <x:c r="E8" s="18" t="n">
        <x:f>'Balance Sheet'!C14</x:f>
        <x:v>1992</x:v>
      </x:c>
      <x:c r="F8" s="18" t="n">
        <x:f>'Balance Sheet'!D14</x:f>
        <x:v>2114</x:v>
      </x:c>
      <x:c r="G8" s="18" t="n">
        <x:f>'Balance Sheet'!E14</x:f>
        <x:v>2233</x:v>
      </x:c>
      <x:c r="H8" s="18" t="n">
        <x:f>'Balance Sheet'!F14</x:f>
        <x:v>2605</x:v>
      </x:c>
      <x:c r="I8" s="18" t="n">
        <x:f>'Balance Sheet'!G14</x:f>
        <x:v>3163</x:v>
      </x:c>
      <x:c r="J8" s="18" t="n">
        <x:f>'Balance Sheet'!H14</x:f>
        <x:v>3889</x:v>
      </x:c>
      <x:c r="K8" s="18" t="n">
        <x:f>'Balance Sheet'!I14</x:f>
        <x:v>4454</x:v>
      </x:c>
      <x:c r="L8" s="18" t="n">
        <x:f>'Balance Sheet'!J14</x:f>
        <x:v>5159</x:v>
      </x:c>
      <x:c r="M8" s="18" t="n">
        <x:f>'Balance Sheet'!K14</x:f>
        <x:v>4611</x:v>
      </x:c>
      <x:c r="N8" s="18" t="n">
        <x:f>'Balance Sheet'!L14</x:f>
        <x:v>4319</x:v>
      </x:c>
      <x:c r="O8" s="18" t="n">
        <x:f>'Balance Sheet'!M14</x:f>
        <x:v>4779</x:v>
      </x:c>
      <x:c r="P8" s="18" t="n">
        <x:f>'Balance Sheet'!N14</x:f>
        <x:v>5282</x:v>
      </x:c>
      <x:c r="Q8" s="18" t="n">
        <x:f>'Balance Sheet'!O14</x:f>
        <x:v>5864</x:v>
      </x:c>
      <x:c r="R8" s="18" t="n">
        <x:f>'Balance Sheet'!P14</x:f>
        <x:v>6675</x:v>
      </x:c>
      <x:c r="S8" s="18" t="n">
        <x:f>'Balance Sheet'!Q14</x:f>
        <x:v>7654</x:v>
      </x:c>
      <x:c r="T8" s="18" t="n">
        <x:f>'Balance Sheet'!R14</x:f>
        <x:v>10080</x:v>
      </x:c>
      <x:c r="U8" s="18" t="n">
        <x:f>'Balance Sheet'!S14</x:f>
        <x:v>11333</x:v>
      </x:c>
      <x:c r="V8" s="18" t="n">
        <x:f>'Balance Sheet'!T14</x:f>
        <x:v>14962</x:v>
      </x:c>
      <x:c r="W8" s="53" t="n">
        <x:f>(W21/90)*('DCF Valuation'!X$10-'DCF Valuation'!X$13)</x:f>
        <x:v>12092.975284756769</x:v>
      </x:c>
      <x:c r="X8" s="53" t="n">
        <x:f>(X21/90)*('DCF Valuation'!Y$10-'DCF Valuation'!Y$13)</x:f>
        <x:v>16472.123006408758</x:v>
      </x:c>
      <x:c r="Y8" s="53" t="n">
        <x:f>(Y21/90)*('DCF Valuation'!Z$10-'DCF Valuation'!Z$13)</x:f>
        <x:v>17715.010952000397</x:v>
      </x:c>
      <x:c r="Z8" s="53" t="n">
        <x:f>(Z21/90)*('DCF Valuation'!AA$10-'DCF Valuation'!AA$13)</x:f>
        <x:v>19428.97352193917</x:v>
      </x:c>
      <x:c r="AA8" s="53" t="n">
        <x:f>(AA21/90)*('DCF Valuation'!AB$10-'DCF Valuation'!AB$13)</x:f>
        <x:v>17606.46115635826</x:v>
      </x:c>
      <x:c r="AB8" s="53" t="n">
        <x:f>(AB21/90)*('DCF Valuation'!AC$10-'DCF Valuation'!AC$13)</x:f>
        <x:v>19441.087221455633</x:v>
      </x:c>
      <x:c r="AC8" s="53" t="n">
        <x:f>(AC21/90)*('DCF Valuation'!AD$10-'DCF Valuation'!AD$13)</x:f>
        <x:v>20737.220758545438</x:v>
      </x:c>
      <x:c r="AD8" s="53" t="n">
        <x:f>(AD21/90)*('DCF Valuation'!AE$10-'DCF Valuation'!AE$13)</x:f>
        <x:v>21067.90679866611</x:v>
      </x:c>
      <x:c r="AE8" s="53" t="n">
        <x:f>(AE21/90)*('DCF Valuation'!AF$10-'DCF Valuation'!AF$13)</x:f>
        <x:v>23850.298376575083</x:v>
      </x:c>
      <x:c r="AF8" s="53" t="n">
        <x:f>(AF21/90)*('DCF Valuation'!AG$10-'DCF Valuation'!AG$13)</x:f>
        <x:v>26540.831720508697</x:v>
      </x:c>
    </x:row>
    <x:row r="9" ht="14.25" customHeight="1">
      <x:c r="A9" t="s">
        <x:v>199</x:v>
      </x:c>
      <x:c r="D9" s="18" t="n">
        <x:f>'Balance Sheet'!B15</x:f>
        <x:v>239</x:v>
      </x:c>
      <x:c r="E9" s="18" t="n">
        <x:f>'Balance Sheet'!C15</x:f>
        <x:v>444</x:v>
      </x:c>
      <x:c r="F9" s="18" t="n">
        <x:f>'Balance Sheet'!D15</x:f>
        <x:v>452</x:v>
      </x:c>
      <x:c r="G9" s="18" t="n">
        <x:f>'Balance Sheet'!E15</x:f>
        <x:v>321</x:v>
      </x:c>
      <x:c r="H9" s="18" t="n">
        <x:f>'Balance Sheet'!F15</x:f>
        <x:v>366</x:v>
      </x:c>
      <x:c r="I9" s="18" t="n">
        <x:f>'Balance Sheet'!G15</x:f>
        <x:v>636</x:v>
      </x:c>
      <x:c r="J9" s="18" t="n">
        <x:f>'Balance Sheet'!H15</x:f>
        <x:v>1175</x:v>
      </x:c>
      <x:c r="K9" s="18" t="n">
        <x:f>'Balance Sheet'!I15</x:f>
        <x:v>718</x:v>
      </x:c>
      <x:c r="L9" s="18" t="n">
        <x:f>'Balance Sheet'!J15</x:f>
        <x:v>791</x:v>
      </x:c>
      <x:c r="M9" s="18" t="n">
        <x:f>'Balance Sheet'!K15</x:f>
        <x:v>872</x:v>
      </x:c>
      <x:c r="N9" s="18" t="n">
        <x:f>'Balance Sheet'!L15</x:f>
        <x:v>1389</x:v>
      </x:c>
      <x:c r="O9" s="18" t="n">
        <x:f>'Balance Sheet'!M15</x:f>
        <x:v>1289</x:v>
      </x:c>
      <x:c r="P9" s="18" t="n">
        <x:f>'Balance Sheet'!N15</x:f>
        <x:v>3080</x:v>
      </x:c>
      <x:c r="Q9" s="18" t="n">
        <x:f>'Balance Sheet'!O15</x:f>
        <x:v>4062</x:v>
      </x:c>
      <x:c r="R9" s="18" t="n">
        <x:f>'Balance Sheet'!P15</x:f>
        <x:v>4026</x:v>
      </x:c>
      <x:c r="S9" s="18" t="n">
        <x:f>'Balance Sheet'!Q15</x:f>
        <x:v>3806</x:v>
      </x:c>
      <x:c r="T9" s="18" t="n">
        <x:f>'Balance Sheet'!R15</x:f>
        <x:v>3771</x:v>
      </x:c>
      <x:c r="U9" s="18" t="n">
        <x:f>'Balance Sheet'!S15</x:f>
        <x:v>2779</x:v>
      </x:c>
      <x:c r="V9" s="18" t="n">
        <x:f>'Balance Sheet'!T15</x:f>
        <x:v>2658</x:v>
      </x:c>
      <x:c r="W9" s="53" t="n">
        <x:f>W22*'DCF Valuation'!X$10</x:f>
        <x:v>4549.054105625335</x:v>
      </x:c>
      <x:c r="X9" s="53" t="n">
        <x:f>X22*'DCF Valuation'!Y$10</x:f>
        <x:v>4916.979838357612</x:v>
      </x:c>
      <x:c r="Y9" s="53" t="n">
        <x:f>Y22*'DCF Valuation'!Z$10</x:f>
        <x:v>5366.290064966151</x:v>
      </x:c>
      <x:c r="Z9" s="53" t="n">
        <x:f>Z22*'DCF Valuation'!AA$10</x:f>
        <x:v>5744.20046940084</x:v>
      </x:c>
      <x:c r="AA9" s="53" t="n">
        <x:f>AA22*'DCF Valuation'!AB$10</x:f>
        <x:v>5678.263958158496</x:v>
      </x:c>
      <x:c r="AB9" s="53" t="n">
        <x:f>AB22*'DCF Valuation'!AC$10</x:f>
        <x:v>6127.071811348048</x:v>
      </x:c>
      <x:c r="AC9" s="53" t="n">
        <x:f>AC22*'DCF Valuation'!AD$10</x:f>
        <x:v>6315.461843469028</x:v>
      </x:c>
      <x:c r="AD9" s="53" t="n">
        <x:f>AD22*'DCF Valuation'!AE$10</x:f>
        <x:v>6503.851875590009</x:v>
      </x:c>
      <x:c r="AE9" s="53" t="n">
        <x:f>AE22*'DCF Valuation'!AF$10</x:f>
        <x:v>7372.816761141367</x:v>
      </x:c>
      <x:c r="AF9" s="53" t="n">
        <x:f>AF22*'DCF Valuation'!AG$10</x:f>
        <x:v>8296.26610327076</x:v>
      </x:c>
    </x:row>
    <x:row r="10" ht="14.25" customHeight="1">
      <x:c r="A10" s="35" t="s">
        <x:v>129</x:v>
      </x:c>
      <x:c r="B10" s="46"/>
      <x:c r="C10" s="46"/>
      <x:c r="D10" s="37" t="n">
        <x:f t="shared" ref="D10:AF10" si="1">D7+D8+D9</x:f>
        <x:v>4494</x:v>
      </x:c>
      <x:c r="E10" s="37">
        <x:f t="shared" si="1"/>
        <x:v>5460</x:v>
      </x:c>
      <x:c r="F10" s="37">
        <x:f t="shared" si="1"/>
        <x:v>6152</x:v>
      </x:c>
      <x:c r="G10" s="37">
        <x:f t="shared" si="1"/>
        <x:v>6508</x:v>
      </x:c>
      <x:c r="H10" s="37">
        <x:f t="shared" si="1"/>
        <x:v>7621</x:v>
      </x:c>
      <x:c r="I10" s="37">
        <x:f t="shared" si="1"/>
        <x:v>9237</x:v>
      </x:c>
      <x:c r="J10" s="37">
        <x:f t="shared" si="1"/>
        <x:v>10381</x:v>
      </x:c>
      <x:c r="K10" s="37">
        <x:f t="shared" si="1"/>
        <x:v>10080</x:v>
      </x:c>
      <x:c r="L10" s="37">
        <x:f t="shared" si="1"/>
        <x:v>9777</x:v>
      </x:c>
      <x:c r="M10" s="37">
        <x:f t="shared" si="1"/>
        <x:v>9563</x:v>
      </x:c>
      <x:c r="N10" s="37">
        <x:f t="shared" si="1"/>
        <x:v>12774</x:v>
      </x:c>
      <x:c r="O10" s="37">
        <x:f t="shared" si="1"/>
        <x:v>14377</x:v>
      </x:c>
      <x:c r="P10" s="37">
        <x:f t="shared" si="1"/>
        <x:v>18361</x:v>
      </x:c>
      <x:c r="Q10" s="37">
        <x:f t="shared" si="1"/>
        <x:v>22291</x:v>
      </x:c>
      <x:c r="R10" s="37">
        <x:f t="shared" si="1"/>
        <x:v>24833</x:v>
      </x:c>
      <x:c r="S10" s="37">
        <x:f t="shared" si="1"/>
        <x:v>29153</x:v>
      </x:c>
      <x:c r="T10" s="37">
        <x:f t="shared" si="1"/>
        <x:v>36916</x:v>
      </x:c>
      <x:c r="U10" s="37">
        <x:f t="shared" si="1"/>
        <x:v>36244</x:v>
      </x:c>
      <x:c r="V10" s="37">
        <x:f t="shared" si="1"/>
        <x:v>45428</x:v>
      </x:c>
      <x:c r="W10" s="54">
        <x:f t="shared" si="1"/>
        <x:v>42261.127684506988</x:v>
      </x:c>
      <x:c r="X10" s="54">
        <x:f t="shared" si="1"/>
        <x:v>49080.263878296799</x:v>
      </x:c>
      <x:c r="Y10" s="54">
        <x:f t="shared" si="1"/>
        <x:v>53302.861248388559</x:v>
      </x:c>
      <x:c r="Z10" s="54">
        <x:f t="shared" si="1"/>
        <x:v>57523.028055454051</x:v>
      </x:c>
      <x:c r="AA10" s="54">
        <x:f t="shared" si="1"/>
        <x:v>55263.241770135173</x:v>
      </x:c>
      <x:c r="AB10" s="54">
        <x:f t="shared" si="1"/>
        <x:v>60074.24564891561</x:v>
      </x:c>
      <x:c r="AC10" s="54">
        <x:f t="shared" si="1"/>
        <x:v>62619.73324239959</x:v>
      </x:c>
      <x:c r="AD10" s="54">
        <x:f t="shared" si="1"/>
        <x:v>64199.773338914434</x:v>
      </x:c>
      <x:c r="AE10" s="54">
        <x:f t="shared" si="1"/>
        <x:v>72744.915697238946</x:v>
      </x:c>
      <x:c r="AF10" s="54">
        <x:f t="shared" si="1"/>
        <x:v>81559.526671367945</x:v>
      </x:c>
    </x:row>
    <x:row r="11" ht="14.25" customHeight="1">
      <x:c r="E11" s="18"/>
      <x:c r="F11" s="18"/>
      <x:c r="G11" s="18"/>
      <x:c r="H11" s="18"/>
      <x:c r="I11" s="18"/>
      <x:c r="J11" s="18"/>
      <x:c r="K11" s="18"/>
      <x:c r="L11" s="18"/>
      <x:c r="M11" s="18"/>
      <x:c r="N11" s="18"/>
      <x:c r="O11" s="18"/>
      <x:c r="P11" s="18"/>
      <x:c r="W11" s="18"/>
      <x:c r="X11" s="18"/>
      <x:c r="Y11" s="18"/>
      <x:c r="Z11" s="18"/>
      <x:c r="AA11" s="18"/>
      <x:c r="AB11" s="18"/>
      <x:c r="AC11" s="18"/>
      <x:c r="AD11" s="18"/>
      <x:c r="AE11" s="18"/>
      <x:c r="AF11" s="18"/>
    </x:row>
    <x:row r="12" ht="14.25" customHeight="1">
      <x:c r="A12" s="3" t="s">
        <x:v>200</x:v>
      </x:c>
      <x:c r="E12" s="18"/>
      <x:c r="F12" s="18"/>
      <x:c r="G12" s="18"/>
      <x:c r="H12" s="18"/>
      <x:c r="I12" s="18"/>
      <x:c r="J12" s="18"/>
      <x:c r="K12" s="18"/>
      <x:c r="L12" s="18"/>
      <x:c r="M12" s="18"/>
      <x:c r="N12" s="18"/>
      <x:c r="O12" s="18"/>
      <x:c r="P12" s="18"/>
      <x:c r="W12" s="18"/>
      <x:c r="X12" s="18"/>
      <x:c r="Y12" s="18"/>
      <x:c r="Z12" s="18"/>
      <x:c r="AA12" s="18"/>
      <x:c r="AB12" s="18"/>
      <x:c r="AC12" s="18"/>
      <x:c r="AD12" s="18"/>
      <x:c r="AE12" s="18"/>
      <x:c r="AF12" s="18"/>
    </x:row>
    <x:row r="13" ht="14.25" customHeight="1">
      <x:c r="A13" t="s">
        <x:v>201</x:v>
      </x:c>
      <x:c r="D13" s="18" t="n">
        <x:f>'Balance Sheet'!B27</x:f>
        <x:v>1201</x:v>
      </x:c>
      <x:c r="E13" s="18" t="n">
        <x:f>'Balance Sheet'!C27</x:f>
        <x:v>1218</x:v>
      </x:c>
      <x:c r="F13" s="18" t="n">
        <x:f>'Balance Sheet'!D27</x:f>
        <x:v>1474</x:v>
      </x:c>
      <x:c r="G13" s="18" t="n">
        <x:f>'Balance Sheet'!E27</x:f>
        <x:v>1664</x:v>
      </x:c>
      <x:c r="H13" s="18" t="n">
        <x:f>'Balance Sheet'!F27</x:f>
        <x:v>1783</x:v>
      </x:c>
      <x:c r="I13" s="18" t="n">
        <x:f>'Balance Sheet'!G27</x:f>
        <x:v>1999</x:v>
      </x:c>
      <x:c r="J13" s="18" t="n">
        <x:f>'Balance Sheet'!H27</x:f>
        <x:v>2421</x:v>
      </x:c>
      <x:c r="K13" s="18" t="n">
        <x:f>'Balance Sheet'!I27</x:f>
        <x:v>1491</x:v>
      </x:c>
      <x:c r="L13" s="18" t="n">
        <x:f>'Balance Sheet'!J27</x:f>
        <x:v>1193</x:v>
      </x:c>
      <x:c r="M13" s="18" t="n">
        <x:f>'Balance Sheet'!K27</x:f>
        <x:v>1141</x:v>
      </x:c>
      <x:c r="N13" s="18" t="n">
        <x:f>'Balance Sheet'!L27</x:f>
        <x:v>1929</x:v>
      </x:c>
      <x:c r="O13" s="18" t="n">
        <x:f>'Balance Sheet'!M27</x:f>
        <x:v>2380</x:v>
      </x:c>
      <x:c r="P13" s="18" t="n">
        <x:f>'Balance Sheet'!N27</x:f>
        <x:v>2699</x:v>
      </x:c>
      <x:c r="Q13" s="18" t="n">
        <x:f>'Balance Sheet'!O27</x:f>
        <x:v>2715</x:v>
      </x:c>
      <x:c r="R13" s="18" t="n">
        <x:f>'Balance Sheet'!P27</x:f>
        <x:v>3680</x:v>
      </x:c>
      <x:c r="S13" s="18" t="n">
        <x:f>'Balance Sheet'!Q27</x:f>
        <x:v>5353</x:v>
      </x:c>
      <x:c r="T13" s="18" t="n">
        <x:f>'Balance Sheet'!R27</x:f>
        <x:v>6310</x:v>
      </x:c>
      <x:c r="U13" s="18" t="n">
        <x:f>'Balance Sheet'!S27</x:f>
        <x:v>7331</x:v>
      </x:c>
      <x:c r="V13" s="18" t="n">
        <x:f>'Balance Sheet'!T27</x:f>
        <x:v>9064</x:v>
      </x:c>
      <x:c r="W13" s="53" t="n">
        <x:f>(W23/90)*('DCF Valuation'!X$10-'DCF Valuation'!X$13)</x:f>
        <x:v>6033.834507018133</x:v>
      </x:c>
      <x:c r="X13" s="53" t="n">
        <x:f>(X23/90)*('DCF Valuation'!Y$10-'DCF Valuation'!Y$13)</x:f>
        <x:v>8218.82637312572</x:v>
      </x:c>
      <x:c r="Y13" s="53" t="n">
        <x:f>(Y23/90)*('DCF Valuation'!Z$10-'DCF Valuation'!Z$13)</x:f>
        <x:v>8838.96988602289</x:v>
      </x:c>
      <x:c r="Z13" s="53" t="n">
        <x:f>(Z23/90)*('DCF Valuation'!AA$10-'DCF Valuation'!AA$13)</x:f>
        <x:v>9694.15781576834</x:v>
      </x:c>
      <x:c r="AA13" s="53" t="n">
        <x:f>(AA23/90)*('DCF Valuation'!AB$10-'DCF Valuation'!AB$13)</x:f>
        <x:v>8784.808566144819</x:v>
      </x:c>
      <x:c r="AB13" s="53" t="n">
        <x:f>(AB23/90)*('DCF Valuation'!AC$10-'DCF Valuation'!AC$13)</x:f>
        <x:v>9700.20199070701</x:v>
      </x:c>
      <x:c r="AC13" s="53" t="n">
        <x:f>(AC23/90)*('DCF Valuation'!AD$10-'DCF Valuation'!AD$13)</x:f>
        <x:v>10346.9125873667</x:v>
      </x:c>
      <x:c r="AD13" s="53" t="n">
        <x:f>(AD23/90)*('DCF Valuation'!AE$10-'DCF Valuation'!AE$13)</x:f>
        <x:v>10511.909603641461</x:v>
      </x:c>
      <x:c r="AE13" s="53" t="n">
        <x:f>(AE23/90)*('DCF Valuation'!AF$10-'DCF Valuation'!AF$13)</x:f>
        <x:v>11900.194117543158</x:v>
      </x:c>
      <x:c r="AF13" s="53" t="n">
        <x:f>(AF23/90)*('DCF Valuation'!AG$10-'DCF Valuation'!AG$13)</x:f>
        <x:v>13242.645627666794</x:v>
      </x:c>
    </x:row>
    <x:row r="14" ht="14.25" customHeight="1">
      <x:c r="A14" t="s">
        <x:v>202</x:v>
      </x:c>
      <x:c r="D14" s="18" t="n">
        <x:f>'Balance Sheet'!B28</x:f>
        <x:v>1725</x:v>
      </x:c>
      <x:c r="E14" s="18" t="n">
        <x:f>'Balance Sheet'!C28</x:f>
        <x:v>1787</x:v>
      </x:c>
      <x:c r="F14" s="18" t="n">
        <x:f>'Balance Sheet'!D28</x:f>
        <x:v>1974</x:v>
      </x:c>
      <x:c r="G14" s="18" t="n">
        <x:f>'Balance Sheet'!E28</x:f>
        <x:v>1948</x:v>
      </x:c>
      <x:c r="H14" s="18" t="n">
        <x:f>'Balance Sheet'!F28</x:f>
        <x:v>2552</x:v>
      </x:c>
      <x:c r="I14" s="18" t="n">
        <x:f>'Balance Sheet'!G28</x:f>
        <x:v>3563</x:v>
      </x:c>
      <x:c r="J14" s="18" t="n">
        <x:f>'Balance Sheet'!H28</x:f>
        <x:v>3903</x:v>
      </x:c>
      <x:c r="K14" s="18" t="n">
        <x:f>'Balance Sheet'!I28</x:f>
        <x:v>4115</x:v>
      </x:c>
      <x:c r="L14" s="18" t="n">
        <x:f>'Balance Sheet'!J28</x:f>
        <x:v>4120</x:v>
      </x:c>
      <x:c r="M14" s="18" t="n">
        <x:f>'Balance Sheet'!K28</x:f>
        <x:v>4869</x:v>
      </x:c>
      <x:c r="N14" s="18" t="n">
        <x:f>'Balance Sheet'!L28</x:f>
        <x:v>7156</x:v>
      </x:c>
      <x:c r="O14" s="18" t="n">
        <x:f>'Balance Sheet'!M28</x:f>
        <x:v>5472</x:v>
      </x:c>
      <x:c r="P14" s="18" t="n">
        <x:f>'Balance Sheet'!N28</x:f>
        <x:v>6682</x:v>
      </x:c>
      <x:c r="Q14" s="18" t="n">
        <x:f>'Balance Sheet'!O28</x:f>
        <x:v>11258</x:v>
      </x:c>
      <x:c r="R14" s="18" t="n">
        <x:f>'Balance Sheet'!P28</x:f>
        <x:v>10289</x:v>
      </x:c>
      <x:c r="S14" s="18" t="n">
        <x:f>'Balance Sheet'!Q28</x:f>
        <x:v>11126</x:v>
      </x:c>
      <x:c r="T14" s="18" t="n">
        <x:f>'Balance Sheet'!R28</x:f>
        <x:v>11737</x:v>
      </x:c>
      <x:c r="U14" s="18" t="n">
        <x:f>'Balance Sheet'!S28</x:f>
        <x:v>19211</x:v>
      </x:c>
      <x:c r="V14" s="18" t="n">
        <x:f>'Balance Sheet'!T28</x:f>
        <x:v>15193</x:v>
      </x:c>
      <x:c r="W14" s="53" t="n">
        <x:f>W24*('DCF Valuation'!X$13-'DCF Valuation'!X$16)</x:f>
        <x:v>13761.64993978364</x:v>
      </x:c>
      <x:c r="X14" s="53" t="n">
        <x:f>X24*('DCF Valuation'!Y$13-'DCF Valuation'!Y$16)</x:f>
        <x:v>14874.686852542882</x:v>
      </x:c>
      <x:c r="Y14" s="53" t="n">
        <x:f>Y24*('DCF Valuation'!Z$13-'DCF Valuation'!Z$16)</x:f>
        <x:v>16233.925478723524</x:v>
      </x:c>
      <x:c r="Z14" s="53" t="n">
        <x:f>Z24*('DCF Valuation'!AA$13-'DCF Valuation'!AA$16)</x:f>
        <x:v>17377.16769428679</x:v>
      </x:c>
      <x:c r="AA14" s="53" t="n">
        <x:f>AA24*('DCF Valuation'!AB$13-'DCF Valuation'!AB$16)</x:f>
        <x:v>17177.698713505568</x:v>
      </x:c>
      <x:c r="AB14" s="53" t="n">
        <x:f>AB24*('DCF Valuation'!AC$13-'DCF Valuation'!AC$16)</x:f>
        <x:v>18535.417576023112</x:v>
      </x:c>
      <x:c r="AC14" s="53" t="n">
        <x:f>AC24*('DCF Valuation'!AD$13-'DCF Valuation'!AD$16)</x:f>
        <x:v>19105.32894968375</x:v>
      </x:c>
      <x:c r="AD14" s="53" t="n">
        <x:f>AD24*('DCF Valuation'!AE$13-'DCF Valuation'!AE$16)</x:f>
        <x:v>19675.240323344406</x:v>
      </x:c>
      <x:c r="AE14" s="53" t="n">
        <x:f>AE24*('DCF Valuation'!AF$13-'DCF Valuation'!AF$16)</x:f>
        <x:v>22304.004520748487</x:v>
      </x:c>
      <x:c r="AF14" s="53" t="n">
        <x:f>AF24*('DCF Valuation'!AG$13-'DCF Valuation'!AG$16)</x:f>
        <x:v>25097.59331710802</x:v>
      </x:c>
    </x:row>
    <x:row r="15" ht="14.25" customHeight="1">
      <x:c r="A15" s="35" t="s">
        <x:v>142</x:v>
      </x:c>
      <x:c r="B15" s="46"/>
      <x:c r="C15" s="46"/>
      <x:c r="D15" s="37" t="n">
        <x:f t="shared" ref="D15:AF15" si="2">D13+D14</x:f>
        <x:v>2926</x:v>
      </x:c>
      <x:c r="E15" s="37">
        <x:f t="shared" si="2"/>
        <x:v>3005</x:v>
      </x:c>
      <x:c r="F15" s="37">
        <x:f t="shared" si="2"/>
        <x:v>3448</x:v>
      </x:c>
      <x:c r="G15" s="37">
        <x:f t="shared" si="2"/>
        <x:v>3612</x:v>
      </x:c>
      <x:c r="H15" s="37">
        <x:f t="shared" si="2"/>
        <x:v>4335</x:v>
      </x:c>
      <x:c r="I15" s="37">
        <x:f t="shared" si="2"/>
        <x:v>5562</x:v>
      </x:c>
      <x:c r="J15" s="37">
        <x:f t="shared" si="2"/>
        <x:v>6324</x:v>
      </x:c>
      <x:c r="K15" s="37">
        <x:f t="shared" si="2"/>
        <x:v>5606</x:v>
      </x:c>
      <x:c r="L15" s="37">
        <x:f t="shared" si="2"/>
        <x:v>5313</x:v>
      </x:c>
      <x:c r="M15" s="37">
        <x:f t="shared" si="2"/>
        <x:v>6010</x:v>
      </x:c>
      <x:c r="N15" s="37">
        <x:f t="shared" si="2"/>
        <x:v>9085</x:v>
      </x:c>
      <x:c r="O15" s="37">
        <x:f t="shared" si="2"/>
        <x:v>7852</x:v>
      </x:c>
      <x:c r="P15" s="37">
        <x:f t="shared" si="2"/>
        <x:v>9381</x:v>
      </x:c>
      <x:c r="Q15" s="37">
        <x:f t="shared" si="2"/>
        <x:v>13973</x:v>
      </x:c>
      <x:c r="R15" s="37">
        <x:f t="shared" si="2"/>
        <x:v>13969</x:v>
      </x:c>
      <x:c r="S15" s="37">
        <x:f t="shared" si="2"/>
        <x:v>16479</x:v>
      </x:c>
      <x:c r="T15" s="37">
        <x:f t="shared" si="2"/>
        <x:v>18047</x:v>
      </x:c>
      <x:c r="U15" s="37">
        <x:f t="shared" si="2"/>
        <x:v>26542</x:v>
      </x:c>
      <x:c r="V15" s="37">
        <x:f t="shared" si="2"/>
        <x:v>24257</x:v>
      </x:c>
      <x:c r="W15" s="54">
        <x:f t="shared" si="2"/>
        <x:v>19795.484446801773</x:v>
      </x:c>
      <x:c r="X15" s="54">
        <x:f t="shared" si="2"/>
        <x:v>23093.513225668601</x:v>
      </x:c>
      <x:c r="Y15" s="54">
        <x:f t="shared" si="2"/>
        <x:v>25072.895364746415</x:v>
      </x:c>
      <x:c r="Z15" s="54">
        <x:f t="shared" si="2"/>
        <x:v>27071.325510055129</x:v>
      </x:c>
      <x:c r="AA15" s="54">
        <x:f t="shared" si="2"/>
        <x:v>25962.507279650388</x:v>
      </x:c>
      <x:c r="AB15" s="54">
        <x:f t="shared" si="2"/>
        <x:v>28235.619566730122</x:v>
      </x:c>
      <x:c r="AC15" s="54">
        <x:f t="shared" si="2"/>
        <x:v>29452.24153705045</x:v>
      </x:c>
      <x:c r="AD15" s="54">
        <x:f t="shared" si="2"/>
        <x:v>30187.149926985869</x:v>
      </x:c>
      <x:c r="AE15" s="54">
        <x:f t="shared" si="2"/>
        <x:v>34204.198638291644</x:v>
      </x:c>
      <x:c r="AF15" s="54">
        <x:f t="shared" si="2"/>
        <x:v>38340.238944774814</x:v>
      </x:c>
    </x:row>
    <x:row r="16" ht="14.25" customHeight="1">
      <x:c r="D16" s="18"/>
      <x:c r="E16" s="18"/>
      <x:c r="F16" s="18"/>
      <x:c r="G16" s="18"/>
      <x:c r="H16" s="18"/>
      <x:c r="I16" s="18"/>
      <x:c r="J16" s="18"/>
      <x:c r="K16" s="18"/>
      <x:c r="L16" s="18"/>
      <x:c r="M16" s="18"/>
      <x:c r="N16" s="18"/>
      <x:c r="O16" s="18"/>
      <x:c r="P16" s="18"/>
      <x:c r="T16" s="20"/>
      <x:c r="W16" s="18"/>
      <x:c r="X16" s="18"/>
      <x:c r="Y16" s="18"/>
      <x:c r="Z16" s="18"/>
      <x:c r="AA16" s="18"/>
      <x:c r="AB16" s="18"/>
      <x:c r="AC16" s="18"/>
      <x:c r="AD16" s="18"/>
      <x:c r="AE16" s="18"/>
      <x:c r="AF16" s="18"/>
    </x:row>
    <x:row r="17" ht="14.25" customHeight="1">
      <x:c r="A17" s="35" t="s">
        <x:v>203</x:v>
      </x:c>
      <x:c r="B17" s="46"/>
      <x:c r="C17" s="46"/>
      <x:c r="D17" s="37" t="n">
        <x:f t="shared" ref="D17:AF17" si="3">D10-D15</x:f>
        <x:v>1568</x:v>
      </x:c>
      <x:c r="E17" s="37">
        <x:f t="shared" si="3"/>
        <x:v>2455</x:v>
      </x:c>
      <x:c r="F17" s="37">
        <x:f t="shared" si="3"/>
        <x:v>2704</x:v>
      </x:c>
      <x:c r="G17" s="37">
        <x:f t="shared" si="3"/>
        <x:v>2896</x:v>
      </x:c>
      <x:c r="H17" s="37">
        <x:f t="shared" si="3"/>
        <x:v>3286</x:v>
      </x:c>
      <x:c r="I17" s="37">
        <x:f t="shared" si="3"/>
        <x:v>3675</x:v>
      </x:c>
      <x:c r="J17" s="37">
        <x:f t="shared" si="3"/>
        <x:v>4057</x:v>
      </x:c>
      <x:c r="K17" s="37">
        <x:f t="shared" si="3"/>
        <x:v>4474</x:v>
      </x:c>
      <x:c r="L17" s="37">
        <x:f t="shared" si="3"/>
        <x:v>4464</x:v>
      </x:c>
      <x:c r="M17" s="37">
        <x:f t="shared" si="3"/>
        <x:v>3553</x:v>
      </x:c>
      <x:c r="N17" s="37">
        <x:f t="shared" si="3"/>
        <x:v>3689</x:v>
      </x:c>
      <x:c r="O17" s="37">
        <x:f t="shared" si="3"/>
        <x:v>6525</x:v>
      </x:c>
      <x:c r="P17" s="37">
        <x:f t="shared" si="3"/>
        <x:v>8980</x:v>
      </x:c>
      <x:c r="Q17" s="37">
        <x:f t="shared" si="3"/>
        <x:v>8318</x:v>
      </x:c>
      <x:c r="R17" s="37">
        <x:f t="shared" si="3"/>
        <x:v>10864</x:v>
      </x:c>
      <x:c r="S17" s="37">
        <x:f t="shared" si="3"/>
        <x:v>12674</x:v>
      </x:c>
      <x:c r="T17" s="37">
        <x:f t="shared" si="3"/>
        <x:v>18869</x:v>
      </x:c>
      <x:c r="U17" s="37">
        <x:f t="shared" si="3"/>
        <x:v>9702</x:v>
      </x:c>
      <x:c r="V17" s="37">
        <x:f t="shared" si="3"/>
        <x:v>21171</x:v>
      </x:c>
      <x:c r="W17" s="54">
        <x:f t="shared" si="3"/>
        <x:v>22465.643237705215</x:v>
      </x:c>
      <x:c r="X17" s="54">
        <x:f t="shared" si="3"/>
        <x:v>25986.750652628198</x:v>
      </x:c>
      <x:c r="Y17" s="54">
        <x:f t="shared" si="3"/>
        <x:v>28229.965883642144</x:v>
      </x:c>
      <x:c r="Z17" s="54">
        <x:f t="shared" si="3"/>
        <x:v>30451.702545398923</x:v>
      </x:c>
      <x:c r="AA17" s="54">
        <x:f t="shared" si="3"/>
        <x:v>29300.734490484785</x:v>
      </x:c>
      <x:c r="AB17" s="54">
        <x:f t="shared" si="3"/>
        <x:v>31838.626082185488</x:v>
      </x:c>
      <x:c r="AC17" s="54">
        <x:f t="shared" si="3"/>
        <x:v>33167.491705349137</x:v>
      </x:c>
      <x:c r="AD17" s="54">
        <x:f t="shared" si="3"/>
        <x:v>34012.623411928565</x:v>
      </x:c>
      <x:c r="AE17" s="54">
        <x:f t="shared" si="3"/>
        <x:v>38540.717058947303</x:v>
      </x:c>
      <x:c r="AF17" s="54">
        <x:f t="shared" si="3"/>
        <x:v>43219.287726593131</x:v>
      </x:c>
    </x:row>
    <x:row r="18" ht="14.25" customHeight="1">
      <x:c r="A18" s="24" t="s">
        <x:v>204</x:v>
      </x:c>
      <x:c r="E18" s="18" t="n">
        <x:f t="shared" ref="E18:AF18" si="4">E17-D17</x:f>
        <x:v>887</x:v>
      </x:c>
      <x:c r="F18" s="18">
        <x:f t="shared" si="4"/>
        <x:v>249</x:v>
      </x:c>
      <x:c r="G18" s="18">
        <x:f t="shared" si="4"/>
        <x:v>192</x:v>
      </x:c>
      <x:c r="H18" s="18">
        <x:f t="shared" si="4"/>
        <x:v>390</x:v>
      </x:c>
      <x:c r="I18" s="18">
        <x:f t="shared" si="4"/>
        <x:v>389</x:v>
      </x:c>
      <x:c r="J18" s="18">
        <x:f t="shared" si="4"/>
        <x:v>382</x:v>
      </x:c>
      <x:c r="K18" s="18">
        <x:f t="shared" si="4"/>
        <x:v>417</x:v>
      </x:c>
      <x:c r="L18" s="18">
        <x:f t="shared" si="4"/>
        <x:v>-10</x:v>
      </x:c>
      <x:c r="M18" s="18">
        <x:f t="shared" si="4"/>
        <x:v>-911</x:v>
      </x:c>
      <x:c r="N18" s="18">
        <x:f t="shared" si="4"/>
        <x:v>136</x:v>
      </x:c>
      <x:c r="O18" s="18">
        <x:f t="shared" si="4"/>
        <x:v>2836</x:v>
      </x:c>
      <x:c r="P18" s="18">
        <x:f t="shared" si="4"/>
        <x:v>2455</x:v>
      </x:c>
      <x:c r="Q18" s="18">
        <x:f t="shared" si="4"/>
        <x:v>-662</x:v>
      </x:c>
      <x:c r="R18" s="18">
        <x:f t="shared" si="4"/>
        <x:v>2546</x:v>
      </x:c>
      <x:c r="S18" s="18">
        <x:f t="shared" si="4"/>
        <x:v>1810</x:v>
      </x:c>
      <x:c r="T18" s="18">
        <x:f t="shared" si="4"/>
        <x:v>6195</x:v>
      </x:c>
      <x:c r="U18" s="18">
        <x:f t="shared" si="4"/>
        <x:v>-9167</x:v>
      </x:c>
      <x:c r="V18" s="18">
        <x:f t="shared" si="4"/>
        <x:v>11469</x:v>
      </x:c>
      <x:c r="W18" s="53">
        <x:f t="shared" si="4"/>
        <x:v>1294.6432377052151</x:v>
      </x:c>
      <x:c r="X18" s="53">
        <x:f t="shared" si="4"/>
        <x:v>3521.1074149229826</x:v>
      </x:c>
      <x:c r="Y18" s="53">
        <x:f t="shared" si="4"/>
        <x:v>2243.2152310139463</x:v>
      </x:c>
      <x:c r="Z18" s="53">
        <x:f t="shared" si="4"/>
        <x:v>2221.7366617567786</x:v>
      </x:c>
      <x:c r="AA18" s="53">
        <x:f t="shared" si="4"/>
        <x:v>-1150.9680549141376</x:v>
      </x:c>
      <x:c r="AB18" s="53">
        <x:f t="shared" si="4"/>
        <x:v>2537.8915917007034</x:v>
      </x:c>
      <x:c r="AC18" s="53">
        <x:f t="shared" si="4"/>
        <x:v>1328.8656231636487</x:v>
      </x:c>
      <x:c r="AD18" s="53">
        <x:f t="shared" si="4"/>
        <x:v>845.13170657942828</x:v>
      </x:c>
      <x:c r="AE18" s="53">
        <x:f t="shared" si="4"/>
        <x:v>4528.0936470187371</x:v>
      </x:c>
      <x:c r="AF18" s="53">
        <x:f t="shared" si="4"/>
        <x:v>4678.5706676458285</x:v>
      </x:c>
    </x:row>
    <x:row r="19" ht="14.25" customHeight="1">
      <x:c r="E19" s="1"/>
      <x:c r="G19" s="1"/>
      <x:c r="H19" s="1"/>
      <x:c r="I19" s="1"/>
      <x:c r="J19" s="1"/>
      <x:c r="K19" s="1"/>
      <x:c r="L19" s="1"/>
      <x:c r="M19" s="1"/>
      <x:c r="N19" s="1"/>
      <x:c r="O19" s="1"/>
      <x:c r="P19" s="1"/>
      <x:c r="W19" s="1"/>
      <x:c r="X19" s="1"/>
      <x:c r="Y19" s="1"/>
      <x:c r="Z19" s="1"/>
      <x:c r="AA19" s="1"/>
      <x:c r="AB19" s="1"/>
      <x:c r="AC19" s="1"/>
      <x:c r="AD19" s="1"/>
      <x:c r="AE19" s="1"/>
      <x:c r="AF19" s="1"/>
    </x:row>
    <x:row r="20" ht="14.25" customHeight="1">
      <x:c r="A20" t="s">
        <x:v>205</x:v>
      </x:c>
      <x:c r="E20" s="55" t="n">
        <x:f>(AVERAGE(E7,D7)/'DCF Valuation'!F10)*90</x:f>
        <x:v>43.346581875993635</x:v>
      </x:c>
      <x:c r="F20" s="55" t="n">
        <x:f>(AVERAGE(F7,E7)/'DCF Valuation'!G10)*90</x:f>
        <x:v>45.71230982019364</x:v>
      </x:c>
      <x:c r="G20" s="55" t="n">
        <x:f>(AVERAGE(G7,F7)/'DCF Valuation'!H10)*90</x:f>
        <x:v>47.76854850063353</x:v>
      </x:c>
      <x:c r="H20" s="55" t="n">
        <x:f>(AVERAGE(H7,G7)/'DCF Valuation'!I10)*90</x:f>
        <x:v>50.65811853984038</x:v>
      </x:c>
      <x:c r="I20" s="55" t="n">
        <x:f>(AVERAGE(I7,H7)/'DCF Valuation'!J10)*90</x:f>
        <x:v>54.77316602316602</x:v>
      </x:c>
      <x:c r="J20" s="55" t="n">
        <x:f>(AVERAGE(J7,I7)/'DCF Valuation'!K10)*90</x:f>
        <x:v>72.19197494033413</x:v>
      </x:c>
      <x:c r="K20" s="55" t="n">
        <x:f>(AVERAGE(K7,J7)/'DCF Valuation'!L10)*90</x:f>
        <x:v>77.57966616084977</x:v>
      </x:c>
      <x:c r="L20" s="55" t="n">
        <x:f>(AVERAGE(L7,K7)/'DCF Valuation'!M10)*90</x:f>
        <x:v>64.96033713435796</x:v>
      </x:c>
      <x:c r="M20" s="55" t="n">
        <x:f>(AVERAGE(M7,L7)/'DCF Valuation'!N10)*90</x:f>
        <x:v>49.47372080088988</x:v>
      </x:c>
      <x:c r="N20" s="55" t="n">
        <x:f>(AVERAGE(N7,M7)/'DCF Valuation'!O10)*90</x:f>
        <x:v>37.134078625897686</x:v>
      </x:c>
      <x:c r="O20" s="55" t="n">
        <x:f>(AVERAGE(O7,N7)/'DCF Valuation'!P10)*90</x:f>
        <x:v>38.18294701986755</x:v>
      </x:c>
      <x:c r="P20" s="55" t="n">
        <x:f>(AVERAGE(P7,O7)/'DCF Valuation'!Q10)*90</x:f>
        <x:v>37.27367325702394</x:v>
      </x:c>
      <x:c r="Q20" s="55" t="n">
        <x:f>(AVERAGE(Q7,P7)/'DCF Valuation'!X10)*90</x:f>
        <x:v>18.636666666666667</x:v>
      </x:c>
      <x:c r="R20" s="55" t="n">
        <x:f>(AVERAGE(R7,Q7)/'DCF Valuation'!Y10)*90</x:f>
        <x:v>20.428577873563217</x:v>
      </x:c>
      <x:c r="S20" s="55" t="n">
        <x:f>(AVERAGE(S7,R7)/'DCF Valuation'!Z10)*90</x:f>
        <x:v>22.481957609268036</x:v>
      </x:c>
      <x:c r="T20" s="55" t="n">
        <x:f>(AVERAGE(T7,S7)/'DCF Valuation'!AA10)*90</x:f>
        <x:v>26.89819471319406</x:v>
      </x:c>
      <x:c r="U20" s="55" t="n">
        <x:f>(AVERAGE(U7,T7)/'DCF Valuation'!AB10)*90</x:f>
        <x:v>30.174069622772972</x:v>
      </x:c>
      <x:c r="V20" s="55" t="n">
        <x:f>(AVERAGE(V7,U7)/'DCF Valuation'!AC10)*90</x:f>
        <x:v>30.89835963923337</x:v>
      </x:c>
      <x:c r="W20" s="56" t="n">
        <x:f t="shared" ref="W20:AF24" si="5">AVERAGE($E20:$V20)</x:f>
        <x:v>42.6984971568748</x:v>
      </x:c>
      <x:c r="X20" s="56">
        <x:f t="shared" si="5"/>
        <x:v>42.698497156874801</x:v>
      </x:c>
      <x:c r="Y20" s="56">
        <x:f t="shared" si="5"/>
        <x:v>42.698497156874801</x:v>
      </x:c>
      <x:c r="Z20" s="56">
        <x:f t="shared" si="5"/>
        <x:v>42.698497156874801</x:v>
      </x:c>
      <x:c r="AA20" s="56">
        <x:f t="shared" si="5"/>
        <x:v>42.698497156874801</x:v>
      </x:c>
      <x:c r="AB20" s="56">
        <x:f t="shared" si="5"/>
        <x:v>42.698497156874801</x:v>
      </x:c>
      <x:c r="AC20" s="56">
        <x:f t="shared" si="5"/>
        <x:v>42.698497156874801</x:v>
      </x:c>
      <x:c r="AD20" s="56">
        <x:f t="shared" si="5"/>
        <x:v>42.698497156874801</x:v>
      </x:c>
      <x:c r="AE20" s="56">
        <x:f t="shared" si="5"/>
        <x:v>42.698497156874801</x:v>
      </x:c>
      <x:c r="AF20" s="56">
        <x:f t="shared" si="5"/>
        <x:v>42.698497156874801</x:v>
      </x:c>
    </x:row>
    <x:row r="21" ht="14.25" customHeight="1">
      <x:c r="A21" t="s">
        <x:v>206</x:v>
      </x:c>
      <x:c r="E21" s="57" t="n">
        <x:f>(AVERAGE(E8,D8)/('DCF Valuation'!F10-'DCF Valuation'!F13))*90</x:f>
        <x:v>84.55216535433071</x:v>
      </x:c>
      <x:c r="F21" s="57" t="n">
        <x:f>(AVERAGE(F8,E8)/('DCF Valuation'!G10-'DCF Valuation'!G13))*90</x:f>
        <x:v>80.6151832460733</x:v>
      </x:c>
      <x:c r="G21" s="57" t="n">
        <x:f>(AVERAGE(G8,F8)/('DCF Valuation'!H10-'DCF Valuation'!H13))*90</x:f>
        <x:v>79.13228155339806</x:v>
      </x:c>
      <x:c r="H21" s="57" t="n">
        <x:f>(AVERAGE(H8,G8)/('DCF Valuation'!I10-'DCF Valuation'!I13))*90</x:f>
        <x:v>82.37230419977298</x:v>
      </x:c>
      <x:c r="I21" s="57" t="n">
        <x:f>(AVERAGE(I8,H8)/('DCF Valuation'!J10-'DCF Valuation'!J13))*90</x:f>
        <x:v>90.85054252712635</x:v>
      </x:c>
      <x:c r="J21" s="57" t="n">
        <x:f>(AVERAGE(J8,I8)/('DCF Valuation'!K10-'DCF Valuation'!K13))*90</x:f>
        <x:v>83.75296912114014</x:v>
      </x:c>
      <x:c r="K21" s="57" t="n">
        <x:f>(AVERAGE(K8,J8)/('DCF Valuation'!L10-'DCF Valuation'!L13))*90</x:f>
        <x:v>136.3235294117647</x:v>
      </x:c>
      <x:c r="L21" s="57" t="n">
        <x:f>(AVERAGE(L8,K8)/('DCF Valuation'!M10-'DCF Valuation'!M13))*90</x:f>
        <x:v>195.03381424706942</x:v>
      </x:c>
      <x:c r="M21" s="57" t="n">
        <x:f>(AVERAGE(M8,L8)/('DCF Valuation'!N10-'DCF Valuation'!N13))*90</x:f>
        <x:v>172.8183962264151</x:v>
      </x:c>
      <x:c r="N21" s="57" t="n">
        <x:f>(AVERAGE(N8,M8)/('DCF Valuation'!O10-'DCF Valuation'!O13))*90</x:f>
        <x:v>99.34487021013598</x:v>
      </x:c>
      <x:c r="O21" s="57" t="n">
        <x:f>(AVERAGE(O8,N8)/('DCF Valuation'!P10-'DCF Valuation'!P13))*90</x:f>
        <x:v>86.73940677966101</x:v>
      </x:c>
      <x:c r="P21" s="57" t="n">
        <x:f>(AVERAGE(P8,O8)/('DCF Valuation'!Q10-'DCF Valuation'!Q13))*90</x:f>
        <x:v>85.23060993975903</x:v>
      </x:c>
      <x:c r="Q21" s="57" t="n">
        <x:f>(AVERAGE(Q8,P8)/('DCF Valuation'!X10-'DCF Valuation'!X13))*90</x:f>
        <x:v>39.191279887482416</x:v>
      </x:c>
      <x:c r="R21" s="57" t="n">
        <x:f>(AVERAGE(R8,Q8)/('DCF Valuation'!Y10-'DCF Valuation'!Y13))*90</x:f>
        <x:v>32.3680770219782</x:v>
      </x:c>
      <x:c r="S21" s="57" t="n">
        <x:f>(AVERAGE(S8,R8)/('DCF Valuation'!Z10-'DCF Valuation'!Z13))*90</x:f>
        <x:v>34.39363125398791</x:v>
      </x:c>
      <x:c r="T21" s="57" t="n">
        <x:f>(AVERAGE(T8,S8)/('DCF Valuation'!AA10-'DCF Valuation'!AA13))*90</x:f>
        <x:v>38.81149938415071</x:v>
      </x:c>
      <x:c r="U21" s="57" t="n">
        <x:f>(AVERAGE(U8,T8)/('DCF Valuation'!AB10-'DCF Valuation'!AB13))*90</x:f>
        <x:v>51.71410552709739</x:v>
      </x:c>
      <x:c r="V21" s="58" t="n">
        <x:f>(AVERAGE(V8,U8)/('DCF Valuation'!AC10-'DCF Valuation'!AC13))*90</x:f>
        <x:v>57.51169926774113</x:v>
      </x:c>
      <x:c r="W21" s="56">
        <x:f t="shared" si="5"/>
        <x:v>85.042020286615809</x:v>
      </x:c>
      <x:c r="X21" s="56">
        <x:f t="shared" si="5"/>
        <x:v>85.042020286615809</x:v>
      </x:c>
      <x:c r="Y21" s="56">
        <x:f t="shared" si="5"/>
        <x:v>85.042020286615809</x:v>
      </x:c>
      <x:c r="Z21" s="56">
        <x:f t="shared" si="5"/>
        <x:v>85.042020286615809</x:v>
      </x:c>
      <x:c r="AA21" s="56">
        <x:f t="shared" si="5"/>
        <x:v>85.042020286615809</x:v>
      </x:c>
      <x:c r="AB21" s="56">
        <x:f t="shared" si="5"/>
        <x:v>85.042020286615809</x:v>
      </x:c>
      <x:c r="AC21" s="56">
        <x:f t="shared" si="5"/>
        <x:v>85.042020286615809</x:v>
      </x:c>
      <x:c r="AD21" s="56">
        <x:f t="shared" si="5"/>
        <x:v>85.042020286615809</x:v>
      </x:c>
      <x:c r="AE21" s="56">
        <x:f t="shared" si="5"/>
        <x:v>85.042020286615809</x:v>
      </x:c>
      <x:c r="AF21" s="56">
        <x:f t="shared" si="5"/>
        <x:v>85.042020286615809</x:v>
      </x:c>
    </x:row>
    <x:row r="22" ht="14.25" customHeight="1">
      <x:c r="A22" t="s">
        <x:v>207</x:v>
      </x:c>
      <x:c r="E22" s="59" t="n">
        <x:f>E9/'DCF Valuation'!F10</x:f>
        <x:v>0.0784313725490196</x:v>
      </x:c>
      <x:c r="F22" s="59" t="n">
        <x:f>F9/'DCF Valuation'!G10</x:f>
        <x:v>0.06946365452589519</x:v>
      </x:c>
      <x:c r="G22" s="59" t="n">
        <x:f>G9/'DCF Valuation'!H10</x:f>
        <x:v>0.04519217232155427</x:v>
      </x:c>
      <x:c r="H22" s="59" t="n">
        <x:f>H9/'DCF Valuation'!I10</x:f>
        <x:v>0.04788695538401151</x:v>
      </x:c>
      <x:c r="I22" s="59" t="n">
        <x:f>I9/'DCF Valuation'!J10</x:f>
        <x:v>0.07673745173745174</x:v>
      </x:c>
      <x:c r="J22" s="59" t="n">
        <x:f>J9/'DCF Valuation'!K10</x:f>
        <x:v>0.17526849642004774</x:v>
      </x:c>
      <x:c r="K22" s="59" t="n">
        <x:f>K9/'DCF Valuation'!L10</x:f>
        <x:v>0.1210588433653684</x:v>
      </x:c>
      <x:c r="L22" s="59" t="n">
        <x:f>L9/'DCF Valuation'!M10</x:f>
        <x:v>0.13072219467856552</x:v>
      </x:c>
      <x:c r="M22" s="59" t="n">
        <x:f>M9/'DCF Valuation'!N10</x:f>
        <x:v>0.12124582869855395</x:v>
      </x:c>
      <x:c r="N22" s="59" t="n">
        <x:f>N9/'DCF Valuation'!O10</x:f>
        <x:v>0.10283556674317021</x:v>
      </x:c>
      <x:c r="O22" s="59" t="n">
        <x:f>O9/'DCF Valuation'!P10</x:f>
        <x:v>0.07113686534216336</x:v>
      </x:c>
      <x:c r="P22" s="59" t="n">
        <x:f>P9/'DCF Valuation'!Q10</x:f>
        <x:v>0.13934759987332038</x:v>
      </x:c>
      <x:c r="Q22" s="59" t="n">
        <x:f>Q9/'DCF Valuation'!X10</x:f>
        <x:v>0.07522222222222222</x:v>
      </x:c>
      <x:c r="R22" s="59" t="n">
        <x:f>R9/'DCF Valuation'!Y10</x:f>
        <x:v>0.06897674329501916</x:v>
      </x:c>
      <x:c r="S22" s="59" t="n">
        <x:f>S9/'DCF Valuation'!Z10</x:f>
        <x:v>0.05974780878825113</x:v>
      </x:c>
      <x:c r="T22" s="59" t="n">
        <x:f>T9/'DCF Valuation'!AA10</x:f>
        <x:v>0.055303712570922564</x:v>
      </x:c>
      <x:c r="U22" s="59" t="n">
        <x:f>U9/'DCF Valuation'!AB10</x:f>
        <x:v>0.041228763699501236</x:v>
      </x:c>
      <x:c r="V22" s="59" t="n">
        <x:f>V9/'DCF Valuation'!AC10</x:f>
        <x:v>0.03654511632673978</x:v>
      </x:c>
      <x:c r="W22" s="60">
        <x:f t="shared" si="5"/>
        <x:v>8.4241742696765459E-2</x:v>
      </x:c>
      <x:c r="X22" s="60">
        <x:f t="shared" si="5"/>
        <x:v>8.4241742696765459E-2</x:v>
      </x:c>
      <x:c r="Y22" s="60">
        <x:f t="shared" si="5"/>
        <x:v>8.4241742696765459E-2</x:v>
      </x:c>
      <x:c r="Z22" s="60">
        <x:f t="shared" si="5"/>
        <x:v>8.4241742696765459E-2</x:v>
      </x:c>
      <x:c r="AA22" s="60">
        <x:f t="shared" si="5"/>
        <x:v>8.4241742696765459E-2</x:v>
      </x:c>
      <x:c r="AB22" s="60">
        <x:f t="shared" si="5"/>
        <x:v>8.4241742696765459E-2</x:v>
      </x:c>
      <x:c r="AC22" s="60">
        <x:f t="shared" si="5"/>
        <x:v>8.4241742696765459E-2</x:v>
      </x:c>
      <x:c r="AD22" s="60">
        <x:f t="shared" si="5"/>
        <x:v>8.4241742696765459E-2</x:v>
      </x:c>
      <x:c r="AE22" s="60">
        <x:f t="shared" si="5"/>
        <x:v>8.4241742696765459E-2</x:v>
      </x:c>
      <x:c r="AF22" s="60">
        <x:f t="shared" si="5"/>
        <x:v>8.4241742696765459E-2</x:v>
      </x:c>
    </x:row>
    <x:row r="23" ht="14.25" customHeight="1">
      <x:c r="A23" t="s">
        <x:v>208</x:v>
      </x:c>
      <x:c r="E23" s="57" t="n">
        <x:f>(AVERAGE(E13,D13)/('DCF Valuation'!F10-'DCF Valuation'!F13))*90</x:f>
        <x:v>53.57037401574803</x:v>
      </x:c>
      <x:c r="F23" s="57" t="n">
        <x:f>(AVERAGE(F13,E13)/('DCF Valuation'!G10-'DCF Valuation'!G13))*90</x:f>
        <x:v>52.85340314136126</x:v>
      </x:c>
      <x:c r="G23" s="57" t="n">
        <x:f>(AVERAGE(G13,F13)/('DCF Valuation'!H10-'DCF Valuation'!H13))*90</x:f>
        <x:v>57.12378640776699</x:v>
      </x:c>
      <x:c r="H23" s="57" t="n">
        <x:f>(AVERAGE(H13,G13)/('DCF Valuation'!I10-'DCF Valuation'!I13))*90</x:f>
        <x:v>58.68898978433599</x:v>
      </x:c>
      <x:c r="I23" s="57" t="n">
        <x:f>(AVERAGE(I13,H13)/('DCF Valuation'!J10-'DCF Valuation'!J13))*90</x:f>
        <x:v>59.569478473923695</x:v>
      </x:c>
      <x:c r="J23" s="57" t="n">
        <x:f>(AVERAGE(J13,I13)/('DCF Valuation'!K10-'DCF Valuation'!K13))*90</x:f>
        <x:v>52.49406175771971</x:v>
      </x:c>
      <x:c r="K23" s="57" t="n">
        <x:f>(AVERAGE(K13,J13)/('DCF Valuation'!L10-'DCF Valuation'!L13))*90</x:f>
        <x:v>63.92156862745098</x:v>
      </x:c>
      <x:c r="L23" s="57" t="n">
        <x:f>(AVERAGE(L13,K13)/('DCF Valuation'!M10-'DCF Valuation'!M13))*90</x:f>
        <x:v>54.454463480613164</x:v>
      </x:c>
      <x:c r="M23" s="57" t="n">
        <x:f>(AVERAGE(M13,L13)/('DCF Valuation'!N10-'DCF Valuation'!N13))*90</x:f>
        <x:v>41.28537735849057</x:v>
      </x:c>
      <x:c r="N23" s="57" t="n">
        <x:f>(AVERAGE(N13,M13)/('DCF Valuation'!O10-'DCF Valuation'!O13))*90</x:f>
        <x:v>34.15327564894932</x:v>
      </x:c>
      <x:c r="O23" s="57" t="n">
        <x:f>(AVERAGE(O13,N13)/('DCF Valuation'!P10-'DCF Valuation'!P13))*90</x:f>
        <x:v>41.081567796610166</x:v>
      </x:c>
      <x:c r="P23" s="57" t="n">
        <x:f>(AVERAGE(P13,O13)/('DCF Valuation'!Q10-'DCF Valuation'!Q13))*90</x:f>
        <x:v>43.026167168674704</x:v>
      </x:c>
      <x:c r="Q23" s="57" t="n">
        <x:f>(AVERAGE(Q13,P13)/('DCF Valuation'!X10-'DCF Valuation'!X13))*90</x:f>
        <x:v>19.036568213783404</x:v>
      </x:c>
      <x:c r="R23" s="57" t="n">
        <x:f>(AVERAGE(R13,Q13)/('DCF Valuation'!Y10-'DCF Valuation'!Y13))*90</x:f>
        <x:v>16.50800323435287</x:v>
      </x:c>
      <x:c r="S23" s="57" t="n">
        <x:f>(AVERAGE(S13,R13)/('DCF Valuation'!Z10-'DCF Valuation'!Z13))*90</x:f>
        <x:v>21.681741302063845</x:v>
      </x:c>
      <x:c r="T23" s="57" t="n">
        <x:f>(AVERAGE(T13,S13)/('DCF Valuation'!AA10-'DCF Valuation'!AA13))*90</x:f>
        <x:v>25.524896657119076</x:v>
      </x:c>
      <x:c r="U23" s="57" t="n">
        <x:f>(AVERAGE(U13,T13)/('DCF Valuation'!AB10-'DCF Valuation'!AB13))*90</x:f>
        <x:v>32.94410467917319</x:v>
      </x:c>
      <x:c r="V23" s="57" t="n">
        <x:f>(AVERAGE(V13,U13)/('DCF Valuation'!AC10-'DCF Valuation'!AC13))*90</x:f>
        <x:v>35.85869212757619</x:v>
      </x:c>
      <x:c r="W23" s="56">
        <x:f t="shared" si="5"/>
        <x:v>42.43202888198406</x:v>
      </x:c>
      <x:c r="X23" s="56">
        <x:f t="shared" si="5"/>
        <x:v>42.43202888198406</x:v>
      </x:c>
      <x:c r="Y23" s="56">
        <x:f t="shared" si="5"/>
        <x:v>42.43202888198406</x:v>
      </x:c>
      <x:c r="Z23" s="56">
        <x:f t="shared" si="5"/>
        <x:v>42.43202888198406</x:v>
      </x:c>
      <x:c r="AA23" s="56">
        <x:f t="shared" si="5"/>
        <x:v>42.43202888198406</x:v>
      </x:c>
      <x:c r="AB23" s="56">
        <x:f t="shared" si="5"/>
        <x:v>42.43202888198406</x:v>
      </x:c>
      <x:c r="AC23" s="56">
        <x:f t="shared" si="5"/>
        <x:v>42.43202888198406</x:v>
      </x:c>
      <x:c r="AD23" s="56">
        <x:f t="shared" si="5"/>
        <x:v>42.43202888198406</x:v>
      </x:c>
      <x:c r="AE23" s="56">
        <x:f t="shared" si="5"/>
        <x:v>42.43202888198406</x:v>
      </x:c>
      <x:c r="AF23" s="56">
        <x:f t="shared" si="5"/>
        <x:v>42.43202888198406</x:v>
      </x:c>
    </x:row>
    <x:row r="24" ht="14.25" customHeight="1">
      <x:c r="A24" t="s">
        <x:v>202</x:v>
      </x:c>
      <x:c r="E24" s="59" t="n">
        <x:f>E14/'Income Statement'!B17</x:f>
        <x:v>1.083030303030303</x:v>
      </x:c>
      <x:c r="F24" s="59" t="n">
        <x:f>F14/'Income Statement'!C17</x:f>
        <x:v>1.1799163179916319</x:v>
      </x:c>
      <x:c r="G24" s="59" t="n">
        <x:f>G14/'Income Statement'!D17</x:f>
        <x:v>1.0999435347261435</x:v>
      </x:c>
      <x:c r="H24" s="59" t="n">
        <x:f>H14/'Income Statement'!E17</x:f>
        <x:v>1.3020408163265307</x:v>
      </x:c>
      <x:c r="I24" s="59" t="n">
        <x:f>I14/'Income Statement'!F17</x:f>
        <x:v>1.7551724137931035</x:v>
      </x:c>
      <x:c r="J24" s="59" t="n">
        <x:f>J14/'Income Statement'!G17</x:f>
        <x:v>1.0954252034802132</x:v>
      </x:c>
      <x:c r="K24" s="59" t="n">
        <x:f>K14/'Income Statement'!H17</x:f>
        <x:v>1.703228476821192</x:v>
      </x:c>
      <x:c r="L24" s="59" t="n">
        <x:f>L14/'Income Statement'!I17</x:f>
        <x:v>1.5993788819875776</x:v>
      </x:c>
      <x:c r="M24" s="59" t="n">
        <x:f>M14/'Income Statement'!J17</x:f>
        <x:v>1.8894062863795111</x:v>
      </x:c>
      <x:c r="N24" s="59" t="n">
        <x:f>N14/'Income Statement'!K17</x:f>
        <x:v>2.8532695374800636</x:v>
      </x:c>
      <x:c r="O24" s="59" t="n">
        <x:f>O14/'Income Statement'!L17</x:f>
        <x:v>2.055597295266717</x:v>
      </x:c>
      <x:c r="P24" s="59" t="n">
        <x:f>P14/'Income Statement'!M17</x:f>
        <x:v>2.2400268186389543</x:v>
      </x:c>
      <x:c r="Q24" s="59" t="n">
        <x:f>Q14/'Income Statement'!N17</x:f>
        <x:v>3.5447103274559195</x:v>
      </x:c>
      <x:c r="R24" s="59" t="n">
        <x:f>R14/'Income Statement'!O17</x:f>
        <x:v>2.942236202459251</x:v>
      </x:c>
      <x:c r="S24" s="59" t="n">
        <x:f>S14/'Income Statement'!P17</x:f>
        <x:v>2.8296032553407935</x:v>
      </x:c>
      <x:c r="T24" s="59" t="n">
        <x:f>T14/'Income Statement'!Q17</x:f>
        <x:v>2.7378119897364126</x:v>
      </x:c>
      <x:c r="U24" s="59" t="n">
        <x:f>U14/'Income Statement'!R17</x:f>
        <x:v>4.09703561526978</x:v>
      </x:c>
      <x:c r="V24" s="59" t="n">
        <x:f>V14/'Income Statement'!S17</x:f>
        <x:v>3.0204771371769383</x:v>
      </x:c>
      <x:c r="W24" s="60">
        <x:f t="shared" si="5"/>
        <x:v>2.1682394674089469</x:v>
      </x:c>
      <x:c r="X24" s="60">
        <x:f t="shared" si="5"/>
        <x:v>2.1682394674089469</x:v>
      </x:c>
      <x:c r="Y24" s="60">
        <x:f t="shared" si="5"/>
        <x:v>2.1682394674089469</x:v>
      </x:c>
      <x:c r="Z24" s="60">
        <x:f t="shared" si="5"/>
        <x:v>2.1682394674089469</x:v>
      </x:c>
      <x:c r="AA24" s="60">
        <x:f t="shared" si="5"/>
        <x:v>2.1682394674089469</x:v>
      </x:c>
      <x:c r="AB24" s="60">
        <x:f t="shared" si="5"/>
        <x:v>2.1682394674089469</x:v>
      </x:c>
      <x:c r="AC24" s="60">
        <x:f t="shared" si="5"/>
        <x:v>2.1682394674089469</x:v>
      </x:c>
      <x:c r="AD24" s="60">
        <x:f t="shared" si="5"/>
        <x:v>2.1682394674089469</x:v>
      </x:c>
      <x:c r="AE24" s="60">
        <x:f t="shared" si="5"/>
        <x:v>2.1682394674089469</x:v>
      </x:c>
      <x:c r="AF24" s="60">
        <x:f t="shared" si="5"/>
        <x:v>2.1682394674089469</x:v>
      </x:c>
    </x:row>
    <x:row r="25" ht="14.25" customHeight="1">
      <x:c r="A25" t="s">
        <x:v>209</x:v>
      </x:c>
      <x:c r="W25" s="61"/>
      <x:c r="X25" s="61"/>
      <x:c r="Y25" s="61"/>
      <x:c r="Z25" s="61"/>
      <x:c r="AA25" s="61"/>
      <x:c r="AB25" s="61"/>
      <x:c r="AC25" s="61"/>
      <x:c r="AD25" s="61"/>
      <x:c r="AE25" s="61"/>
      <x:c r="AF25" s="61"/>
    </x:row>
    <x:row r="26" ht="14.25" customHeight="1">
      <x:c r="A26" t="s">
        <x:v>210</x:v>
      </x:c>
      <x:c r="E26" s="55" t="n">
        <x:f t="shared" ref="E26:V26" si="6">E21+E20-E23</x:f>
        <x:v>74.32837321457632</x:v>
      </x:c>
      <x:c r="F26" s="55">
        <x:f t="shared" si="6"/>
        <x:v>73.474089924905684</x:v>
      </x:c>
      <x:c r="G26" s="55">
        <x:f t="shared" si="6"/>
        <x:v>69.777043646264588</x:v>
      </x:c>
      <x:c r="H26" s="55">
        <x:f t="shared" si="6"/>
        <x:v>74.341432955277369</x:v>
      </x:c>
      <x:c r="I26" s="55">
        <x:f t="shared" si="6"/>
        <x:v>86.054230076368682</x:v>
      </x:c>
      <x:c r="J26" s="55">
        <x:f t="shared" si="6"/>
        <x:v>103.45088230375455</x:v>
      </x:c>
      <x:c r="K26" s="55">
        <x:f t="shared" si="6"/>
        <x:v>149.9816269451635</x:v>
      </x:c>
      <x:c r="L26" s="55">
        <x:f t="shared" si="6"/>
        <x:v>205.53968790081424</x:v>
      </x:c>
      <x:c r="M26" s="55">
        <x:f t="shared" si="6"/>
        <x:v>181.00673966881442</x:v>
      </x:c>
      <x:c r="N26" s="55">
        <x:f t="shared" si="6"/>
        <x:v>102.32567318708436</x:v>
      </x:c>
      <x:c r="O26" s="55">
        <x:f t="shared" si="6"/>
        <x:v>83.840786002918406</x:v>
      </x:c>
      <x:c r="P26" s="55">
        <x:f t="shared" si="6"/>
        <x:v>79.478116028108275</x:v>
      </x:c>
      <x:c r="Q26" s="55">
        <x:f t="shared" si="6"/>
        <x:v>38.791378340365675</x:v>
      </x:c>
      <x:c r="R26" s="55">
        <x:f t="shared" si="6"/>
        <x:v>36.288651661188553</x:v>
      </x:c>
      <x:c r="S26" s="55">
        <x:f t="shared" si="6"/>
        <x:v>35.193847561192101</x:v>
      </x:c>
      <x:c r="T26" s="55">
        <x:f t="shared" si="6"/>
        <x:v>40.184797440225694</x:v>
      </x:c>
      <x:c r="U26" s="55">
        <x:f t="shared" si="6"/>
        <x:v>48.94407047069717</x:v>
      </x:c>
      <x:c r="V26" s="55">
        <x:f t="shared" si="6"/>
        <x:v>52.551366779398307</x:v>
      </x:c>
      <x:c r="W26" s="56" t="n">
        <x:f t="shared" ref="W26:AF26" si="7">AVERAGE($E26:$V26)</x:f>
        <x:v>85.30848856150654</x:v>
      </x:c>
      <x:c r="X26" s="56">
        <x:f t="shared" si="7"/>
        <x:v>85.308488561506536</x:v>
      </x:c>
      <x:c r="Y26" s="56">
        <x:f t="shared" si="7"/>
        <x:v>85.308488561506536</x:v>
      </x:c>
      <x:c r="Z26" s="56">
        <x:f t="shared" si="7"/>
        <x:v>85.308488561506536</x:v>
      </x:c>
      <x:c r="AA26" s="56">
        <x:f t="shared" si="7"/>
        <x:v>85.308488561506536</x:v>
      </x:c>
      <x:c r="AB26" s="56">
        <x:f t="shared" si="7"/>
        <x:v>85.308488561506536</x:v>
      </x:c>
      <x:c r="AC26" s="56">
        <x:f t="shared" si="7"/>
        <x:v>85.308488561506536</x:v>
      </x:c>
      <x:c r="AD26" s="56">
        <x:f t="shared" si="7"/>
        <x:v>85.308488561506536</x:v>
      </x:c>
      <x:c r="AE26" s="56">
        <x:f t="shared" si="7"/>
        <x:v>85.308488561506536</x:v>
      </x:c>
      <x:c r="AF26" s="56">
        <x:f t="shared" si="7"/>
        <x:v>85.308488561506536</x:v>
      </x:c>
    </x:row>
  </x:sheetData>
  <x:mergeCells>
    <x:mergeCell ref="D4:V4"/>
    <x:mergeCell ref="W4:AF4"/>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8.6640625" defaultRowHeight="14.25"/>
  <x:cols>
    <x:col min="2" max="2" width="9.265625" customWidth="1"/>
    <x:col min="3" max="3" width="11.59765625" customWidth="1"/>
    <x:col min="4" max="31" width="8.3984375" customWidth="1"/>
    <x:col min="32" max="32" width="7.86328125" customWidth="1"/>
  </x:cols>
  <x:sheetData>
    <x:row r="1" ht="11.25" customHeight="1">
      <x:c r="S1" s="46"/>
    </x:row>
    <x:row r="2" ht="19.5" customHeight="1">
      <x:c r="A2" s="15" t="s">
        <x:v>211</x:v>
      </x:c>
      <x:c r="B2" s="16"/>
      <x:c r="C2" s="16"/>
      <x:c r="D2" s="16"/>
      <x:c r="E2" s="16"/>
      <x:c r="L2" s="17"/>
      <x:c r="M2" s="17"/>
      <x:c r="N2" s="17"/>
      <x:c r="O2" s="18"/>
      <x:c r="P2" s="18"/>
      <x:c r="Q2" s="18"/>
      <x:c r="R2" s="18"/>
      <x:c r="S2" s="18"/>
    </x:row>
    <x:row r="4" ht="14.25" customHeight="1">
      <x:c r="A4" s="24"/>
      <x:c r="D4" s="156" t="s">
        <x:v>193</x:v>
      </x:c>
      <x:c r="E4" s="156"/>
      <x:c r="F4" s="156"/>
      <x:c r="G4" s="156"/>
      <x:c r="H4" s="156"/>
      <x:c r="I4" s="156"/>
      <x:c r="J4" s="156"/>
      <x:c r="K4" s="156"/>
      <x:c r="L4" s="156"/>
      <x:c r="M4" s="156"/>
      <x:c r="N4" s="156"/>
      <x:c r="O4" s="156"/>
      <x:c r="P4" s="156"/>
      <x:c r="Q4" s="156"/>
      <x:c r="R4" s="156"/>
      <x:c r="S4" s="156"/>
      <x:c r="T4" s="156"/>
      <x:c r="U4" s="156"/>
      <x:c r="V4" s="156" t="s">
        <x:v>194</x:v>
      </x:c>
      <x:c r="W4" s="156"/>
      <x:c r="X4" s="156"/>
      <x:c r="Y4" s="156"/>
      <x:c r="Z4" s="156"/>
      <x:c r="AA4" s="156"/>
      <x:c r="AB4" s="156"/>
      <x:c r="AC4" s="156"/>
      <x:c r="AD4" s="156"/>
      <x:c r="AE4" s="156"/>
    </x:row>
    <x:row r="5" ht="14.25" customHeight="1">
      <x:c r="A5" s="24" t="s">
        <x:v>195</x:v>
      </x:c>
      <x:c r="D5" s="51" t="s">
        <x:v>71</x:v>
      </x:c>
      <x:c r="E5" s="51" t="str">
        <x:f t="shared" ref="E5:AE5" si="0">IF(MID(D5,2,1)="4","Q1 "&amp;RIGHT(D5,4)+1, "Q"&amp;MID(D5,2,1)+1&amp;" "&amp;RIGHT(D5,4))</x:f>
        <x:v>Q2 2022</x:v>
      </x:c>
      <x:c r="F5" s="51" t="str">
        <x:f t="shared" si="0"/>
        <x:v>Q3 2022</x:v>
      </x:c>
      <x:c r="G5" s="51" t="str">
        <x:f t="shared" si="0"/>
        <x:v>Q4 2022</x:v>
      </x:c>
      <x:c r="H5" s="51" t="str">
        <x:f t="shared" si="0"/>
        <x:v>Q1 2023</x:v>
      </x:c>
      <x:c r="I5" s="51" t="str">
        <x:f t="shared" si="0"/>
        <x:v>Q2 2023</x:v>
      </x:c>
      <x:c r="J5" s="51" t="str">
        <x:f t="shared" si="0"/>
        <x:v>Q3 2023</x:v>
      </x:c>
      <x:c r="K5" s="51" t="str">
        <x:f t="shared" si="0"/>
        <x:v>Q4 2023</x:v>
      </x:c>
      <x:c r="L5" s="51" t="str">
        <x:f t="shared" si="0"/>
        <x:v>Q1 2024</x:v>
      </x:c>
      <x:c r="M5" s="51" t="str">
        <x:f t="shared" si="0"/>
        <x:v>Q2 2024</x:v>
      </x:c>
      <x:c r="N5" s="51" t="str">
        <x:f t="shared" si="0"/>
        <x:v>Q3 2024</x:v>
      </x:c>
      <x:c r="O5" s="51" t="str">
        <x:f t="shared" si="0"/>
        <x:v>Q4 2024</x:v>
      </x:c>
      <x:c r="P5" s="51" t="str">
        <x:f t="shared" si="0"/>
        <x:v>Q1 2025</x:v>
      </x:c>
      <x:c r="Q5" s="51" t="str">
        <x:f t="shared" si="0"/>
        <x:v>Q2 2025</x:v>
      </x:c>
      <x:c r="R5" s="51" t="str">
        <x:f t="shared" si="0"/>
        <x:v>Q3 2025</x:v>
      </x:c>
      <x:c r="S5" s="51" t="str">
        <x:f t="shared" si="0"/>
        <x:v>Q4 2025</x:v>
      </x:c>
      <x:c r="T5" s="51" t="str">
        <x:f t="shared" si="0"/>
        <x:v>Q1 2026</x:v>
      </x:c>
      <x:c r="U5" s="51" t="str">
        <x:f t="shared" si="0"/>
        <x:v>Q2 2026</x:v>
      </x:c>
      <x:c r="V5" s="52" t="str">
        <x:f t="shared" si="0"/>
        <x:v>Q3 2026</x:v>
      </x:c>
      <x:c r="W5" s="52" t="str">
        <x:f t="shared" si="0"/>
        <x:v>Q4 2026</x:v>
      </x:c>
      <x:c r="X5" s="52" t="str">
        <x:f t="shared" si="0"/>
        <x:v>Q1 2027</x:v>
      </x:c>
      <x:c r="Y5" s="52" t="str">
        <x:f t="shared" si="0"/>
        <x:v>Q2 2027</x:v>
      </x:c>
      <x:c r="Z5" s="52" t="str">
        <x:f t="shared" si="0"/>
        <x:v>Q3 2027</x:v>
      </x:c>
      <x:c r="AA5" s="52" t="str">
        <x:f t="shared" si="0"/>
        <x:v>Q4 2027</x:v>
      </x:c>
      <x:c r="AB5" s="52" t="str">
        <x:f t="shared" si="0"/>
        <x:v>Q1 2028</x:v>
      </x:c>
      <x:c r="AC5" s="52" t="str">
        <x:f t="shared" si="0"/>
        <x:v>Q2 2028</x:v>
      </x:c>
      <x:c r="AD5" s="52" t="str">
        <x:f t="shared" si="0"/>
        <x:v>Q3 2028</x:v>
      </x:c>
      <x:c r="AE5" s="52" t="str">
        <x:f t="shared" si="0"/>
        <x:v>Q4 2028</x:v>
      </x:c>
    </x:row>
    <x:row r="6" ht="14.25" customHeight="1">
      <x:c r="A6" t="s">
        <x:v>212</x:v>
      </x:c>
      <x:c r="D6" s="62" t="n">
        <x:f>'Balance Sheet'!B29+'Balance Sheet'!B31</x:f>
        <x:v>6963</x:v>
      </x:c>
      <x:c r="E6" s="62" t="n">
        <x:f>'Balance Sheet'!C29+'Balance Sheet'!C31</x:f>
        <x:v>6963</x:v>
      </x:c>
      <x:c r="F6" s="62" t="n">
        <x:f>'Balance Sheet'!D29+'Balance Sheet'!D31</x:f>
        <x:v>11943</x:v>
      </x:c>
      <x:c r="G6" s="62" t="n">
        <x:f>'Balance Sheet'!E29+'Balance Sheet'!E31</x:f>
        <x:v>10944</x:v>
      </x:c>
      <x:c r="H6" s="63" t="n">
        <x:f>'Balance Sheet'!F29+'Balance Sheet'!F31</x:f>
        <x:v>10946</x:v>
      </x:c>
      <x:c r="I6" t="n">
        <x:f>'Balance Sheet'!G29+'Balance Sheet'!G31</x:f>
        <x:v>10947</x:v>
      </x:c>
      <x:c r="J6" t="n">
        <x:f>'Balance Sheet'!H29+'Balance Sheet'!H31</x:f>
        <x:v>10949</x:v>
      </x:c>
      <x:c r="K6" t="n">
        <x:f>'Balance Sheet'!I29+'Balance Sheet'!I31</x:f>
        <x:v>10950</x:v>
      </x:c>
      <x:c r="L6" t="n">
        <x:f>'Balance Sheet'!J29+'Balance Sheet'!J31</x:f>
        <x:v>10953</x:v>
      </x:c>
      <x:c r="M6" s="62" t="n">
        <x:f>'Balance Sheet'!K29+'Balance Sheet'!K31</x:f>
        <x:v>10954</x:v>
      </x:c>
      <x:c r="N6" s="62" t="n">
        <x:f>'Balance Sheet'!L29+'Balance Sheet'!L31</x:f>
        <x:v>9705</x:v>
      </x:c>
      <x:c r="O6" s="62" t="n">
        <x:f>'Balance Sheet'!M29+'Balance Sheet'!M31</x:f>
        <x:v>9706</x:v>
      </x:c>
      <x:c r="P6" s="62" t="n">
        <x:f>'Balance Sheet'!N29+'Balance Sheet'!N31</x:f>
        <x:v>9709</x:v>
      </x:c>
      <x:c r="Q6" s="62" t="n">
        <x:f>'Balance Sheet'!O29+'Balance Sheet'!O31</x:f>
        <x:v>9710</x:v>
      </x:c>
      <x:c r="R6" s="62" t="n">
        <x:f>'Balance Sheet'!P29+'Balance Sheet'!P31</x:f>
        <x:v>8461</x:v>
      </x:c>
      <x:c r="S6" s="62" t="n">
        <x:f>'Balance Sheet'!Q29+'Balance Sheet'!Q31</x:f>
        <x:v>8462</x:v>
      </x:c>
      <x:c r="T6" s="62" t="n">
        <x:f>'Balance Sheet'!R29+'Balance Sheet'!R31</x:f>
        <x:v>8463</x:v>
      </x:c>
      <x:c r="U6" s="62" t="n">
        <x:f>'Balance Sheet'!S29+'Balance Sheet'!S31</x:f>
        <x:v>8464</x:v>
      </x:c>
      <x:c r="V6" s="64" t="n">
        <x:f t="shared" ref="V6:AE6" si="1">U8</x:f>
        <x:v>8466</x:v>
      </x:c>
      <x:c r="W6" s="64">
        <x:f t="shared" si="1"/>
        <x:v>8467</x:v>
      </x:c>
      <x:c r="X6" s="64">
        <x:f t="shared" si="1"/>
        <x:v>7467</x:v>
      </x:c>
      <x:c r="Y6" s="64">
        <x:f t="shared" si="1"/>
        <x:v>7468</x:v>
      </x:c>
      <x:c r="Z6" s="64">
        <x:f t="shared" si="1"/>
        <x:v>7469</x:v>
      </x:c>
      <x:c r="AA6" s="64">
        <x:f t="shared" si="1"/>
        <x:v>7470</x:v>
      </x:c>
      <x:c r="AB6" s="64">
        <x:f t="shared" si="1"/>
        <x:v>7471</x:v>
      </x:c>
      <x:c r="AC6" s="64">
        <x:f t="shared" si="1"/>
        <x:v>7472</x:v>
      </x:c>
      <x:c r="AD6" s="64">
        <x:f t="shared" si="1"/>
        <x:v>7473</x:v>
      </x:c>
      <x:c r="AE6" s="64">
        <x:f t="shared" si="1"/>
        <x:v>7474</x:v>
      </x:c>
    </x:row>
    <x:row r="7" ht="14.25" customHeight="1">
      <x:c r="A7" s="157" t="s">
        <x:v>213</x:v>
      </x:c>
      <x:c r="B7" s="157"/>
      <x:c r="C7" s="157"/>
      <x:c r="D7" s="62" t="n">
        <x:f t="shared" ref="D7:U7" si="2">D8-D6</x:f>
        <x:v>0</x:v>
      </x:c>
      <x:c r="E7" s="62">
        <x:f t="shared" si="2"/>
        <x:v>4980</x:v>
      </x:c>
      <x:c r="F7" s="62">
        <x:f t="shared" si="2"/>
        <x:v>-999</x:v>
      </x:c>
      <x:c r="G7" s="62">
        <x:f t="shared" si="2"/>
        <x:v>2</x:v>
      </x:c>
      <x:c r="H7">
        <x:f t="shared" si="2"/>
        <x:v>1</x:v>
      </x:c>
      <x:c r="I7">
        <x:f t="shared" si="2"/>
        <x:v>2</x:v>
      </x:c>
      <x:c r="J7">
        <x:f t="shared" si="2"/>
        <x:v>1</x:v>
      </x:c>
      <x:c r="K7">
        <x:f t="shared" si="2"/>
        <x:v>3</x:v>
      </x:c>
      <x:c r="L7">
        <x:f t="shared" si="2"/>
        <x:v>1</x:v>
      </x:c>
      <x:c r="M7" s="62">
        <x:f t="shared" si="2"/>
        <x:v>-1249</x:v>
      </x:c>
      <x:c r="N7" s="62">
        <x:f t="shared" si="2"/>
        <x:v>1</x:v>
      </x:c>
      <x:c r="O7" s="62">
        <x:f t="shared" si="2"/>
        <x:v>3</x:v>
      </x:c>
      <x:c r="P7" s="62">
        <x:f t="shared" si="2"/>
        <x:v>1</x:v>
      </x:c>
      <x:c r="Q7" s="62">
        <x:f t="shared" si="2"/>
        <x:v>-1249</x:v>
      </x:c>
      <x:c r="R7" s="62">
        <x:f t="shared" si="2"/>
        <x:v>1</x:v>
      </x:c>
      <x:c r="S7" s="62">
        <x:f t="shared" si="2"/>
        <x:v>1</x:v>
      </x:c>
      <x:c r="T7" s="62">
        <x:f t="shared" si="2"/>
        <x:v>1</x:v>
      </x:c>
      <x:c r="U7" s="62">
        <x:f t="shared" si="2"/>
        <x:v>2</x:v>
      </x:c>
      <x:c r="V7" s="65">
        <x:v>1</x:v>
      </x:c>
      <x:c r="W7" s="64">
        <x:v>-1000</x:v>
      </x:c>
      <x:c r="X7" s="65">
        <x:v>1</x:v>
      </x:c>
      <x:c r="Y7" s="64">
        <x:v>1</x:v>
      </x:c>
      <x:c r="Z7" s="65">
        <x:v>1</x:v>
      </x:c>
      <x:c r="AA7" s="65">
        <x:v>1</x:v>
      </x:c>
      <x:c r="AB7" s="65">
        <x:v>1</x:v>
      </x:c>
      <x:c r="AC7" s="65">
        <x:v>1</x:v>
      </x:c>
      <x:c r="AD7" s="65">
        <x:v>1</x:v>
      </x:c>
      <x:c r="AE7" s="65">
        <x:v>1</x:v>
      </x:c>
    </x:row>
    <x:row r="8" ht="14.25" customHeight="1">
      <x:c r="A8" s="35" t="s">
        <x:v>214</x:v>
      </x:c>
      <x:c r="B8" s="46"/>
      <x:c r="C8" s="66" t="n">
        <x:f>'Balance Sheet'!B29+'Balance Sheet'!B31</x:f>
        <x:v>6963</x:v>
      </x:c>
      <x:c r="D8" s="67" t="n">
        <x:f>'Balance Sheet'!C29+'Balance Sheet'!C31</x:f>
        <x:v>6963</x:v>
      </x:c>
      <x:c r="E8" s="67" t="n">
        <x:f>'Balance Sheet'!D29+'Balance Sheet'!D31</x:f>
        <x:v>11943</x:v>
      </x:c>
      <x:c r="F8" s="67" t="n">
        <x:f>'Balance Sheet'!E29+'Balance Sheet'!E31</x:f>
        <x:v>10944</x:v>
      </x:c>
      <x:c r="G8" s="67" t="n">
        <x:f>'Balance Sheet'!F29+'Balance Sheet'!F31</x:f>
        <x:v>10946</x:v>
      </x:c>
      <x:c r="H8" t="n">
        <x:f>'Balance Sheet'!G29+'Balance Sheet'!G31</x:f>
        <x:v>10947</x:v>
      </x:c>
      <x:c r="I8" t="n">
        <x:f>'Balance Sheet'!H29+'Balance Sheet'!H31</x:f>
        <x:v>10949</x:v>
      </x:c>
      <x:c r="J8" t="n">
        <x:f>'Balance Sheet'!I29+'Balance Sheet'!I31</x:f>
        <x:v>10950</x:v>
      </x:c>
      <x:c r="K8" t="n">
        <x:f>'Balance Sheet'!J29+'Balance Sheet'!J31</x:f>
        <x:v>10953</x:v>
      </x:c>
      <x:c r="L8" t="n">
        <x:f>'Balance Sheet'!K29+'Balance Sheet'!K31</x:f>
        <x:v>10954</x:v>
      </x:c>
      <x:c r="M8" s="67" t="n">
        <x:f>'Balance Sheet'!L29+'Balance Sheet'!L31</x:f>
        <x:v>9705</x:v>
      </x:c>
      <x:c r="N8" s="67" t="n">
        <x:f>'Balance Sheet'!M29+'Balance Sheet'!M31</x:f>
        <x:v>9706</x:v>
      </x:c>
      <x:c r="O8" s="67" t="n">
        <x:f>'Balance Sheet'!N29+'Balance Sheet'!N31</x:f>
        <x:v>9709</x:v>
      </x:c>
      <x:c r="P8" s="67" t="n">
        <x:f>'Balance Sheet'!O29+'Balance Sheet'!O31</x:f>
        <x:v>9710</x:v>
      </x:c>
      <x:c r="Q8" s="67" t="n">
        <x:f>'Balance Sheet'!P29+'Balance Sheet'!P31</x:f>
        <x:v>8461</x:v>
      </x:c>
      <x:c r="R8" s="67" t="n">
        <x:f>'Balance Sheet'!Q29+'Balance Sheet'!Q31</x:f>
        <x:v>8462</x:v>
      </x:c>
      <x:c r="S8" s="67" t="n">
        <x:f>'Balance Sheet'!R29+'Balance Sheet'!R31</x:f>
        <x:v>8463</x:v>
      </x:c>
      <x:c r="T8" s="67" t="n">
        <x:f>'Balance Sheet'!S29+'Balance Sheet'!S31</x:f>
        <x:v>8464</x:v>
      </x:c>
      <x:c r="U8" s="67" t="n">
        <x:f>'Balance Sheet'!T29+'Balance Sheet'!T31</x:f>
        <x:v>8466</x:v>
      </x:c>
      <x:c r="V8" s="68" t="n">
        <x:f t="shared" ref="V8:AE8" si="3">V6+V7</x:f>
        <x:v>8467</x:v>
      </x:c>
      <x:c r="W8" s="68">
        <x:f t="shared" si="3"/>
        <x:v>7467</x:v>
      </x:c>
      <x:c r="X8" s="68">
        <x:f t="shared" si="3"/>
        <x:v>7468</x:v>
      </x:c>
      <x:c r="Y8" s="68">
        <x:f t="shared" si="3"/>
        <x:v>7469</x:v>
      </x:c>
      <x:c r="Z8" s="68">
        <x:f t="shared" si="3"/>
        <x:v>7470</x:v>
      </x:c>
      <x:c r="AA8" s="68">
        <x:f t="shared" si="3"/>
        <x:v>7471</x:v>
      </x:c>
      <x:c r="AB8" s="68">
        <x:f t="shared" si="3"/>
        <x:v>7472</x:v>
      </x:c>
      <x:c r="AC8" s="68">
        <x:f t="shared" si="3"/>
        <x:v>7473</x:v>
      </x:c>
      <x:c r="AD8" s="68">
        <x:f t="shared" si="3"/>
        <x:v>7474</x:v>
      </x:c>
      <x:c r="AE8" s="68">
        <x:f t="shared" si="3"/>
        <x:v>7475</x:v>
      </x:c>
    </x:row>
    <x:row r="10" ht="14.25" customHeight="1">
      <x:c r="A10" t="s">
        <x:v>215</x:v>
      </x:c>
      <x:c r="D10" s="38" t="n">
        <x:f>'Income Statement'!C21</x:f>
        <x:v>-53</x:v>
      </x:c>
      <x:c r="E10" s="38" t="n">
        <x:f>'Income Statement'!D21</x:f>
        <x:v>-60</x:v>
      </x:c>
      <x:c r="F10" s="38" t="n">
        <x:f>'Income Statement'!E21</x:f>
        <x:v>-62</x:v>
      </x:c>
      <x:c r="G10" s="38" t="n">
        <x:f>'Income Statement'!F21</x:f>
        <x:v>-61</x:v>
      </x:c>
      <x:c r="H10" s="38" t="n">
        <x:f>'Income Statement'!G21</x:f>
        <x:v>-68</x:v>
      </x:c>
      <x:c r="I10" s="38" t="n">
        <x:f>'Income Statement'!H21</x:f>
        <x:v>-65</x:v>
      </x:c>
      <x:c r="J10" s="38" t="n">
        <x:f>'Income Statement'!I21</x:f>
        <x:v>-65</x:v>
      </x:c>
      <x:c r="K10" s="38" t="n">
        <x:f>'Income Statement'!J21</x:f>
        <x:v>-64</x:v>
      </x:c>
      <x:c r="L10" s="38" t="n">
        <x:f>'Income Statement'!K21</x:f>
        <x:v>-66</x:v>
      </x:c>
      <x:c r="M10" s="38" t="n">
        <x:f>'Income Statement'!L21</x:f>
        <x:v>-65</x:v>
      </x:c>
      <x:c r="N10" s="38" t="n">
        <x:f>'Income Statement'!M21</x:f>
        <x:v>-63</x:v>
      </x:c>
      <x:c r="O10" s="38" t="n">
        <x:f>'Income Statement'!N21</x:f>
        <x:v>-63</x:v>
      </x:c>
      <x:c r="P10" s="38" t="n">
        <x:f>'Income Statement'!O21</x:f>
        <x:v>-64</x:v>
      </x:c>
      <x:c r="Q10" s="38" t="n">
        <x:f>'Income Statement'!P21</x:f>
        <x:v>-61</x:v>
      </x:c>
      <x:c r="R10" s="38" t="n">
        <x:f>'Income Statement'!Q21</x:f>
        <x:v>-61</x:v>
      </x:c>
      <x:c r="S10" s="38" t="n">
        <x:f>'Income Statement'!R21</x:f>
        <x:v>-61</x:v>
      </x:c>
      <x:c r="T10" s="38" t="n">
        <x:f>'Income Statement'!S21</x:f>
        <x:v>-63</x:v>
      </x:c>
      <x:c r="U10" s="38" t="n">
        <x:f>'Income Statement'!T21</x:f>
        <x:v>-62</x:v>
      </x:c>
      <x:c r="V10" s="69" t="n">
        <x:f t="shared" ref="V10:AE10" si="4">V6*V12</x:f>
        <x:v>-55.46580634824649</x:v>
      </x:c>
      <x:c r="W10" s="69">
        <x:f t="shared" si="4"/>
        <x:v>-55.472357943610092</x:v>
      </x:c>
      <x:c r="X10" s="69">
        <x:f t="shared" si="4"/>
        <x:v>-48.92076258000904</x:v>
      </x:c>
      <x:c r="Y10" s="69">
        <x:f t="shared" si="4"/>
        <x:v>-48.927314175372636</x:v>
      </x:c>
      <x:c r="Z10" s="69">
        <x:f t="shared" si="4"/>
        <x:v>-48.93386577073624</x:v>
      </x:c>
      <x:c r="AA10" s="69">
        <x:f t="shared" si="4"/>
        <x:v>-48.940417366099844</x:v>
      </x:c>
      <x:c r="AB10" s="69">
        <x:f t="shared" si="4"/>
        <x:v>-48.94696896146344</x:v>
      </x:c>
      <x:c r="AC10" s="69">
        <x:f t="shared" si="4"/>
        <x:v>-48.953520556827044</x:v>
      </x:c>
      <x:c r="AD10" s="69">
        <x:f t="shared" si="4"/>
        <x:v>-48.960072152190648</x:v>
      </x:c>
      <x:c r="AE10" s="69">
        <x:f t="shared" si="4"/>
        <x:v>-48.966623747554245</x:v>
      </x:c>
    </x:row>
    <x:row r="11" ht="14.25" customHeight="1">
      <x:c r="A11" t="s">
        <x:v>216</x:v>
      </x:c>
      <x:c r="D11" s="62" t="n">
        <x:f>'Income Statement'!B21+'Income Statement'!$B20</x:f>
        <x:v>-45</x:v>
      </x:c>
      <x:c r="E11" s="62" t="n">
        <x:f>'Income Statement'!C21+'Income Statement'!$B20</x:f>
        <x:v>-46</x:v>
      </x:c>
      <x:c r="F11" s="62" t="n">
        <x:f>'Income Statement'!D21+'Income Statement'!$B20</x:f>
        <x:v>-53</x:v>
      </x:c>
      <x:c r="G11" s="62" t="n">
        <x:f>'Income Statement'!E21+'Income Statement'!$B20</x:f>
        <x:v>-55</x:v>
      </x:c>
      <x:c r="H11" s="62" t="n">
        <x:f>'Income Statement'!F21+'Income Statement'!$B20</x:f>
        <x:v>-54</x:v>
      </x:c>
      <x:c r="I11" s="62" t="n">
        <x:f>'Income Statement'!G21+'Income Statement'!$B20</x:f>
        <x:v>-61</x:v>
      </x:c>
      <x:c r="J11" s="62" t="n">
        <x:f>'Income Statement'!H21+'Income Statement'!$B20</x:f>
        <x:v>-58</x:v>
      </x:c>
      <x:c r="K11" s="62" t="n">
        <x:f>'Income Statement'!I21+'Income Statement'!$B20</x:f>
        <x:v>-58</x:v>
      </x:c>
      <x:c r="L11" s="62" t="n">
        <x:f>'Income Statement'!J21+'Income Statement'!$B20</x:f>
        <x:v>-57</x:v>
      </x:c>
      <x:c r="M11" s="62" t="n">
        <x:f>'Income Statement'!K21+'Income Statement'!$B20</x:f>
        <x:v>-59</x:v>
      </x:c>
      <x:c r="N11" s="62" t="n">
        <x:f>'Income Statement'!L21+'Income Statement'!$B20</x:f>
        <x:v>-58</x:v>
      </x:c>
      <x:c r="O11" s="62" t="n">
        <x:f>'Income Statement'!M21+'Income Statement'!$B20</x:f>
        <x:v>-56</x:v>
      </x:c>
      <x:c r="P11" s="62" t="n">
        <x:f>'Income Statement'!N21+'Income Statement'!$B20</x:f>
        <x:v>-56</x:v>
      </x:c>
      <x:c r="Q11" s="62" t="n">
        <x:f>'Income Statement'!O21+'Income Statement'!$B20</x:f>
        <x:v>-57</x:v>
      </x:c>
      <x:c r="R11" s="62" t="n">
        <x:f>'Income Statement'!P21+'Income Statement'!$B20</x:f>
        <x:v>-54</x:v>
      </x:c>
      <x:c r="S11" s="62" t="n">
        <x:f>'Income Statement'!Q21+'Income Statement'!$B20</x:f>
        <x:v>-54</x:v>
      </x:c>
      <x:c r="T11" s="62" t="n">
        <x:f>'Income Statement'!R21+'Income Statement'!$B20</x:f>
        <x:v>-54</x:v>
      </x:c>
      <x:c r="U11" s="62" t="n">
        <x:f>'Income Statement'!S21+'Income Statement'!$B20</x:f>
        <x:v>-56</x:v>
      </x:c>
    </x:row>
    <x:row r="12" ht="14.25" customHeight="1">
      <x:c r="A12" t="s">
        <x:v>217</x:v>
      </x:c>
      <x:c r="D12" s="70" t="n">
        <x:f t="shared" ref="D12:U12" si="5">D10/D6</x:f>
        <x:v>-0.007611661640097659</x:v>
      </x:c>
      <x:c r="E12" s="70">
        <x:f t="shared" si="5"/>
        <x:v>-8.6169754416199913E-3</x:v>
      </x:c>
      <x:c r="F12" s="70">
        <x:f t="shared" si="5"/>
        <x:v>-5.1913254626140834E-3</x:v>
      </x:c>
      <x:c r="G12" s="70">
        <x:f t="shared" si="5"/>
        <x:v>-5.5738304093567248E-3</x:v>
      </x:c>
      <x:c r="H12" s="70">
        <x:f t="shared" si="5"/>
        <x:v>-6.212315000913576E-3</x:v>
      </x:c>
      <x:c r="I12" s="70">
        <x:f t="shared" si="5"/>
        <x:v>-5.9376998264364664E-3</x:v>
      </x:c>
      <x:c r="J12" s="70">
        <x:f t="shared" si="5"/>
        <x:v>-5.9366152160014616E-3</x:v>
      </x:c>
      <x:c r="K12" s="70">
        <x:f t="shared" si="5"/>
        <x:v>-5.8447488584474887E-3</x:v>
      </x:c>
      <x:c r="L12" s="70">
        <x:f t="shared" si="5"/>
        <x:v>-6.0257463708572991E-3</x:v>
      </x:c>
      <x:c r="M12" s="70">
        <x:f t="shared" si="5"/>
        <x:v>-5.9339054226766478E-3</x:v>
      </x:c>
      <x:c r="N12" s="70">
        <x:f t="shared" si="5"/>
        <x:v>-6.4914992272024734E-3</x:v>
      </x:c>
      <x:c r="O12" s="70">
        <x:f t="shared" si="5"/>
        <x:v>-6.4908304141767983E-3</x:v>
      </x:c>
      <x:c r="P12" s="70">
        <x:f t="shared" si="5"/>
        <x:v>-6.5918220208054379E-3</x:v>
      </x:c>
      <x:c r="Q12" s="70">
        <x:f t="shared" si="5"/>
        <x:v>-6.2821833161688977E-3</x:v>
      </x:c>
      <x:c r="R12" s="70">
        <x:f t="shared" si="5"/>
        <x:v>-7.2095496986171849E-3</x:v>
      </x:c>
      <x:c r="S12" s="70">
        <x:f t="shared" si="5"/>
        <x:v>-7.2086977073977784E-3</x:v>
      </x:c>
      <x:c r="T12" s="70">
        <x:f t="shared" si="5"/>
        <x:v>-7.4441687344913151E-3</x:v>
      </x:c>
      <x:c r="U12" s="70">
        <x:f t="shared" si="5"/>
        <x:v>-7.3251417769376178E-3</x:v>
      </x:c>
      <x:c r="V12" s="71" t="n">
        <x:f t="shared" ref="V12:AE12" si="6">AVERAGE($D12:$U12)</x:f>
        <x:v>-0.00655159536360105</x:v>
      </x:c>
      <x:c r="W12" s="71">
        <x:f t="shared" si="6"/>
        <x:v>-6.5515953636010498E-3</x:v>
      </x:c>
      <x:c r="X12" s="71">
        <x:f t="shared" si="6"/>
        <x:v>-6.5515953636010498E-3</x:v>
      </x:c>
      <x:c r="Y12" s="71">
        <x:f t="shared" si="6"/>
        <x:v>-6.5515953636010498E-3</x:v>
      </x:c>
      <x:c r="Z12" s="71">
        <x:f t="shared" si="6"/>
        <x:v>-6.5515953636010498E-3</x:v>
      </x:c>
      <x:c r="AA12" s="71">
        <x:f t="shared" si="6"/>
        <x:v>-6.5515953636010498E-3</x:v>
      </x:c>
      <x:c r="AB12" s="71">
        <x:f t="shared" si="6"/>
        <x:v>-6.5515953636010498E-3</x:v>
      </x:c>
      <x:c r="AC12" s="71">
        <x:f t="shared" si="6"/>
        <x:v>-6.5515953636010498E-3</x:v>
      </x:c>
      <x:c r="AD12" s="71">
        <x:f t="shared" si="6"/>
        <x:v>-6.5515953636010498E-3</x:v>
      </x:c>
      <x:c r="AE12" s="71">
        <x:f t="shared" si="6"/>
        <x:v>-6.5515953636010498E-3</x:v>
      </x:c>
    </x:row>
    <x:row r="13" ht="14.25" customHeight="1">
      <x:c r="A13" s="72"/>
      <x:c r="B13" s="72"/>
      <x:c r="C13" s="72"/>
      <x:c r="D13" s="72"/>
      <x:c r="E13" s="72"/>
      <x:c r="F13" s="72"/>
      <x:c r="G13" s="72"/>
      <x:c r="H13" s="72"/>
      <x:c r="I13" s="72"/>
      <x:c r="J13" s="72"/>
      <x:c r="K13" s="72"/>
      <x:c r="L13" s="72"/>
      <x:c r="M13" s="72"/>
      <x:c r="N13" s="72"/>
      <x:c r="O13" s="72"/>
      <x:c r="P13" s="72"/>
      <x:c r="Q13" s="72"/>
      <x:c r="R13" s="72"/>
      <x:c r="S13" s="72"/>
    </x:row>
    <x:row r="14" ht="26.25" customHeight="1">
      <x:c r="A14" s="72"/>
      <x:c r="B14" s="72"/>
      <x:c r="C14" s="72"/>
      <x:c r="D14" s="72"/>
      <x:c r="E14" s="72"/>
      <x:c r="F14" s="72"/>
      <x:c r="G14" s="72"/>
      <x:c r="H14" s="72"/>
      <x:c r="I14" s="72"/>
      <x:c r="J14" s="72"/>
      <x:c r="K14" s="72"/>
      <x:c r="L14" s="72"/>
      <x:c r="M14" s="72"/>
      <x:c r="N14" s="72"/>
      <x:c r="O14" s="72"/>
      <x:c r="P14" s="72"/>
      <x:c r="Q14" s="72"/>
      <x:c r="R14" s="72"/>
      <x:c r="S14" s="72"/>
    </x:row>
    <x:row r="15" ht="14.25" customHeight="1">
      <x:c r="A15" s="72"/>
      <x:c r="B15" s="73" t="s">
        <x:v>218</x:v>
      </x:c>
      <x:c r="C15" s="72"/>
      <x:c r="D15" s="74"/>
      <x:c r="E15" s="74"/>
      <x:c r="F15" s="74"/>
      <x:c r="G15" s="74"/>
      <x:c r="H15" s="72"/>
      <x:c r="I15" s="72"/>
      <x:c r="J15" s="72"/>
      <x:c r="K15" s="72"/>
      <x:c r="L15" s="72"/>
      <x:c r="M15" s="72"/>
      <x:c r="N15" s="72"/>
      <x:c r="O15" s="72"/>
      <x:c r="P15" s="72"/>
      <x:c r="Q15" s="72"/>
      <x:c r="R15" s="72"/>
      <x:c r="S15" s="72"/>
    </x:row>
    <x:row r="16" ht="14.25" customHeight="1">
      <x:c r="A16" s="72"/>
      <x:c r="B16" s="72"/>
      <x:c r="C16" s="72"/>
      <x:c r="D16" s="75"/>
      <x:c r="E16" s="75"/>
      <x:c r="F16" s="76"/>
      <x:c r="G16" s="76"/>
      <x:c r="H16" s="75"/>
      <x:c r="I16" s="72"/>
      <x:c r="J16" s="72"/>
      <x:c r="K16" s="72"/>
      <x:c r="L16" s="72"/>
      <x:c r="M16" s="72"/>
      <x:c r="N16" s="72"/>
      <x:c r="O16" s="72"/>
      <x:c r="P16" s="72"/>
      <x:c r="Q16" s="72"/>
      <x:c r="R16" s="72"/>
      <x:c r="S16" s="72"/>
    </x:row>
    <x:row r="17" ht="27" customHeight="1">
      <x:c r="A17" s="72"/>
      <x:c r="B17" s="158" t="s">
        <x:v>219</x:v>
      </x:c>
      <x:c r="C17" s="158"/>
      <x:c r="D17" s="158"/>
      <x:c r="E17" s="158"/>
      <x:c r="F17" s="158"/>
      <x:c r="G17" s="158"/>
      <x:c r="H17" s="158"/>
      <x:c r="I17" s="72"/>
      <x:c r="J17" s="72"/>
      <x:c r="K17" s="72"/>
      <x:c r="L17" s="72"/>
      <x:c r="M17" s="72"/>
      <x:c r="N17" s="72"/>
      <x:c r="O17" s="72"/>
      <x:c r="P17" s="72"/>
      <x:c r="Q17" s="72"/>
      <x:c r="R17" s="72"/>
      <x:c r="S17" s="72"/>
    </x:row>
    <x:row r="18" ht="27" customHeight="1">
      <x:c r="A18" s="72"/>
      <x:c r="B18" s="158"/>
      <x:c r="C18" s="158"/>
      <x:c r="D18" s="158"/>
      <x:c r="E18" s="158"/>
      <x:c r="F18" s="158"/>
      <x:c r="G18" s="158"/>
      <x:c r="H18" s="158"/>
      <x:c r="I18" s="72"/>
      <x:c r="J18" s="72"/>
      <x:c r="K18" s="72"/>
      <x:c r="L18" s="72"/>
      <x:c r="M18" s="72"/>
      <x:c r="N18" s="72"/>
      <x:c r="O18" s="72"/>
      <x:c r="P18" s="72"/>
      <x:c r="Q18" s="72"/>
      <x:c r="R18" s="72"/>
      <x:c r="S18" s="72"/>
    </x:row>
    <x:row r="19" ht="27" customHeight="1">
      <x:c r="A19" s="72"/>
      <x:c r="B19" s="158"/>
      <x:c r="C19" s="158"/>
      <x:c r="D19" s="158"/>
      <x:c r="E19" s="158"/>
      <x:c r="F19" s="158"/>
      <x:c r="G19" s="158"/>
      <x:c r="H19" s="158"/>
      <x:c r="I19" s="72"/>
      <x:c r="J19" s="72"/>
      <x:c r="K19" s="72"/>
      <x:c r="L19" s="72"/>
      <x:c r="M19" s="72"/>
      <x:c r="N19" s="72"/>
      <x:c r="O19" s="72"/>
      <x:c r="P19" s="72"/>
      <x:c r="Q19" s="72"/>
      <x:c r="R19" s="72"/>
      <x:c r="S19" s="72"/>
    </x:row>
    <x:row r="20" ht="27" customHeight="1">
      <x:c r="A20" s="72"/>
      <x:c r="B20" s="158"/>
      <x:c r="C20" s="158"/>
      <x:c r="D20" s="158"/>
      <x:c r="E20" s="158"/>
      <x:c r="F20" s="158"/>
      <x:c r="G20" s="158"/>
      <x:c r="H20" s="158"/>
      <x:c r="I20" s="72"/>
      <x:c r="J20" s="72"/>
      <x:c r="K20" s="72"/>
      <x:c r="L20" s="72"/>
      <x:c r="M20" s="72"/>
      <x:c r="N20" s="72"/>
      <x:c r="O20" s="72"/>
      <x:c r="P20" s="72"/>
      <x:c r="Q20" s="72"/>
      <x:c r="R20" s="72"/>
      <x:c r="S20" s="72"/>
    </x:row>
    <x:row r="21" ht="14.25" customHeight="1">
      <x:c r="A21" s="72"/>
      <x:c r="B21" s="72"/>
      <x:c r="C21" s="72"/>
      <x:c r="D21" s="72"/>
      <x:c r="E21" s="72"/>
      <x:c r="F21" s="72"/>
      <x:c r="G21" s="72"/>
      <x:c r="H21" s="72"/>
      <x:c r="I21" s="72"/>
      <x:c r="J21" s="72"/>
      <x:c r="K21" s="72"/>
      <x:c r="L21" s="72"/>
      <x:c r="M21" s="72"/>
      <x:c r="N21" s="72"/>
      <x:c r="O21" s="72"/>
      <x:c r="P21" s="72"/>
      <x:c r="Q21" s="72"/>
      <x:c r="R21" s="72"/>
      <x:c r="S21" s="72"/>
    </x:row>
    <x:row r="22" ht="14.25" customHeight="1">
      <x:c r="A22" s="72"/>
      <x:c r="B22" s="72"/>
      <x:c r="C22" s="72"/>
      <x:c r="D22" s="72"/>
      <x:c r="E22" s="72"/>
      <x:c r="F22" s="72"/>
      <x:c r="G22" s="72"/>
      <x:c r="H22" s="72"/>
      <x:c r="I22" s="72"/>
      <x:c r="J22" s="72"/>
      <x:c r="K22" s="72"/>
      <x:c r="L22" s="72"/>
      <x:c r="M22" s="72"/>
      <x:c r="N22" s="72"/>
      <x:c r="O22" s="72"/>
      <x:c r="P22" s="72"/>
      <x:c r="Q22" s="72"/>
      <x:c r="R22" s="72"/>
      <x:c r="S22" s="72"/>
    </x:row>
    <x:row r="23" ht="14.25" customHeight="1">
      <x:c r="A23" s="72"/>
      <x:c r="B23" s="72"/>
      <x:c r="C23" s="72"/>
      <x:c r="D23" s="72"/>
      <x:c r="E23" s="72"/>
      <x:c r="F23" s="72"/>
      <x:c r="G23" s="72"/>
      <x:c r="H23" s="72"/>
      <x:c r="I23" s="72"/>
      <x:c r="J23" s="72"/>
      <x:c r="K23" s="72"/>
      <x:c r="L23" s="72"/>
      <x:c r="M23" s="72"/>
      <x:c r="N23" s="72"/>
      <x:c r="O23" s="72"/>
      <x:c r="P23" s="72"/>
      <x:c r="Q23" s="72"/>
      <x:c r="R23" s="72"/>
      <x:c r="S23" s="72"/>
    </x:row>
    <x:row r="24" ht="14.25" customHeight="1">
      <x:c r="A24" s="72"/>
      <x:c r="B24" s="77"/>
      <x:c r="C24" s="72"/>
      <x:c r="D24" s="72"/>
      <x:c r="E24" s="72"/>
      <x:c r="F24" s="72"/>
      <x:c r="G24" s="72"/>
      <x:c r="H24" s="72"/>
      <x:c r="I24" s="72"/>
      <x:c r="J24" s="72"/>
      <x:c r="K24" s="72"/>
      <x:c r="L24" s="72"/>
      <x:c r="M24" s="72"/>
      <x:c r="N24" s="72"/>
      <x:c r="O24" s="72"/>
      <x:c r="P24" s="72"/>
      <x:c r="Q24" s="72"/>
      <x:c r="R24" s="72"/>
      <x:c r="S24" s="72"/>
    </x:row>
    <x:row r="25" ht="14.25" customHeight="1">
      <x:c r="A25" s="72"/>
      <x:c r="B25" s="72"/>
      <x:c r="C25" s="72"/>
      <x:c r="D25" s="72"/>
      <x:c r="E25" s="72"/>
      <x:c r="F25" s="72"/>
      <x:c r="G25" s="72"/>
      <x:c r="H25" s="72"/>
      <x:c r="I25" s="72"/>
      <x:c r="J25" s="72"/>
      <x:c r="K25" s="72"/>
      <x:c r="L25" s="72"/>
      <x:c r="M25" s="72"/>
      <x:c r="N25" s="72"/>
      <x:c r="O25" s="72"/>
      <x:c r="P25" s="72"/>
      <x:c r="Q25" s="72"/>
      <x:c r="R25" s="72"/>
      <x:c r="S25" s="72"/>
    </x:row>
    <x:row r="26" ht="14.25" customHeight="1">
      <x:c r="A26" s="72"/>
      <x:c r="B26" s="72"/>
      <x:c r="C26" s="72"/>
      <x:c r="D26" s="72"/>
      <x:c r="E26" s="72"/>
      <x:c r="F26" s="72"/>
      <x:c r="G26" s="72"/>
      <x:c r="H26" s="72"/>
      <x:c r="I26" s="72"/>
      <x:c r="J26" s="72"/>
      <x:c r="K26" s="72"/>
      <x:c r="L26" s="72"/>
      <x:c r="M26" s="72"/>
      <x:c r="N26" s="72"/>
      <x:c r="O26" s="72"/>
      <x:c r="P26" s="72"/>
      <x:c r="Q26" s="72"/>
      <x:c r="R26" s="72"/>
      <x:c r="S26" s="72"/>
    </x:row>
    <x:row r="27" ht="14.25" customHeight="1">
      <x:c r="A27" s="72"/>
      <x:c r="B27" s="72"/>
      <x:c r="C27" s="72"/>
      <x:c r="D27" s="72"/>
      <x:c r="E27" s="72"/>
      <x:c r="F27" s="72"/>
      <x:c r="G27" s="72"/>
      <x:c r="H27" s="72"/>
      <x:c r="I27" s="72"/>
      <x:c r="J27" s="72"/>
      <x:c r="K27" s="72"/>
      <x:c r="L27" s="72"/>
      <x:c r="M27" s="72"/>
      <x:c r="N27" s="72"/>
      <x:c r="O27" s="72"/>
      <x:c r="P27" s="72"/>
      <x:c r="Q27" s="72"/>
      <x:c r="R27" s="72"/>
      <x:c r="S27" s="72"/>
    </x:row>
    <x:row r="28" ht="14.25" customHeight="1">
      <x:c r="A28" s="72"/>
      <x:c r="B28" s="72"/>
      <x:c r="C28" s="72"/>
      <x:c r="D28" s="72"/>
      <x:c r="E28" s="72"/>
      <x:c r="F28" s="72"/>
      <x:c r="G28" s="72"/>
      <x:c r="H28" s="72"/>
      <x:c r="I28" s="72"/>
      <x:c r="J28" s="72"/>
      <x:c r="K28" s="72"/>
      <x:c r="L28" s="72"/>
      <x:c r="M28" s="72"/>
      <x:c r="N28" s="72"/>
      <x:c r="O28" s="72"/>
      <x:c r="P28" s="72"/>
      <x:c r="Q28" s="72"/>
      <x:c r="R28" s="72"/>
      <x:c r="S28" s="72"/>
    </x:row>
    <x:row r="29" ht="14.25" customHeight="1">
      <x:c r="A29" s="72"/>
      <x:c r="B29" s="77"/>
      <x:c r="C29" s="72"/>
      <x:c r="D29" s="72"/>
      <x:c r="E29" s="72"/>
      <x:c r="F29" s="72"/>
      <x:c r="G29" s="72"/>
      <x:c r="H29" s="72"/>
      <x:c r="I29" s="72"/>
      <x:c r="J29" s="72"/>
      <x:c r="K29" s="72"/>
      <x:c r="L29" s="72"/>
      <x:c r="M29" s="72"/>
      <x:c r="N29" s="72"/>
      <x:c r="O29" s="72"/>
      <x:c r="P29" s="72"/>
      <x:c r="Q29" s="72"/>
      <x:c r="R29" s="72"/>
      <x:c r="S29" s="72"/>
    </x:row>
    <x:row r="30" ht="14.25" customHeight="1">
      <x:c r="A30" s="72"/>
      <x:c r="B30" s="72"/>
      <x:c r="C30" s="72"/>
      <x:c r="D30" s="72"/>
      <x:c r="E30" s="72"/>
      <x:c r="F30" s="72"/>
      <x:c r="G30" s="72"/>
      <x:c r="H30" s="72"/>
      <x:c r="I30" s="72"/>
      <x:c r="J30" s="72"/>
      <x:c r="K30" s="72"/>
      <x:c r="L30" s="72"/>
      <x:c r="M30" s="72"/>
      <x:c r="N30" s="72"/>
      <x:c r="O30" s="72"/>
      <x:c r="P30" s="72"/>
      <x:c r="Q30" s="72"/>
      <x:c r="R30" s="72"/>
      <x:c r="S30" s="72"/>
    </x:row>
    <x:row r="31" ht="14.25" customHeight="1">
      <x:c r="A31" s="72"/>
      <x:c r="B31" s="72"/>
      <x:c r="C31" s="72"/>
      <x:c r="D31" s="72"/>
      <x:c r="E31" s="72"/>
      <x:c r="F31" s="72"/>
      <x:c r="G31" s="72"/>
      <x:c r="H31" s="72"/>
      <x:c r="I31" s="72"/>
      <x:c r="J31" s="72"/>
      <x:c r="K31" s="72"/>
      <x:c r="L31" s="72"/>
      <x:c r="M31" s="72"/>
      <x:c r="N31" s="72"/>
      <x:c r="O31" s="72"/>
      <x:c r="P31" s="72"/>
      <x:c r="Q31" s="72"/>
      <x:c r="R31" s="72"/>
      <x:c r="S31" s="72"/>
    </x:row>
    <x:row r="32" ht="14.25" customHeight="1">
      <x:c r="A32" s="72"/>
      <x:c r="B32" s="72"/>
      <x:c r="C32" s="72"/>
      <x:c r="D32" s="72"/>
      <x:c r="E32" s="72"/>
      <x:c r="F32" s="72"/>
      <x:c r="G32" s="72"/>
      <x:c r="H32" s="72"/>
      <x:c r="I32" s="72"/>
      <x:c r="J32" s="72"/>
      <x:c r="K32" s="72"/>
      <x:c r="L32" s="72"/>
      <x:c r="M32" s="72"/>
      <x:c r="N32" s="72"/>
      <x:c r="O32" s="72"/>
      <x:c r="P32" s="72"/>
      <x:c r="Q32" s="72"/>
      <x:c r="R32" s="72"/>
      <x:c r="S32" s="72"/>
    </x:row>
    <x:row r="33" ht="14.25" customHeight="1">
      <x:c r="A33" s="72"/>
      <x:c r="B33" s="77"/>
      <x:c r="C33" s="72"/>
      <x:c r="D33" s="72"/>
      <x:c r="E33" s="72"/>
      <x:c r="F33" s="72"/>
      <x:c r="G33" s="72"/>
      <x:c r="H33" s="72"/>
      <x:c r="I33" s="72"/>
      <x:c r="J33" s="72"/>
      <x:c r="K33" s="72"/>
      <x:c r="L33" s="72"/>
      <x:c r="M33" s="72"/>
      <x:c r="N33" s="72"/>
      <x:c r="O33" s="72"/>
      <x:c r="P33" s="72"/>
      <x:c r="Q33" s="72"/>
      <x:c r="R33" s="72"/>
      <x:c r="S33" s="72"/>
    </x:row>
    <x:row r="34" ht="14.25" customHeight="1">
      <x:c r="A34" s="72"/>
      <x:c r="B34" s="72"/>
      <x:c r="C34" s="72"/>
      <x:c r="D34" s="72"/>
      <x:c r="E34" s="72"/>
      <x:c r="F34" s="72"/>
      <x:c r="G34" s="72"/>
      <x:c r="H34" s="72"/>
      <x:c r="I34" s="72"/>
      <x:c r="J34" s="72"/>
      <x:c r="K34" s="72"/>
      <x:c r="L34" s="72"/>
      <x:c r="M34" s="72"/>
      <x:c r="N34" s="72"/>
      <x:c r="O34" s="72"/>
      <x:c r="P34" s="72"/>
      <x:c r="Q34" s="72"/>
      <x:c r="R34" s="72"/>
      <x:c r="S34" s="72"/>
    </x:row>
    <x:row r="35" ht="14.25" customHeight="1">
      <x:c r="A35" s="72"/>
      <x:c r="B35" s="72"/>
      <x:c r="C35" s="72"/>
      <x:c r="D35" s="72"/>
      <x:c r="E35" s="72"/>
      <x:c r="F35" s="72"/>
      <x:c r="G35" s="72"/>
      <x:c r="H35" s="72"/>
      <x:c r="I35" s="72"/>
      <x:c r="J35" s="72"/>
      <x:c r="K35" s="72"/>
      <x:c r="L35" s="72"/>
      <x:c r="M35" s="72"/>
      <x:c r="N35" s="72"/>
      <x:c r="O35" s="72"/>
      <x:c r="P35" s="72"/>
      <x:c r="Q35" s="72"/>
      <x:c r="R35" s="72"/>
      <x:c r="S35" s="72"/>
    </x:row>
    <x:row r="36" ht="14.25" customHeight="1">
      <x:c r="A36" s="78"/>
      <x:c r="B36" s="72"/>
      <x:c r="C36" s="72"/>
      <x:c r="D36" s="72"/>
      <x:c r="E36" s="72"/>
      <x:c r="F36" s="72"/>
      <x:c r="G36" s="72"/>
      <x:c r="H36" s="72"/>
      <x:c r="I36" s="72"/>
      <x:c r="J36" s="72"/>
      <x:c r="K36" s="72"/>
      <x:c r="L36" s="72"/>
      <x:c r="M36" s="72"/>
      <x:c r="N36" s="72"/>
      <x:c r="O36" s="72"/>
      <x:c r="P36" s="72"/>
      <x:c r="Q36" s="72"/>
      <x:c r="R36" s="72"/>
      <x:c r="S36" s="72"/>
    </x:row>
    <x:row r="37" ht="14.25" customHeight="1">
      <x:c r="A37" s="72"/>
      <x:c r="B37" s="72"/>
      <x:c r="C37" s="72"/>
      <x:c r="D37" s="72"/>
      <x:c r="E37" s="72"/>
      <x:c r="F37" s="72"/>
      <x:c r="G37" s="72"/>
      <x:c r="H37" s="72"/>
      <x:c r="I37" s="72"/>
      <x:c r="J37" s="72"/>
      <x:c r="K37" s="72"/>
      <x:c r="L37" s="72"/>
      <x:c r="M37" s="72"/>
      <x:c r="N37" s="72"/>
      <x:c r="O37" s="72"/>
      <x:c r="P37" s="72"/>
      <x:c r="Q37" s="72"/>
      <x:c r="R37" s="72"/>
      <x:c r="S37" s="72"/>
    </x:row>
    <x:row r="38" ht="14.25" customHeight="1">
      <x:c r="A38" s="72"/>
      <x:c r="B38" s="72"/>
      <x:c r="C38" s="72"/>
      <x:c r="D38" s="72"/>
      <x:c r="E38" s="72"/>
      <x:c r="F38" s="72"/>
      <x:c r="G38" s="72"/>
      <x:c r="H38" s="72"/>
      <x:c r="I38" s="72"/>
      <x:c r="J38" s="72"/>
      <x:c r="K38" s="72"/>
      <x:c r="L38" s="72"/>
      <x:c r="M38" s="72"/>
      <x:c r="N38" s="72"/>
      <x:c r="O38" s="72"/>
      <x:c r="P38" s="72"/>
      <x:c r="Q38" s="72"/>
      <x:c r="R38" s="72"/>
      <x:c r="S38" s="72"/>
    </x:row>
    <x:row r="39" ht="14.25" customHeight="1">
      <x:c r="A39" s="72"/>
      <x:c r="B39" s="72"/>
      <x:c r="C39" s="72"/>
      <x:c r="D39" s="72"/>
      <x:c r="E39" s="72"/>
      <x:c r="F39" s="72"/>
      <x:c r="G39" s="72"/>
      <x:c r="H39" s="72"/>
      <x:c r="I39" s="72"/>
      <x:c r="J39" s="72"/>
      <x:c r="K39" s="72"/>
      <x:c r="L39" s="72"/>
      <x:c r="M39" s="72"/>
      <x:c r="N39" s="72"/>
      <x:c r="O39" s="72"/>
      <x:c r="P39" s="72"/>
      <x:c r="Q39" s="72"/>
      <x:c r="R39" s="72"/>
      <x:c r="S39" s="72"/>
    </x:row>
    <x:row r="40" ht="14.25" customHeight="1">
      <x:c r="A40" s="72"/>
      <x:c r="B40" s="72"/>
      <x:c r="C40" s="72"/>
      <x:c r="D40" s="72"/>
      <x:c r="E40" s="72"/>
      <x:c r="F40" s="72"/>
      <x:c r="G40" s="72"/>
      <x:c r="H40" s="72"/>
      <x:c r="I40" s="72"/>
      <x:c r="J40" s="72"/>
      <x:c r="K40" s="72"/>
      <x:c r="L40" s="72"/>
      <x:c r="M40" s="72"/>
      <x:c r="N40" s="72"/>
      <x:c r="O40" s="72"/>
      <x:c r="P40" s="72"/>
      <x:c r="Q40" s="72"/>
      <x:c r="R40" s="72"/>
      <x:c r="S40" s="72"/>
    </x:row>
  </x:sheetData>
  <x:mergeCells>
    <x:mergeCell ref="D4:U4"/>
    <x:mergeCell ref="V4:AE4"/>
    <x:mergeCell ref="A7:C7"/>
    <x:mergeCell ref="B17:H20"/>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8.6640625" defaultRowHeight="14.25"/>
  <x:cols>
    <x:col min="1" max="1" width="11.73046875" customWidth="1"/>
    <x:col min="2" max="2" width="7.86328125" customWidth="1"/>
    <x:col min="3" max="3" width="8.265625" customWidth="1"/>
    <x:col min="4" max="4" width="9.1328125" customWidth="1"/>
    <x:col min="5" max="7" width="9.59765625" customWidth="1"/>
    <x:col min="8" max="8" width="9.1328125" customWidth="1"/>
    <x:col min="9" max="11" width="9.59765625" customWidth="1"/>
    <x:col min="12" max="12" width="9.1328125" customWidth="1"/>
    <x:col min="13" max="15" width="9.59765625" customWidth="1"/>
    <x:col min="16" max="16" width="9.1328125" customWidth="1"/>
    <x:col min="17" max="19" width="9.59765625" customWidth="1"/>
    <x:col min="20" max="20" width="9.1328125" customWidth="1"/>
    <x:col min="21" max="23" width="9.59765625" customWidth="1"/>
    <x:col min="24" max="24" width="9.1328125" customWidth="1"/>
    <x:col min="25" max="27" width="9.59765625" customWidth="1"/>
    <x:col min="28" max="28" width="9.265625" customWidth="1"/>
    <x:col min="29" max="31" width="9.59765625" customWidth="1"/>
    <x:col min="32" max="32" width="8.86328125" customWidth="1"/>
  </x:cols>
  <x:sheetData>
    <x:row r="1" ht="9" customHeight="1">
      <x:c r="U1" s="46"/>
      <x:c r="V1" s="46"/>
      <x:c r="W1" s="46"/>
      <x:c r="X1" s="46"/>
      <x:c r="Y1" s="46"/>
      <x:c r="Z1" s="46"/>
      <x:c r="AA1" s="46"/>
      <x:c r="AB1" s="46"/>
      <x:c r="AC1" s="46"/>
      <x:c r="AD1" s="46"/>
      <x:c r="AE1" s="46"/>
    </x:row>
    <x:row r="2" ht="21.75" customHeight="1">
      <x:c r="A2" s="15" t="s">
        <x:v>220</x:v>
      </x:c>
      <x:c r="L2" s="17"/>
      <x:c r="M2" s="17"/>
      <x:c r="N2" s="17"/>
      <x:c r="O2" s="18"/>
      <x:c r="P2" s="18"/>
      <x:c r="Q2" s="18"/>
      <x:c r="R2" s="18"/>
      <x:c r="S2" s="18"/>
    </x:row>
    <x:row r="4" ht="14.25" customHeight="1">
      <x:c r="A4" s="24"/>
      <x:c r="D4" s="159" t="s">
        <x:v>193</x:v>
      </x:c>
      <x:c r="E4" s="159"/>
      <x:c r="F4" s="159"/>
      <x:c r="G4" s="159"/>
      <x:c r="H4" s="159"/>
      <x:c r="I4" s="159"/>
      <x:c r="J4" s="159"/>
      <x:c r="K4" s="159"/>
      <x:c r="L4" s="159"/>
      <x:c r="M4" s="159"/>
      <x:c r="N4" s="159"/>
      <x:c r="O4" s="159"/>
      <x:c r="P4" s="159"/>
      <x:c r="Q4" s="159"/>
      <x:c r="R4" s="159"/>
      <x:c r="S4" s="159"/>
      <x:c r="T4" s="159"/>
      <x:c r="U4" s="159"/>
      <x:c r="V4" s="159" t="s">
        <x:v>194</x:v>
      </x:c>
      <x:c r="W4" s="159"/>
      <x:c r="X4" s="159"/>
      <x:c r="Y4" s="159"/>
      <x:c r="Z4" s="159"/>
      <x:c r="AA4" s="159"/>
      <x:c r="AB4" s="159"/>
      <x:c r="AC4" s="159"/>
      <x:c r="AD4" s="159"/>
      <x:c r="AE4" s="159"/>
    </x:row>
    <x:row r="5" ht="14.25" customHeight="1">
      <x:c r="A5" s="24" t="s">
        <x:v>195</x:v>
      </x:c>
      <x:c r="D5" s="51" t="s">
        <x:v>71</x:v>
      </x:c>
      <x:c r="E5" s="51" t="str">
        <x:f t="shared" ref="E5:AE5" si="0">IF(MID(D5,2,1)="4","Q1 "&amp;RIGHT(D5,4)+1, "Q"&amp;MID(D5,2,1)+1&amp;" "&amp;RIGHT(D5,4))</x:f>
        <x:v>Q2 2022</x:v>
      </x:c>
      <x:c r="F5" s="51" t="str">
        <x:f t="shared" si="0"/>
        <x:v>Q3 2022</x:v>
      </x:c>
      <x:c r="G5" s="51" t="str">
        <x:f t="shared" si="0"/>
        <x:v>Q4 2022</x:v>
      </x:c>
      <x:c r="H5" s="51" t="str">
        <x:f t="shared" si="0"/>
        <x:v>Q1 2023</x:v>
      </x:c>
      <x:c r="I5" s="51" t="str">
        <x:f t="shared" si="0"/>
        <x:v>Q2 2023</x:v>
      </x:c>
      <x:c r="J5" s="51" t="str">
        <x:f t="shared" si="0"/>
        <x:v>Q3 2023</x:v>
      </x:c>
      <x:c r="K5" s="51" t="str">
        <x:f t="shared" si="0"/>
        <x:v>Q4 2023</x:v>
      </x:c>
      <x:c r="L5" s="51" t="str">
        <x:f t="shared" si="0"/>
        <x:v>Q1 2024</x:v>
      </x:c>
      <x:c r="M5" s="51" t="str">
        <x:f t="shared" si="0"/>
        <x:v>Q2 2024</x:v>
      </x:c>
      <x:c r="N5" s="51" t="str">
        <x:f t="shared" si="0"/>
        <x:v>Q3 2024</x:v>
      </x:c>
      <x:c r="O5" s="51" t="str">
        <x:f t="shared" si="0"/>
        <x:v>Q4 2024</x:v>
      </x:c>
      <x:c r="P5" s="51" t="str">
        <x:f t="shared" si="0"/>
        <x:v>Q1 2025</x:v>
      </x:c>
      <x:c r="Q5" s="51" t="str">
        <x:f t="shared" si="0"/>
        <x:v>Q2 2025</x:v>
      </x:c>
      <x:c r="R5" s="51" t="str">
        <x:f t="shared" si="0"/>
        <x:v>Q3 2025</x:v>
      </x:c>
      <x:c r="S5" s="51" t="str">
        <x:f t="shared" si="0"/>
        <x:v>Q4 2025</x:v>
      </x:c>
      <x:c r="T5" s="51" t="str">
        <x:f t="shared" si="0"/>
        <x:v>Q1 2026</x:v>
      </x:c>
      <x:c r="U5" s="51" t="str">
        <x:f t="shared" si="0"/>
        <x:v>Q2 2026</x:v>
      </x:c>
      <x:c r="V5" s="52" t="str">
        <x:f t="shared" si="0"/>
        <x:v>Q3 2026</x:v>
      </x:c>
      <x:c r="W5" s="52" t="str">
        <x:f t="shared" si="0"/>
        <x:v>Q4 2026</x:v>
      </x:c>
      <x:c r="X5" s="52" t="str">
        <x:f t="shared" si="0"/>
        <x:v>Q1 2027</x:v>
      </x:c>
      <x:c r="Y5" s="52" t="str">
        <x:f t="shared" si="0"/>
        <x:v>Q2 2027</x:v>
      </x:c>
      <x:c r="Z5" s="52" t="str">
        <x:f t="shared" si="0"/>
        <x:v>Q3 2027</x:v>
      </x:c>
      <x:c r="AA5" s="52" t="str">
        <x:f t="shared" si="0"/>
        <x:v>Q4 2027</x:v>
      </x:c>
      <x:c r="AB5" s="52" t="str">
        <x:f t="shared" si="0"/>
        <x:v>Q1 2028</x:v>
      </x:c>
      <x:c r="AC5" s="52" t="str">
        <x:f t="shared" si="0"/>
        <x:v>Q2 2028</x:v>
      </x:c>
      <x:c r="AD5" s="52" t="str">
        <x:f t="shared" si="0"/>
        <x:v>Q3 2028</x:v>
      </x:c>
      <x:c r="AE5" s="52" t="str">
        <x:f t="shared" si="0"/>
        <x:v>Q4 2028</x:v>
      </x:c>
    </x:row>
    <x:row r="6" ht="14.25" customHeight="1">
      <x:c r="C6" s="1"/>
      <x:c r="D6" s="1"/>
      <x:c r="E6" s="1"/>
      <x:c r="F6" s="1"/>
      <x:c r="G6" s="1"/>
      <x:c r="H6" s="1"/>
      <x:c r="I6" s="1"/>
      <x:c r="J6" s="1"/>
      <x:c r="K6" s="1"/>
      <x:c r="L6" s="1"/>
      <x:c r="M6" s="1"/>
      <x:c r="N6" s="1"/>
      <x:c r="O6" s="1"/>
      <x:c r="P6" s="1"/>
      <x:c r="Q6" s="1"/>
      <x:c r="R6" s="1"/>
      <x:c r="S6" s="1"/>
      <x:c r="T6" s="1"/>
      <x:c r="U6" s="1"/>
      <x:c r="V6" s="1"/>
      <x:c r="W6" s="1"/>
    </x:row>
    <x:row r="7" ht="14.25" customHeight="1">
      <x:c r="A7" s="24" t="s">
        <x:v>221</x:v>
      </x:c>
      <x:c r="C7" s="1"/>
      <x:c r="D7" s="1"/>
      <x:c r="E7" s="1"/>
      <x:c r="F7" s="1"/>
      <x:c r="G7" s="1"/>
      <x:c r="H7" s="1"/>
      <x:c r="I7" s="1"/>
      <x:c r="J7" s="1"/>
      <x:c r="K7" s="1"/>
      <x:c r="L7" s="1"/>
      <x:c r="M7" s="1"/>
      <x:c r="N7" s="1"/>
      <x:c r="O7" s="1"/>
      <x:c r="P7" s="1"/>
      <x:c r="Q7" s="1"/>
      <x:c r="R7" s="1"/>
      <x:c r="S7" s="1"/>
      <x:c r="T7" s="1"/>
      <x:c r="U7" s="1"/>
      <x:c r="V7" s="1"/>
      <x:c r="W7" s="1"/>
      <x:c r="AG7" s="79"/>
    </x:row>
    <x:row r="8" ht="14.25" customHeight="1">
      <x:c r="A8" t="s">
        <x:v>212</x:v>
      </x:c>
      <x:c r="C8" s="1"/>
      <x:c r="D8" s="62" t="n">
        <x:f>'Balance Sheet'!B17</x:f>
        <x:v>2149</x:v>
      </x:c>
      <x:c r="E8" s="62" t="n">
        <x:f>'Balance Sheet'!C17</x:f>
        <x:v>2268</x:v>
      </x:c>
      <x:c r="F8" s="62" t="n">
        <x:f>'Balance Sheet'!D17</x:f>
        <x:v>2364</x:v>
      </x:c>
      <x:c r="G8" s="62" t="n">
        <x:f>'Balance Sheet'!E17</x:f>
        <x:v>2509</x:v>
      </x:c>
      <x:c r="H8" s="62" t="n">
        <x:f>'Balance Sheet'!F17</x:f>
        <x:v>2778</x:v>
      </x:c>
      <x:c r="I8" s="62" t="n">
        <x:f>'Balance Sheet'!G17</x:f>
        <x:v>2916</x:v>
      </x:c>
      <x:c r="J8" s="62" t="n">
        <x:f>'Balance Sheet'!H17</x:f>
        <x:v>3233</x:v>
      </x:c>
      <x:c r="K8" s="62" t="n">
        <x:f>'Balance Sheet'!I17</x:f>
        <x:v>3774</x:v>
      </x:c>
      <x:c r="L8" s="62" t="n">
        <x:f>'Balance Sheet'!J17</x:f>
        <x:v>3807</x:v>
      </x:c>
      <x:c r="M8" s="62" t="n">
        <x:f>'Balance Sheet'!K17</x:f>
        <x:v>3740</x:v>
      </x:c>
      <x:c r="N8" s="62" t="n">
        <x:f>'Balance Sheet'!L17</x:f>
        <x:v>3799</x:v>
      </x:c>
      <x:c r="O8" s="62" t="n">
        <x:f>'Balance Sheet'!M17</x:f>
        <x:v>3844</x:v>
      </x:c>
      <x:c r="P8" s="62" t="n">
        <x:f>'Balance Sheet'!N17</x:f>
        <x:v>3914</x:v>
      </x:c>
      <x:c r="Q8" s="62" t="n">
        <x:f>'Balance Sheet'!O17</x:f>
        <x:v>4006</x:v>
      </x:c>
      <x:c r="R8" s="62" t="n">
        <x:f>'Balance Sheet'!P17</x:f>
        <x:v>4885</x:v>
      </x:c>
      <x:c r="S8" s="62" t="n">
        <x:f>'Balance Sheet'!Q17</x:f>
        <x:v>5343</x:v>
      </x:c>
      <x:c r="T8" s="62" t="n">
        <x:f>'Balance Sheet'!R17</x:f>
        <x:v>6283</x:v>
      </x:c>
      <x:c r="U8" s="62" t="n">
        <x:f>'Balance Sheet'!S17</x:f>
        <x:v>7136</x:v>
      </x:c>
      <x:c r="V8" s="64" t="n">
        <x:f t="shared" ref="V8:AE8" si="1">U12</x:f>
        <x:v>9141</x:v>
      </x:c>
      <x:c r="W8" s="64">
        <x:f t="shared" si="1"/>
        <x:v>10379.736358435033</x:v>
      </x:c>
      <x:c r="X8" s="64">
        <x:f t="shared" si="1"/>
        <x:v>11707.095448804617</x:v>
      </x:c>
      <x:c r="Y8" s="64">
        <x:f t="shared" si="1"/>
        <x:v>13142.680456052802</x:v>
      </x:c>
      <x:c r="Z8" s="64">
        <x:f t="shared" si="1"/>
        <x:v>14669.293215610616</x:v>
      </x:c>
      <x:c r="AA8" s="64">
        <x:f t="shared" si="1"/>
        <x:v>16180.023765144317</x:v>
      </x:c>
      <x:c r="AB8" s="64">
        <x:f t="shared" si="1"/>
        <x:v>17798.859224242151</x:v>
      </x:c>
      <x:c r="AC8" s="64">
        <x:f t="shared" si="1"/>
        <x:v>19463.072426266022</x:v>
      </x:c>
      <x:c r="AD8" s="64">
        <x:f t="shared" si="1"/>
        <x:v>21172.663371215931</x:v>
      </x:c>
      <x:c r="AE8" s="64">
        <x:f t="shared" si="1"/>
        <x:v>23091.562976206733</x:v>
      </x:c>
    </x:row>
    <x:row r="9" ht="14.25" customHeight="1">
      <x:c r="A9" t="s">
        <x:v>222</x:v>
      </x:c>
      <x:c r="C9" s="1"/>
      <x:c r="D9" s="62" t="n">
        <x:f t="shared" ref="D9:U9" si="2">D10-D8</x:f>
        <x:v>263</x:v>
      </x:c>
      <x:c r="E9" s="62">
        <x:f t="shared" si="2"/>
        <x:v>244</x:v>
      </x:c>
      <x:c r="F9" s="62">
        <x:f t="shared" si="2"/>
        <x:v>300</x:v>
      </x:c>
      <x:c r="G9" s="62">
        <x:f t="shared" si="2"/>
        <x:v>433</x:v>
      </x:c>
      <x:c r="H9" s="62">
        <x:f t="shared" si="2"/>
        <x:v>317</x:v>
      </x:c>
      <x:c r="I9" s="62">
        <x:f t="shared" si="2"/>
        <x:v>513</x:v>
      </x:c>
      <x:c r="J9" s="62">
        <x:f t="shared" si="2"/>
        <x:v>766</x:v>
      </x:c>
      <x:c r="K9" s="62">
        <x:f t="shared" si="2"/>
        <x:v>278</x:v>
      </x:c>
      <x:c r="L9" s="62">
        <x:f t="shared" si="2"/>
        <x:v>136</x:v>
      </x:c>
      <x:c r="M9" s="62">
        <x:f t="shared" si="2"/>
        <x:v>278</x:v>
      </x:c>
      <x:c r="N9" s="62">
        <x:f t="shared" si="2"/>
        <x:v>273</x:v>
      </x:c>
      <x:c r="O9" s="62">
        <x:f t="shared" si="2"/>
        <x:v>314</x:v>
      </x:c>
      <x:c r="P9" s="62">
        <x:f t="shared" si="2"/>
        <x:v>321</x:v>
      </x:c>
      <x:c r="Q9" s="62">
        <x:f t="shared" si="2"/>
        <x:v>1131</x:v>
      </x:c>
      <x:c r="R9" s="62">
        <x:f t="shared" si="2"/>
        <x:v>755</x:v>
      </x:c>
      <x:c r="S9" s="62">
        <x:f t="shared" si="2"/>
        <x:v>1337</x:v>
      </x:c>
      <x:c r="T9" s="62">
        <x:f t="shared" si="2"/>
        <x:v>1320</x:v>
      </x:c>
      <x:c r="U9" s="62">
        <x:f t="shared" si="2"/>
        <x:v>2531</x:v>
      </x:c>
      <x:c r="V9" s="64" t="n">
        <x:f>'DCF Valuation'!X28</x:f>
        <x:v>1846.4747620316011</x:v>
      </x:c>
      <x:c r="W9" s="64" t="n">
        <x:f>'DCF Valuation'!Y28</x:f>
        <x:v>1995.8169250434748</x:v>
      </x:c>
      <x:c r="X9" s="64" t="n">
        <x:f>'DCF Valuation'!Z28</x:f>
        <x:v>2178.193299228482</x:v>
      </x:c>
      <x:c r="Y9" s="64" t="n">
        <x:f>'DCF Valuation'!AA28</x:f>
        <x:v>2331.588270555578</x:v>
      </x:c>
      <x:c r="Z9" s="64" t="n">
        <x:f>'DCF Valuation'!AB28</x:f>
        <x:v>2304.8244420588267</x:v>
      </x:c>
      <x:c r="AA9" s="64" t="n">
        <x:f>'DCF Valuation'!AC28</x:f>
        <x:v>2486.996901360049</x:v>
      </x:c>
      <x:c r="AB9" s="64" t="n">
        <x:f>'DCF Valuation'!AD28</x:f>
        <x:v>2563.464982779339</x:v>
      </x:c>
      <x:c r="AC9" s="64" t="n">
        <x:f>'DCF Valuation'!AE28</x:f>
        <x:v>2639.933064198629</x:v>
      </x:c>
      <x:c r="AD9" s="64" t="n">
        <x:f>'DCF Valuation'!AF28</x:f>
        <x:v>2992.648528338332</x:v>
      </x:c>
      <x:c r="AE9" s="64" t="n">
        <x:f>'DCF Valuation'!AG28</x:f>
        <x:v>3367.479397495958</x:v>
      </x:c>
    </x:row>
    <x:row r="10" ht="14.25" customHeight="1">
      <x:c r="A10" s="35" t="s">
        <x:v>223</x:v>
      </x:c>
      <x:c r="B10" s="46"/>
      <x:c r="C10" s="80"/>
      <x:c r="D10" s="81" t="n">
        <x:f t="shared" ref="D10:U10" si="3">D12+D11</x:f>
        <x:v>2412</x:v>
      </x:c>
      <x:c r="E10" s="81">
        <x:f t="shared" si="3"/>
        <x:v>2512</x:v>
      </x:c>
      <x:c r="F10" s="81">
        <x:f t="shared" si="3"/>
        <x:v>2664</x:v>
      </x:c>
      <x:c r="G10" s="81">
        <x:f t="shared" si="3"/>
        <x:v>2942</x:v>
      </x:c>
      <x:c r="H10" s="81">
        <x:f t="shared" si="3"/>
        <x:v>3095</x:v>
      </x:c>
      <x:c r="I10" s="81">
        <x:f t="shared" si="3"/>
        <x:v>3429</x:v>
      </x:c>
      <x:c r="J10" s="81">
        <x:f t="shared" si="3"/>
        <x:v>3999</x:v>
      </x:c>
      <x:c r="K10" s="81">
        <x:f t="shared" si="3"/>
        <x:v>4052</x:v>
      </x:c>
      <x:c r="L10" s="81">
        <x:f t="shared" si="3"/>
        <x:v>3943</x:v>
      </x:c>
      <x:c r="M10" s="81">
        <x:f t="shared" si="3"/>
        <x:v>4018</x:v>
      </x:c>
      <x:c r="N10" s="81">
        <x:f t="shared" si="3"/>
        <x:v>4072</x:v>
      </x:c>
      <x:c r="O10" s="81">
        <x:f t="shared" si="3"/>
        <x:v>4158</x:v>
      </x:c>
      <x:c r="P10" s="81">
        <x:f t="shared" si="3"/>
        <x:v>4235</x:v>
      </x:c>
      <x:c r="Q10" s="81">
        <x:f t="shared" si="3"/>
        <x:v>5137</x:v>
      </x:c>
      <x:c r="R10" s="81">
        <x:f t="shared" si="3"/>
        <x:v>5640</x:v>
      </x:c>
      <x:c r="S10" s="81">
        <x:f t="shared" si="3"/>
        <x:v>6680</x:v>
      </x:c>
      <x:c r="T10" s="81">
        <x:f t="shared" si="3"/>
        <x:v>7603</x:v>
      </x:c>
      <x:c r="U10" s="81">
        <x:f t="shared" si="3"/>
        <x:v>9667</x:v>
      </x:c>
      <x:c r="V10" s="82" t="n">
        <x:f t="shared" ref="V10:AE10" si="4">V8+V9</x:f>
        <x:v>10987.474762031601</x:v>
      </x:c>
      <x:c r="W10" s="82">
        <x:f t="shared" si="4"/>
        <x:v>12375.553283478508</x:v>
      </x:c>
      <x:c r="X10" s="82">
        <x:f t="shared" si="4"/>
        <x:v>13885.288748033099</x:v>
      </x:c>
      <x:c r="Y10" s="82">
        <x:f t="shared" si="4"/>
        <x:v>15474.268726608379</x:v>
      </x:c>
      <x:c r="Z10" s="82">
        <x:f t="shared" si="4"/>
        <x:v>16974.117657669442</x:v>
      </x:c>
      <x:c r="AA10" s="82">
        <x:f t="shared" si="4"/>
        <x:v>18667.020666504366</x:v>
      </x:c>
      <x:c r="AB10" s="82">
        <x:f t="shared" si="4"/>
        <x:v>20362.324207021491</x:v>
      </x:c>
      <x:c r="AC10" s="82">
        <x:f t="shared" si="4"/>
        <x:v>22103.005490464653</x:v>
      </x:c>
      <x:c r="AD10" s="82">
        <x:f t="shared" si="4"/>
        <x:v>24165.311899554265</x:v>
      </x:c>
      <x:c r="AE10" s="82">
        <x:f t="shared" si="4"/>
        <x:v>26459.04237370269</x:v>
      </x:c>
    </x:row>
    <x:row r="11" ht="14.25" customHeight="1">
      <x:c r="A11" t="s">
        <x:v>224</x:v>
      </x:c>
      <x:c r="C11" s="1"/>
      <x:c r="D11" s="1" t="n">
        <x:f>'DCF Valuation'!F24</x:f>
        <x:v>144</x:v>
      </x:c>
      <x:c r="E11" s="1" t="n">
        <x:f>'DCF Valuation'!G24</x:f>
        <x:v>148</x:v>
      </x:c>
      <x:c r="F11" s="1" t="n">
        <x:f>'DCF Valuation'!H24</x:f>
        <x:v>155</x:v>
      </x:c>
      <x:c r="G11" s="1" t="n">
        <x:f>'DCF Valuation'!I24</x:f>
        <x:v>164</x:v>
      </x:c>
      <x:c r="H11" s="1" t="n">
        <x:f>'DCF Valuation'!J24</x:f>
        <x:v>179</x:v>
      </x:c>
      <x:c r="I11" s="1" t="n">
        <x:f>'DCF Valuation'!K24</x:f>
        <x:v>196</x:v>
      </x:c>
      <x:c r="J11" s="1" t="n">
        <x:f>'DCF Valuation'!L24</x:f>
        <x:v>225</x:v>
      </x:c>
      <x:c r="K11" s="1" t="n">
        <x:f>'DCF Valuation'!M24</x:f>
        <x:v>245</x:v>
      </x:c>
      <x:c r="L11" s="1" t="n">
        <x:f>'DCF Valuation'!N24</x:f>
        <x:v>203</x:v>
      </x:c>
      <x:c r="M11" s="1" t="n">
        <x:f>'DCF Valuation'!O24</x:f>
        <x:v>219</x:v>
      </x:c>
      <x:c r="N11" s="1" t="n">
        <x:f>'DCF Valuation'!P24</x:f>
        <x:v>228</x:v>
      </x:c>
      <x:c r="O11" s="1" t="n">
        <x:f>'DCF Valuation'!Q24</x:f>
        <x:v>244</x:v>
      </x:c>
      <x:c r="P11" s="1" t="n">
        <x:f>'DCF Valuation'!R24</x:f>
        <x:v>229</x:v>
      </x:c>
      <x:c r="Q11" s="1" t="n">
        <x:f>'DCF Valuation'!S24</x:f>
        <x:v>252</x:v>
      </x:c>
      <x:c r="R11" s="1" t="n">
        <x:f>'DCF Valuation'!T24</x:f>
        <x:v>297</x:v>
      </x:c>
      <x:c r="S11" s="1" t="n">
        <x:f>'DCF Valuation'!U24</x:f>
        <x:v>397</x:v>
      </x:c>
      <x:c r="T11" s="1" t="n">
        <x:f>'DCF Valuation'!V24</x:f>
        <x:v>467</x:v>
      </x:c>
      <x:c r="U11" s="1" t="n">
        <x:f>'DCF Valuation'!W24</x:f>
        <x:v>526</x:v>
      </x:c>
      <x:c r="V11" s="83" t="n">
        <x:f>'DCF Valuation'!X24</x:f>
        <x:v>607.7384035965686</x:v>
      </x:c>
      <x:c r="W11" s="83" t="n">
        <x:f>'DCF Valuation'!Y24</x:f>
        <x:v>668.4578346738908</x:v>
      </x:c>
      <x:c r="X11" s="83" t="n">
        <x:f>'DCF Valuation'!Z24</x:f>
        <x:v>742.608291980298</x:v>
      </x:c>
      <x:c r="Y11" s="83" t="n">
        <x:f>'DCF Valuation'!AA24</x:f>
        <x:v>804.9755109977626</x:v>
      </x:c>
      <x:c r="Z11" s="83" t="n">
        <x:f>'DCF Valuation'!AB24</x:f>
        <x:v>794.0938925251241</x:v>
      </x:c>
      <x:c r="AA11" s="83" t="n">
        <x:f>'DCF Valuation'!AC24</x:f>
        <x:v>868.1614422622162</x:v>
      </x:c>
      <x:c r="AB11" s="83" t="n">
        <x:f>'DCF Valuation'!AD24</x:f>
        <x:v>899.2517807554686</x:v>
      </x:c>
      <x:c r="AC11" s="83" t="n">
        <x:f>'DCF Valuation'!AE24</x:f>
        <x:v>930.342119248721</x:v>
      </x:c>
      <x:c r="AD11" s="83" t="n">
        <x:f>'DCF Valuation'!AF24</x:f>
        <x:v>1073.7489233475314</x:v>
      </x:c>
      <x:c r="AE11" s="83" t="n">
        <x:f>'DCF Valuation'!AG24</x:f>
        <x:v>1226.1473931866194</x:v>
      </x:c>
    </x:row>
    <x:row r="12" ht="14.25" customHeight="1">
      <x:c r="A12" s="35" t="s">
        <x:v>214</x:v>
      </x:c>
      <x:c r="B12" s="46"/>
      <x:c r="C12" s="67" t="n">
        <x:f>'Balance Sheet'!B17</x:f>
        <x:v>2149</x:v>
      </x:c>
      <x:c r="D12" s="67" t="n">
        <x:f>'Balance Sheet'!C17</x:f>
        <x:v>2268</x:v>
      </x:c>
      <x:c r="E12" s="67" t="n">
        <x:f>'Balance Sheet'!D17</x:f>
        <x:v>2364</x:v>
      </x:c>
      <x:c r="F12" s="67" t="n">
        <x:f>'Balance Sheet'!E17</x:f>
        <x:v>2509</x:v>
      </x:c>
      <x:c r="G12" s="67" t="n">
        <x:f>'Balance Sheet'!F17</x:f>
        <x:v>2778</x:v>
      </x:c>
      <x:c r="H12" s="67" t="n">
        <x:f>'Balance Sheet'!G17</x:f>
        <x:v>2916</x:v>
      </x:c>
      <x:c r="I12" s="67" t="n">
        <x:f>'Balance Sheet'!H17</x:f>
        <x:v>3233</x:v>
      </x:c>
      <x:c r="J12" s="67" t="n">
        <x:f>'Balance Sheet'!I17</x:f>
        <x:v>3774</x:v>
      </x:c>
      <x:c r="K12" s="67" t="n">
        <x:f>'Balance Sheet'!J17</x:f>
        <x:v>3807</x:v>
      </x:c>
      <x:c r="L12" s="67" t="n">
        <x:f>'Balance Sheet'!K17</x:f>
        <x:v>3740</x:v>
      </x:c>
      <x:c r="M12" s="67" t="n">
        <x:f>'Balance Sheet'!L17</x:f>
        <x:v>3799</x:v>
      </x:c>
      <x:c r="N12" s="67" t="n">
        <x:f>'Balance Sheet'!M17</x:f>
        <x:v>3844</x:v>
      </x:c>
      <x:c r="O12" s="67" t="n">
        <x:f>'Balance Sheet'!N17</x:f>
        <x:v>3914</x:v>
      </x:c>
      <x:c r="P12" s="67" t="n">
        <x:f>'Balance Sheet'!O17</x:f>
        <x:v>4006</x:v>
      </x:c>
      <x:c r="Q12" s="67" t="n">
        <x:f>'Balance Sheet'!P17</x:f>
        <x:v>4885</x:v>
      </x:c>
      <x:c r="R12" s="67" t="n">
        <x:f>'Balance Sheet'!Q17</x:f>
        <x:v>5343</x:v>
      </x:c>
      <x:c r="S12" s="67" t="n">
        <x:f>'Balance Sheet'!R17</x:f>
        <x:v>6283</x:v>
      </x:c>
      <x:c r="T12" s="67" t="n">
        <x:f>'Balance Sheet'!S17</x:f>
        <x:v>7136</x:v>
      </x:c>
      <x:c r="U12" s="67" t="n">
        <x:f>'Balance Sheet'!T17</x:f>
        <x:v>9141</x:v>
      </x:c>
      <x:c r="V12" s="68" t="n">
        <x:f t="shared" ref="V12:AE12" si="5">V10-V11</x:f>
        <x:v>10379.736358435033</x:v>
      </x:c>
      <x:c r="W12" s="68">
        <x:f t="shared" si="5"/>
        <x:v>11707.095448804617</x:v>
      </x:c>
      <x:c r="X12" s="68">
        <x:f t="shared" si="5"/>
        <x:v>13142.680456052802</x:v>
      </x:c>
      <x:c r="Y12" s="68">
        <x:f t="shared" si="5"/>
        <x:v>14669.293215610616</x:v>
      </x:c>
      <x:c r="Z12" s="68">
        <x:f t="shared" si="5"/>
        <x:v>16180.023765144317</x:v>
      </x:c>
      <x:c r="AA12" s="68">
        <x:f t="shared" si="5"/>
        <x:v>17798.859224242151</x:v>
      </x:c>
      <x:c r="AB12" s="68">
        <x:f t="shared" si="5"/>
        <x:v>19463.072426266022</x:v>
      </x:c>
      <x:c r="AC12" s="68">
        <x:f t="shared" si="5"/>
        <x:v>21172.663371215931</x:v>
      </x:c>
      <x:c r="AD12" s="68">
        <x:f t="shared" si="5"/>
        <x:v>23091.562976206733</x:v>
      </x:c>
      <x:c r="AE12" s="68">
        <x:f t="shared" si="5"/>
        <x:v>25232.89498051607</x:v>
      </x:c>
    </x:row>
    <x:row r="13" ht="14.25" customHeight="1">
      <x:c r="C13" s="1"/>
      <x:c r="D13" s="1"/>
      <x:c r="E13" s="1"/>
      <x:c r="F13" s="1"/>
      <x:c r="G13" s="1"/>
      <x:c r="H13" s="1"/>
      <x:c r="I13" s="1"/>
      <x:c r="J13" s="1"/>
      <x:c r="K13" s="1"/>
      <x:c r="L13" s="1"/>
      <x:c r="M13" s="1"/>
      <x:c r="N13" s="1"/>
      <x:c r="O13" s="1"/>
      <x:c r="P13" s="1"/>
      <x:c r="Q13" s="1"/>
      <x:c r="R13" s="1"/>
      <x:c r="S13" s="1"/>
      <x:c r="T13" s="1"/>
      <x:c r="U13" s="1"/>
      <x:c r="V13" s="1"/>
      <x:c r="W13" s="1"/>
      <x:c r="X13" s="1"/>
      <x:c r="Y13" s="1"/>
      <x:c r="Z13" s="1"/>
      <x:c r="AA13" s="1"/>
      <x:c r="AB13" s="1"/>
      <x:c r="AC13" s="1"/>
      <x:c r="AD13" s="1"/>
      <x:c r="AE13" s="1"/>
    </x:row>
    <x:row r="14" ht="14.25" customHeight="1">
      <x:c r="A14" s="24" t="s">
        <x:v>225</x:v>
      </x:c>
      <x:c r="C14" s="1"/>
      <x:c r="D14" s="70" t="n">
        <x:f t="shared" ref="D14:U14" si="6">D11/D10</x:f>
        <x:v>0.05970149253731343</x:v>
      </x:c>
      <x:c r="E14" s="70">
        <x:f t="shared" si="6"/>
        <x:v>5.89171974522293E-2</x:v>
      </x:c>
      <x:c r="F14" s="70">
        <x:f t="shared" si="6"/>
        <x:v>5.8183183183183183E-2</x:v>
      </x:c>
      <x:c r="G14" s="70">
        <x:f t="shared" si="6"/>
        <x:v>5.5744391570360298E-2</x:v>
      </x:c>
      <x:c r="H14" s="70">
        <x:f t="shared" si="6"/>
        <x:v>5.7835218093699514E-2</x:v>
      </x:c>
      <x:c r="I14" s="70">
        <x:f t="shared" si="6"/>
        <x:v>5.7159521726450863E-2</x:v>
      </x:c>
      <x:c r="J14" s="70">
        <x:f t="shared" si="6"/>
        <x:v>5.6264066016504126E-2</x:v>
      </x:c>
      <x:c r="K14" s="70">
        <x:f t="shared" si="6"/>
        <x:v>6.0463968410661401E-2</x:v>
      </x:c>
      <x:c r="L14" s="70">
        <x:f t="shared" si="6"/>
        <x:v>5.1483641897032716E-2</x:v>
      </x:c>
      <x:c r="M14" s="70">
        <x:f t="shared" si="6"/>
        <x:v>5.4504728720756596E-2</x:v>
      </x:c>
      <x:c r="N14" s="70">
        <x:f t="shared" si="6"/>
        <x:v>5.5992141453831044E-2</x:v>
      </x:c>
      <x:c r="O14" s="70">
        <x:f t="shared" si="6"/>
        <x:v>5.8682058682058683E-2</x:v>
      </x:c>
      <x:c r="P14" s="70">
        <x:f t="shared" si="6"/>
        <x:v>5.4073199527744982E-2</x:v>
      </x:c>
      <x:c r="Q14" s="70">
        <x:f t="shared" si="6"/>
        <x:v>4.9055869184348844E-2</x:v>
      </x:c>
      <x:c r="R14" s="70">
        <x:f t="shared" si="6"/>
        <x:v>5.2659574468085106E-2</x:v>
      </x:c>
      <x:c r="S14" s="70">
        <x:f t="shared" si="6"/>
        <x:v>5.94311377245509E-2</x:v>
      </x:c>
      <x:c r="T14" s="70">
        <x:f t="shared" si="6"/>
        <x:v>6.1423122451663814E-2</x:v>
      </x:c>
      <x:c r="U14" s="70">
        <x:f t="shared" si="6"/>
        <x:v>5.441191683045412E-2</x:v>
      </x:c>
      <x:c r="V14" s="71" t="n">
        <x:f t="shared" ref="V14:AE14" si="7">AVERAGE($S14:$U14)</x:f>
        <x:v>0.05842205900222294</x:v>
      </x:c>
      <x:c r="W14" s="71">
        <x:f t="shared" si="7"/>
        <x:v>5.8422059002222942E-2</x:v>
      </x:c>
      <x:c r="X14" s="71">
        <x:f t="shared" si="7"/>
        <x:v>5.8422059002222942E-2</x:v>
      </x:c>
      <x:c r="Y14" s="71">
        <x:f t="shared" si="7"/>
        <x:v>5.8422059002222942E-2</x:v>
      </x:c>
      <x:c r="Z14" s="71">
        <x:f t="shared" si="7"/>
        <x:v>5.8422059002222942E-2</x:v>
      </x:c>
      <x:c r="AA14" s="71">
        <x:f t="shared" si="7"/>
        <x:v>5.8422059002222942E-2</x:v>
      </x:c>
      <x:c r="AB14" s="71">
        <x:f t="shared" si="7"/>
        <x:v>5.8422059002222942E-2</x:v>
      </x:c>
      <x:c r="AC14" s="71">
        <x:f t="shared" si="7"/>
        <x:v>5.8422059002222942E-2</x:v>
      </x:c>
      <x:c r="AD14" s="71">
        <x:f t="shared" si="7"/>
        <x:v>5.8422059002222942E-2</x:v>
      </x:c>
      <x:c r="AE14" s="71">
        <x:f t="shared" si="7"/>
        <x:v>5.8422059002222942E-2</x:v>
      </x:c>
    </x:row>
    <x:row r="15" ht="14.25" customHeight="1">
      <x:c r="C15" s="1"/>
      <x:c r="D15" s="1"/>
      <x:c r="E15" s="1"/>
      <x:c r="F15" s="1"/>
      <x:c r="G15" s="1"/>
      <x:c r="H15" s="1"/>
      <x:c r="I15" s="1"/>
      <x:c r="J15" s="1"/>
      <x:c r="K15" s="1"/>
      <x:c r="L15" s="1"/>
      <x:c r="M15" s="1"/>
      <x:c r="N15" s="1"/>
      <x:c r="O15" s="1"/>
      <x:c r="P15" s="1"/>
      <x:c r="Q15" s="1"/>
      <x:c r="R15" s="1"/>
      <x:c r="S15" s="1"/>
      <x:c r="T15" s="1"/>
      <x:c r="U15" s="1"/>
      <x:c r="V15" s="1"/>
      <x:c r="W15" s="1"/>
      <x:c r="X15" s="1"/>
      <x:c r="Y15" s="1"/>
      <x:c r="Z15" s="1"/>
      <x:c r="AA15" s="1"/>
      <x:c r="AB15" s="1"/>
      <x:c r="AC15" s="1"/>
      <x:c r="AD15" s="1"/>
      <x:c r="AE15" s="1"/>
    </x:row>
    <x:row r="16" ht="14.25" customHeight="1">
      <x:c r="A16" s="24" t="s">
        <x:v>226</x:v>
      </x:c>
      <x:c r="C16" s="1"/>
      <x:c r="D16" s="84" t="n">
        <x:f>'DCF Valuation'!F10/D10</x:f>
        <x:v>2.3470149253731343</x:v>
      </x:c>
      <x:c r="E16" s="84" t="n">
        <x:f>'DCF Valuation'!G10/E10</x:f>
        <x:v>2.5903662420382165</x:v>
      </x:c>
      <x:c r="F16" s="84" t="n">
        <x:f>'DCF Valuation'!H10/F10</x:f>
        <x:v>2.6662912912912913</x:v>
      </x:c>
      <x:c r="G16" s="84" t="n">
        <x:f>'DCF Valuation'!I10/G10</x:f>
        <x:v>2.597892590074779</x:v>
      </x:c>
      <x:c r="H16" s="84" t="n">
        <x:f>'DCF Valuation'!J10/H10</x:f>
        <x:v>2.6778675282714053</x:v>
      </x:c>
      <x:c r="I16" s="84" t="n">
        <x:f>'DCF Valuation'!K10/I10</x:f>
        <x:v>1.9550889472149315</x:v>
      </x:c>
      <x:c r="J16" s="84" t="n">
        <x:f>'DCF Valuation'!L10/J10</x:f>
        <x:v>1.4831207801950488</x:v>
      </x:c>
      <x:c r="K16" s="84" t="n">
        <x:f>'DCF Valuation'!M10/K10</x:f>
        <x:v>1.4933366238894372</x:v>
      </x:c>
      <x:c r="L16" s="84" t="n">
        <x:f>'DCF Valuation'!N10/L10</x:f>
        <x:v>1.8239918843520162</x:v>
      </x:c>
      <x:c r="M16" s="84" t="n">
        <x:f>'DCF Valuation'!O10/M10</x:f>
        <x:v>3.3616226978596315</x:v>
      </x:c>
      <x:c r="N16" s="84" t="n">
        <x:f>'DCF Valuation'!P10/N10</x:f>
        <x:v>4.449901768172888</x:v>
      </x:c>
      <x:c r="O16" s="84" t="n">
        <x:f>'DCF Valuation'!Q10/O10</x:f>
        <x:v>5.3157768157768155</x:v>
      </x:c>
      <x:c r="P16" s="84" t="n">
        <x:f>'DCF Valuation'!R10/P10</x:f>
        <x:v>6.149704840613931</x:v>
      </x:c>
      <x:c r="Q16" s="84" t="n">
        <x:f>'DCF Valuation'!S10/Q10</x:f>
        <x:v>5.847771072610473</x:v>
      </x:c>
      <x:c r="R16" s="84" t="n">
        <x:f>'DCF Valuation'!T10/R10</x:f>
        <x:v>6.220212765957447</x:v>
      </x:c>
      <x:c r="S16" s="84" t="n">
        <x:f>'DCF Valuation'!U10/S10</x:f>
        <x:v>5.887874251497006</x:v>
      </x:c>
      <x:c r="T16" s="84" t="n">
        <x:f>'DCF Valuation'!V10/T10</x:f>
        <x:v>5.795343943180324</x:v>
      </x:c>
      <x:c r="U16" s="84" t="n">
        <x:f>'DCF Valuation'!W10/U10</x:f>
        <x:v>4.835316023585394</x:v>
      </x:c>
      <x:c r="V16" s="85" t="n">
        <x:f t="shared" ref="V16:AE16" si="8">AVERAGE($P16:$U16)</x:f>
        <x:v>5.7893704829074295</x:v>
      </x:c>
      <x:c r="W16" s="85">
        <x:f t="shared" si="8"/>
        <x:v>5.7893704829074295</x:v>
      </x:c>
      <x:c r="X16" s="85">
        <x:f t="shared" si="8"/>
        <x:v>5.7893704829074295</x:v>
      </x:c>
      <x:c r="Y16" s="85">
        <x:f t="shared" si="8"/>
        <x:v>5.7893704829074295</x:v>
      </x:c>
      <x:c r="Z16" s="85">
        <x:f t="shared" si="8"/>
        <x:v>5.7893704829074295</x:v>
      </x:c>
      <x:c r="AA16" s="85">
        <x:f t="shared" si="8"/>
        <x:v>5.7893704829074295</x:v>
      </x:c>
      <x:c r="AB16" s="85">
        <x:f t="shared" si="8"/>
        <x:v>5.7893704829074295</x:v>
      </x:c>
      <x:c r="AC16" s="85">
        <x:f t="shared" si="8"/>
        <x:v>5.7893704829074295</x:v>
      </x:c>
      <x:c r="AD16" s="85">
        <x:f t="shared" si="8"/>
        <x:v>5.7893704829074295</x:v>
      </x:c>
      <x:c r="AE16" s="85">
        <x:f t="shared" si="8"/>
        <x:v>5.7893704829074295</x:v>
      </x:c>
    </x:row>
    <x:row r="17" ht="14.25" customHeight="1">
      <x:c r="C17" s="1"/>
      <x:c r="D17" s="1"/>
      <x:c r="E17" s="1"/>
      <x:c r="F17" s="1"/>
      <x:c r="G17" s="1"/>
      <x:c r="H17" s="1"/>
      <x:c r="I17" s="1"/>
      <x:c r="J17" s="1"/>
      <x:c r="K17" s="1"/>
      <x:c r="L17" s="1"/>
      <x:c r="M17" s="1"/>
      <x:c r="N17" s="1"/>
      <x:c r="O17" s="1"/>
      <x:c r="P17" s="1"/>
      <x:c r="Q17" s="1"/>
      <x:c r="R17" s="1"/>
      <x:c r="S17" s="1"/>
      <x:c r="T17" s="1"/>
      <x:c r="U17" s="1"/>
      <x:c r="V17" s="1"/>
      <x:c r="W17" s="1"/>
      <x:c r="X17" s="1"/>
      <x:c r="Y17" s="1"/>
      <x:c r="Z17" s="1"/>
      <x:c r="AA17" s="1"/>
      <x:c r="AB17" s="1"/>
      <x:c r="AC17" s="1"/>
      <x:c r="AD17" s="1"/>
      <x:c r="AE17" s="1"/>
    </x:row>
    <x:row r="18" ht="14.25" customHeight="1">
      <x:c r="A18" s="24" t="s">
        <x:v>227</x:v>
      </x:c>
      <x:c r="C18" s="1"/>
      <x:c r="D18" s="1"/>
      <x:c r="E18" s="1"/>
      <x:c r="F18" s="1"/>
      <x:c r="G18" s="1"/>
      <x:c r="H18" s="1"/>
      <x:c r="I18" s="1"/>
      <x:c r="J18" s="1"/>
      <x:c r="K18" s="1"/>
      <x:c r="L18" s="1"/>
      <x:c r="M18" s="1"/>
      <x:c r="N18" s="1"/>
      <x:c r="O18" s="1"/>
      <x:c r="P18" s="1"/>
      <x:c r="Q18" s="1"/>
      <x:c r="R18" s="1"/>
      <x:c r="S18" s="1"/>
      <x:c r="T18" s="1"/>
      <x:c r="U18" s="1"/>
      <x:c r="V18" s="1"/>
      <x:c r="W18" s="1"/>
      <x:c r="X18" s="1"/>
      <x:c r="Y18" s="1"/>
      <x:c r="Z18" s="1"/>
      <x:c r="AA18" s="1"/>
      <x:c r="AB18" s="1"/>
      <x:c r="AC18" s="1"/>
      <x:c r="AD18" s="1"/>
      <x:c r="AE18" s="1"/>
    </x:row>
    <x:row r="19" ht="14.25" customHeight="1">
      <x:c r="A19" t="s">
        <x:v>212</x:v>
      </x:c>
      <x:c r="C19" s="1"/>
      <x:c r="D19" s="62" t="n">
        <x:f>'Balance Sheet'!B20</x:f>
        <x:v>2737</x:v>
      </x:c>
      <x:c r="E19" s="62" t="n">
        <x:f>'Balance Sheet'!C20</x:f>
        <x:v>2613</x:v>
      </x:c>
      <x:c r="F19" s="62" t="n">
        <x:f>'Balance Sheet'!D20</x:f>
        <x:v>2478</x:v>
      </x:c>
      <x:c r="G19" s="62" t="n">
        <x:f>'Balance Sheet'!E20</x:f>
        <x:v>2454</x:v>
      </x:c>
      <x:c r="H19" s="62" t="n">
        <x:f>'Balance Sheet'!F20</x:f>
        <x:v>2339</x:v>
      </x:c>
      <x:c r="I19" s="62" t="n">
        <x:f>'Balance Sheet'!G20</x:f>
        <x:v>2211</x:v>
      </x:c>
      <x:c r="J19" s="62" t="n">
        <x:f>'Balance Sheet'!H20</x:f>
        <x:v>2036</x:v>
      </x:c>
      <x:c r="K19" s="62" t="n">
        <x:f>'Balance Sheet'!I20</x:f>
        <x:v>1850</x:v>
      </x:c>
      <x:c r="L19" s="62" t="n">
        <x:f>'Balance Sheet'!J20</x:f>
        <x:v>1676</x:v>
      </x:c>
      <x:c r="M19" s="62" t="n">
        <x:f>'Balance Sheet'!K20</x:f>
        <x:v>1541</x:v>
      </x:c>
      <x:c r="N19" s="62" t="n">
        <x:f>'Balance Sheet'!L20</x:f>
        <x:v>1395</x:v>
      </x:c>
      <x:c r="O19" s="62" t="n">
        <x:f>'Balance Sheet'!M20</x:f>
        <x:v>1251</x:v>
      </x:c>
      <x:c r="P19" s="62" t="n">
        <x:f>'Balance Sheet'!N20</x:f>
        <x:v>1112</x:v>
      </x:c>
      <x:c r="Q19" s="62" t="n">
        <x:f>'Balance Sheet'!O20</x:f>
        <x:v>986</x:v>
      </x:c>
      <x:c r="R19" s="62" t="n">
        <x:f>'Balance Sheet'!P20</x:f>
        <x:v>952</x:v>
      </x:c>
      <x:c r="S19" s="62" t="n">
        <x:f>'Balance Sheet'!Q20</x:f>
        <x:v>838</x:v>
      </x:c>
      <x:c r="T19" s="62" t="n">
        <x:f>'Balance Sheet'!R20</x:f>
        <x:v>807</x:v>
      </x:c>
      <x:c r="U19" s="62" t="n">
        <x:f>'Balance Sheet'!S20</x:f>
        <x:v>769</x:v>
      </x:c>
      <x:c r="V19" s="64" t="n">
        <x:f t="shared" ref="V19:AE19" si="9">U23</x:f>
        <x:v>755</x:v>
      </x:c>
      <x:c r="W19" s="64">
        <x:f t="shared" si="9"/>
        <x:v>683.82846116782696</x:v>
      </x:c>
      <x:c r="X19" s="64">
        <x:f t="shared" si="9"/>
        <x:v>628.09185279083863</x:v>
      </x:c>
      <x:c r="Y19" s="64">
        <x:f t="shared" si="9"/>
        <x:v>584.8846426838104</x:v>
      </x:c>
      <x:c r="Z19" s="64">
        <x:f t="shared" si="9"/>
        <x:v>549.81873686362974</x:v>
      </x:c>
      <x:c r="AA19" s="64">
        <x:f t="shared" si="9"/>
        <x:v>524.96493347276817</x:v>
      </x:c>
      <x:c r="AB19" s="64">
        <x:f t="shared" si="9"/>
        <x:v>509.11581783148199</x:v>
      </x:c>
      <x:c r="AC19" s="64">
        <x:f t="shared" si="9"/>
        <x:v>501.00486409153081</x:v>
      </x:c>
      <x:c r="AD19" s="64">
        <x:f t="shared" si="9"/>
        <x:v>496.27325691545707</x:v>
      </x:c>
      <x:c r="AE19" s="64">
        <x:f t="shared" si="9"/>
        <x:v>488.10192759307836</x:v>
      </x:c>
    </x:row>
    <x:row r="20" ht="14.25" customHeight="1">
      <x:c r="A20" t="s">
        <x:v>222</x:v>
      </x:c>
      <x:c r="C20" s="1"/>
      <x:c r="D20" s="62" t="n">
        <x:f t="shared" ref="D20:U20" si="10">D21-D19</x:f>
        <x:v>13</x:v>
      </x:c>
      <x:c r="E20" s="62">
        <x:f t="shared" si="10"/>
        <x:v>3</x:v>
      </x:c>
      <x:c r="F20" s="62">
        <x:f t="shared" si="10"/>
        <x:v>119</x:v>
      </x:c>
      <x:c r="G20" s="62">
        <x:f t="shared" si="10"/>
        <x:v>30</x:v>
      </x:c>
      <x:c r="H20" s="62">
        <x:f t="shared" si="10"/>
        <x:v>27</x:v>
      </x:c>
      <x:c r="I20" s="62">
        <x:f t="shared" si="10"/>
        <x:v>7</x:v>
      </x:c>
      <x:c r="J20" s="62">
        <x:f t="shared" si="10"/>
        <x:v>-5</x:v>
      </x:c>
      <x:c r="K20" s="62">
        <x:f t="shared" si="10"/>
        <x:v>7</x:v>
      </x:c>
      <x:c r="L20" s="62">
        <x:f t="shared" si="10"/>
        <x:v>46</x:v>
      </x:c>
      <x:c r="M20" s="62">
        <x:f t="shared" si="10"/>
        <x:v>0</x:v>
      </x:c>
      <x:c r="N20" s="62">
        <x:f t="shared" si="10"/>
        <x:v>0</x:v>
      </x:c>
      <x:c r="O20" s="62">
        <x:f t="shared" si="10"/>
        <x:v>4</x:v>
      </x:c>
      <x:c r="P20" s="62">
        <x:f t="shared" si="10"/>
        <x:v>55</x:v>
      </x:c>
      <x:c r="Q20" s="62">
        <x:f t="shared" si="10"/>
        <x:v>147</x:v>
      </x:c>
      <x:c r="R20" s="62">
        <x:f t="shared" si="10"/>
        <x:v>67</x:v>
      </x:c>
      <x:c r="S20" s="62">
        <x:f t="shared" si="10"/>
        <x:v>115</x:v>
      </x:c>
      <x:c r="T20" s="62">
        <x:f t="shared" si="10"/>
        <x:v>106</x:v>
      </x:c>
      <x:c r="U20" s="62">
        <x:f t="shared" si="10"/>
        <x:v>129</x:v>
      </x:c>
      <x:c r="V20" s="64" t="n">
        <x:f t="shared" ref="V20:AE20" si="11">AVERAGE(J20:U20)</x:f>
        <x:v>55.916666666666664</x:v>
      </x:c>
      <x:c r="W20" s="64">
        <x:f t="shared" si="11"/>
        <x:v>60.99305555555555</x:v>
      </x:c>
      <x:c r="X20" s="64">
        <x:f t="shared" si="11"/>
        <x:v>65.492476851851848</x:v>
      </x:c>
      <x:c r="Y20" s="64">
        <x:f t="shared" si="11"/>
        <x:v>67.116849922839506</x:v>
      </x:c>
      <x:c r="Z20" s="64">
        <x:f t="shared" si="11"/>
        <x:v>72.709920749742793</x:v>
      </x:c>
      <x:c r="AA20" s="64">
        <x:f t="shared" si="11"/>
        <x:v>78.769080812221361</x:v>
      </x:c>
      <x:c r="AB20" s="64">
        <x:f t="shared" si="11"/>
        <x:v>84.999837546573133</x:v>
      </x:c>
      <x:c r="AC20" s="64">
        <x:f t="shared" si="11"/>
        <x:v>87.49982400878757</x:v>
      </x:c>
      <x:c r="AD20" s="64">
        <x:f t="shared" si="11"/>
        <x:v>82.541476009519855</x:v>
      </x:c>
      <x:c r="AE20" s="64">
        <x:f t="shared" si="11"/>
        <x:v>83.836599010313179</x:v>
      </x:c>
    </x:row>
    <x:row r="21" ht="14.25" customHeight="1">
      <x:c r="A21" s="35" t="s">
        <x:v>228</x:v>
      </x:c>
      <x:c r="B21" s="46"/>
      <x:c r="C21" s="80"/>
      <x:c r="D21" s="81" t="n">
        <x:f t="shared" ref="D21:U21" si="12">D23+D22</x:f>
        <x:v>2750</x:v>
      </x:c>
      <x:c r="E21" s="81">
        <x:f t="shared" si="12"/>
        <x:v>2616</x:v>
      </x:c>
      <x:c r="F21" s="81">
        <x:f t="shared" si="12"/>
        <x:v>2597</x:v>
      </x:c>
      <x:c r="G21" s="81">
        <x:f t="shared" si="12"/>
        <x:v>2484</x:v>
      </x:c>
      <x:c r="H21" s="81">
        <x:f t="shared" si="12"/>
        <x:v>2366</x:v>
      </x:c>
      <x:c r="I21" s="81">
        <x:f t="shared" si="12"/>
        <x:v>2218</x:v>
      </x:c>
      <x:c r="J21" s="81">
        <x:f t="shared" si="12"/>
        <x:v>2031</x:v>
      </x:c>
      <x:c r="K21" s="81">
        <x:f t="shared" si="12"/>
        <x:v>1857</x:v>
      </x:c>
      <x:c r="L21" s="81">
        <x:f t="shared" si="12"/>
        <x:v>1722</x:v>
      </x:c>
      <x:c r="M21" s="81">
        <x:f t="shared" si="12"/>
        <x:v>1541</x:v>
      </x:c>
      <x:c r="N21" s="81">
        <x:f t="shared" si="12"/>
        <x:v>1395</x:v>
      </x:c>
      <x:c r="O21" s="81">
        <x:f t="shared" si="12"/>
        <x:v>1255</x:v>
      </x:c>
      <x:c r="P21" s="81">
        <x:f t="shared" si="12"/>
        <x:v>1167</x:v>
      </x:c>
      <x:c r="Q21" s="81">
        <x:f t="shared" si="12"/>
        <x:v>1133</x:v>
      </x:c>
      <x:c r="R21" s="81">
        <x:f t="shared" si="12"/>
        <x:v>1019</x:v>
      </x:c>
      <x:c r="S21" s="81">
        <x:f t="shared" si="12"/>
        <x:v>953</x:v>
      </x:c>
      <x:c r="T21" s="81">
        <x:f t="shared" si="12"/>
        <x:v>913</x:v>
      </x:c>
      <x:c r="U21" s="81">
        <x:f t="shared" si="12"/>
        <x:v>898</x:v>
      </x:c>
      <x:c r="V21" s="82" t="n">
        <x:f t="shared" ref="V21:AE21" si="13">V19+V20</x:f>
        <x:v>810.9166666666666</x:v>
      </x:c>
      <x:c r="W21" s="82">
        <x:f t="shared" si="13"/>
        <x:v>744.8215167233825</x:v>
      </x:c>
      <x:c r="X21" s="82">
        <x:f t="shared" si="13"/>
        <x:v>693.58432964269048</x:v>
      </x:c>
      <x:c r="Y21" s="82">
        <x:f t="shared" si="13"/>
        <x:v>652.00149260664989</x:v>
      </x:c>
      <x:c r="Z21" s="82">
        <x:f t="shared" si="13"/>
        <x:v>622.5286576133725</x:v>
      </x:c>
      <x:c r="AA21" s="82">
        <x:f t="shared" si="13"/>
        <x:v>603.73401428498948</x:v>
      </x:c>
      <x:c r="AB21" s="82">
        <x:f t="shared" si="13"/>
        <x:v>594.11565537805518</x:v>
      </x:c>
      <x:c r="AC21" s="82">
        <x:f t="shared" si="13"/>
        <x:v>588.50468810031839</x:v>
      </x:c>
      <x:c r="AD21" s="82">
        <x:f t="shared" si="13"/>
        <x:v>578.81473292497697</x:v>
      </x:c>
      <x:c r="AE21" s="82">
        <x:f t="shared" si="13"/>
        <x:v>571.93852660339155</x:v>
      </x:c>
    </x:row>
    <x:row r="22" ht="14.25" customHeight="1">
      <x:c r="A22" t="s">
        <x:v>229</x:v>
      </x:c>
      <x:c r="C22" s="1"/>
      <x:c r="D22" s="62" t="n">
        <x:f>'Cash Flow Statement'!B54</x:f>
        <x:v>137</x:v>
      </x:c>
      <x:c r="E22" s="62" t="n">
        <x:f>'Cash Flow Statement'!C54</x:f>
        <x:v>138</x:v>
      </x:c>
      <x:c r="F22" s="62" t="n">
        <x:f>'Cash Flow Statement'!D54</x:f>
        <x:v>143</x:v>
      </x:c>
      <x:c r="G22" s="62" t="n">
        <x:f>'Cash Flow Statement'!E54</x:f>
        <x:v>145</x:v>
      </x:c>
      <x:c r="H22" s="62" t="n">
        <x:f>'Cash Flow Statement'!F54</x:f>
        <x:v>155</x:v>
      </x:c>
      <x:c r="I22" s="62" t="n">
        <x:f>'Cash Flow Statement'!G54</x:f>
        <x:v>182</x:v>
      </x:c>
      <x:c r="J22" s="62" t="n">
        <x:f>'Cash Flow Statement'!H54</x:f>
        <x:v>181</x:v>
      </x:c>
      <x:c r="K22" s="62" t="n">
        <x:f>'Cash Flow Statement'!I54</x:f>
        <x:v>181</x:v>
      </x:c>
      <x:c r="L22" s="62" t="n">
        <x:f>'Cash Flow Statement'!J54</x:f>
        <x:v>181</x:v>
      </x:c>
      <x:c r="M22" s="62" t="n">
        <x:f>'Cash Flow Statement'!K54</x:f>
        <x:v>146</x:v>
      </x:c>
      <x:c r="N22" s="62" t="n">
        <x:f>'Cash Flow Statement'!L54</x:f>
        <x:v>144</x:v>
      </x:c>
      <x:c r="O22" s="62" t="n">
        <x:f>'Cash Flow Statement'!M54</x:f>
        <x:v>143</x:v>
      </x:c>
      <x:c r="P22" s="62" t="n">
        <x:f>'Cash Flow Statement'!N54</x:f>
        <x:v>181</x:v>
      </x:c>
      <x:c r="Q22" s="62" t="n">
        <x:f>'Cash Flow Statement'!O54</x:f>
        <x:v>181</x:v>
      </x:c>
      <x:c r="R22" s="62" t="n">
        <x:f>'Cash Flow Statement'!P54</x:f>
        <x:v>181</x:v>
      </x:c>
      <x:c r="S22" s="62" t="n">
        <x:f>'Cash Flow Statement'!Q54</x:f>
        <x:v>146</x:v>
      </x:c>
      <x:c r="T22" s="62" t="n">
        <x:f>'Cash Flow Statement'!R54</x:f>
        <x:v>144</x:v>
      </x:c>
      <x:c r="U22" s="62" t="n">
        <x:f>'Cash Flow Statement'!S54</x:f>
        <x:v>143</x:v>
      </x:c>
      <x:c r="V22" s="83" t="n">
        <x:f t="shared" ref="V22:AE22" si="14">V21*V25</x:f>
        <x:v>127.08820549883964</x:v>
      </x:c>
      <x:c r="W22" s="83">
        <x:f t="shared" si="14"/>
        <x:v>116.72966393254383</x:v>
      </x:c>
      <x:c r="X22" s="83">
        <x:f t="shared" si="14"/>
        <x:v>108.69968695888009</x:v>
      </x:c>
      <x:c r="Y22" s="83">
        <x:f t="shared" si="14"/>
        <x:v>102.18275574302017</x:v>
      </x:c>
      <x:c r="Z22" s="83">
        <x:f t="shared" si="14"/>
        <x:v>97.563724140604336</x:v>
      </x:c>
      <x:c r="AA22" s="83">
        <x:f t="shared" si="14"/>
        <x:v>94.618196453507508</x:v>
      </x:c>
      <x:c r="AB22" s="83">
        <x:f t="shared" si="14"/>
        <x:v>93.110791286524389</x:v>
      </x:c>
      <x:c r="AC22" s="83">
        <x:f t="shared" si="14"/>
        <x:v>92.231431184861322</x:v>
      </x:c>
      <x:c r="AD22" s="83">
        <x:f t="shared" si="14"/>
        <x:v>90.712805331898622</x:v>
      </x:c>
      <x:c r="AE22" s="83">
        <x:f t="shared" si="14"/>
        <x:v>89.635154867958548</x:v>
      </x:c>
    </x:row>
    <x:row r="23" ht="14.25" customHeight="1">
      <x:c r="A23" s="35" t="s">
        <x:v>230</x:v>
      </x:c>
      <x:c r="B23" s="46"/>
      <x:c r="C23" s="67" t="n">
        <x:f>'Balance Sheet'!B20</x:f>
        <x:v>2737</x:v>
      </x:c>
      <x:c r="D23" s="67" t="n">
        <x:f>'Balance Sheet'!C20</x:f>
        <x:v>2613</x:v>
      </x:c>
      <x:c r="E23" s="67" t="n">
        <x:f>'Balance Sheet'!D20</x:f>
        <x:v>2478</x:v>
      </x:c>
      <x:c r="F23" s="67" t="n">
        <x:f>'Balance Sheet'!E20</x:f>
        <x:v>2454</x:v>
      </x:c>
      <x:c r="G23" s="67" t="n">
        <x:f>'Balance Sheet'!F20</x:f>
        <x:v>2339</x:v>
      </x:c>
      <x:c r="H23" s="67" t="n">
        <x:f>'Balance Sheet'!G20</x:f>
        <x:v>2211</x:v>
      </x:c>
      <x:c r="I23" s="67" t="n">
        <x:f>'Balance Sheet'!H20</x:f>
        <x:v>2036</x:v>
      </x:c>
      <x:c r="J23" s="67" t="n">
        <x:f>'Balance Sheet'!I20</x:f>
        <x:v>1850</x:v>
      </x:c>
      <x:c r="K23" s="67" t="n">
        <x:f>'Balance Sheet'!J20</x:f>
        <x:v>1676</x:v>
      </x:c>
      <x:c r="L23" s="67" t="n">
        <x:f>'Balance Sheet'!K20</x:f>
        <x:v>1541</x:v>
      </x:c>
      <x:c r="M23" s="67" t="n">
        <x:f>'Balance Sheet'!L20</x:f>
        <x:v>1395</x:v>
      </x:c>
      <x:c r="N23" s="67" t="n">
        <x:f>'Balance Sheet'!M20</x:f>
        <x:v>1251</x:v>
      </x:c>
      <x:c r="O23" s="67" t="n">
        <x:f>'Balance Sheet'!N20</x:f>
        <x:v>1112</x:v>
      </x:c>
      <x:c r="P23" s="67" t="n">
        <x:f>'Balance Sheet'!O20</x:f>
        <x:v>986</x:v>
      </x:c>
      <x:c r="Q23" s="67" t="n">
        <x:f>'Balance Sheet'!P20</x:f>
        <x:v>952</x:v>
      </x:c>
      <x:c r="R23" s="67" t="n">
        <x:f>'Balance Sheet'!Q20</x:f>
        <x:v>838</x:v>
      </x:c>
      <x:c r="S23" s="67" t="n">
        <x:f>'Balance Sheet'!R20</x:f>
        <x:v>807</x:v>
      </x:c>
      <x:c r="T23" s="67" t="n">
        <x:f>'Balance Sheet'!S20</x:f>
        <x:v>769</x:v>
      </x:c>
      <x:c r="U23" s="67" t="n">
        <x:f>'Balance Sheet'!T20</x:f>
        <x:v>755</x:v>
      </x:c>
      <x:c r="V23" s="82" t="n">
        <x:f t="shared" ref="V23:AE23" si="15">V21-V22</x:f>
        <x:v>683.828461167827</x:v>
      </x:c>
      <x:c r="W23" s="82">
        <x:f t="shared" si="15"/>
        <x:v>628.09185279083863</x:v>
      </x:c>
      <x:c r="X23" s="82">
        <x:f t="shared" si="15"/>
        <x:v>584.8846426838104</x:v>
      </x:c>
      <x:c r="Y23" s="82">
        <x:f t="shared" si="15"/>
        <x:v>549.81873686362974</x:v>
      </x:c>
      <x:c r="Z23" s="82">
        <x:f t="shared" si="15"/>
        <x:v>524.96493347276817</x:v>
      </x:c>
      <x:c r="AA23" s="82">
        <x:f t="shared" si="15"/>
        <x:v>509.11581783148199</x:v>
      </x:c>
      <x:c r="AB23" s="82">
        <x:f t="shared" si="15"/>
        <x:v>501.00486409153081</x:v>
      </x:c>
      <x:c r="AC23" s="82">
        <x:f t="shared" si="15"/>
        <x:v>496.27325691545707</x:v>
      </x:c>
      <x:c r="AD23" s="82">
        <x:f t="shared" si="15"/>
        <x:v>488.10192759307836</x:v>
      </x:c>
      <x:c r="AE23" s="82">
        <x:f t="shared" si="15"/>
        <x:v>482.30337173543302</x:v>
      </x:c>
    </x:row>
    <x:row r="24" ht="14.25" customHeight="1">
      <x:c r="C24" s="1"/>
      <x:c r="D24" s="1"/>
      <x:c r="E24" s="1"/>
      <x:c r="F24" s="1"/>
      <x:c r="G24" s="1"/>
      <x:c r="H24" s="1"/>
      <x:c r="I24" s="1"/>
      <x:c r="J24" s="1"/>
      <x:c r="K24" s="1"/>
      <x:c r="L24" s="1"/>
      <x:c r="M24" s="1"/>
      <x:c r="N24" s="1"/>
      <x:c r="O24" s="1"/>
      <x:c r="P24" s="1"/>
      <x:c r="Q24" s="1"/>
      <x:c r="R24" s="1"/>
      <x:c r="S24" s="1"/>
      <x:c r="T24" s="1"/>
      <x:c r="U24" s="1"/>
      <x:c r="V24" s="1"/>
      <x:c r="W24" s="1"/>
      <x:c r="X24" s="1"/>
      <x:c r="Y24" s="1"/>
      <x:c r="Z24" s="1"/>
      <x:c r="AA24" s="1"/>
      <x:c r="AB24" s="1"/>
      <x:c r="AC24" s="1"/>
      <x:c r="AD24" s="1"/>
      <x:c r="AE24" s="1"/>
    </x:row>
    <x:row r="25" ht="14.25" customHeight="1">
      <x:c r="A25" t="s">
        <x:v>231</x:v>
      </x:c>
      <x:c r="C25" s="1"/>
      <x:c r="D25" s="70" t="n">
        <x:f t="shared" ref="D25:U25" si="16">D22/D21</x:f>
        <x:v>0.04981818181818182</x:v>
      </x:c>
      <x:c r="E25" s="70">
        <x:f t="shared" si="16"/>
        <x:v>5.2752293577981654E-2</x:v>
      </x:c>
      <x:c r="F25" s="70">
        <x:f t="shared" si="16"/>
        <x:v>5.5063534847901427E-2</x:v>
      </x:c>
      <x:c r="G25" s="70">
        <x:f t="shared" si="16"/>
        <x:v>5.8373590982286637E-2</x:v>
      </x:c>
      <x:c r="H25" s="70">
        <x:f t="shared" si="16"/>
        <x:v>6.5511411665257813E-2</x:v>
      </x:c>
      <x:c r="I25" s="70">
        <x:f t="shared" si="16"/>
        <x:v>8.2055906221821462E-2</x:v>
      </x:c>
      <x:c r="J25" s="70">
        <x:f t="shared" si="16"/>
        <x:v>8.9118660758247176E-2</x:v>
      </x:c>
      <x:c r="K25" s="70">
        <x:f t="shared" si="16"/>
        <x:v>9.7469036079698437E-2</x:v>
      </x:c>
      <x:c r="L25" s="70">
        <x:f t="shared" si="16"/>
        <x:v>0.10511033681765389</x:v>
      </x:c>
      <x:c r="M25" s="70">
        <x:f t="shared" si="16"/>
        <x:v>9.4743672939649581E-2</x:v>
      </x:c>
      <x:c r="N25" s="70">
        <x:f t="shared" si="16"/>
        <x:v>0.1032258064516129</x:v>
      </x:c>
      <x:c r="O25" s="70">
        <x:f t="shared" si="16"/>
        <x:v>0.11394422310756971</x:v>
      </x:c>
      <x:c r="P25" s="70">
        <x:f t="shared" si="16"/>
        <x:v>0.15509854327335046</x:v>
      </x:c>
      <x:c r="Q25" s="70">
        <x:f t="shared" si="16"/>
        <x:v>0.15975286849073256</x:v>
      </x:c>
      <x:c r="R25" s="70">
        <x:f t="shared" si="16"/>
        <x:v>0.17762512266928362</x:v>
      </x:c>
      <x:c r="S25" s="70">
        <x:f t="shared" si="16"/>
        <x:v>0.15320041972717732</x:v>
      </x:c>
      <x:c r="T25" s="70">
        <x:f t="shared" si="16"/>
        <x:v>0.15772179627601315</x:v>
      </x:c>
      <x:c r="U25" s="70">
        <x:f t="shared" si="16"/>
        <x:v>0.15924276169265034</x:v>
      </x:c>
      <x:c r="V25" s="71" t="n">
        <x:f t="shared" ref="V25:AE25" si="17">AVERAGE($S25:$U25)</x:f>
        <x:v>0.15672165923194695</x:v>
      </x:c>
      <x:c r="W25" s="71">
        <x:f t="shared" si="17"/>
        <x:v>0.15672165923194695</x:v>
      </x:c>
      <x:c r="X25" s="71">
        <x:f t="shared" si="17"/>
        <x:v>0.15672165923194695</x:v>
      </x:c>
      <x:c r="Y25" s="71">
        <x:f t="shared" si="17"/>
        <x:v>0.15672165923194695</x:v>
      </x:c>
      <x:c r="Z25" s="71">
        <x:f t="shared" si="17"/>
        <x:v>0.15672165923194695</x:v>
      </x:c>
      <x:c r="AA25" s="71">
        <x:f t="shared" si="17"/>
        <x:v>0.15672165923194695</x:v>
      </x:c>
      <x:c r="AB25" s="71">
        <x:f t="shared" si="17"/>
        <x:v>0.15672165923194695</x:v>
      </x:c>
      <x:c r="AC25" s="71">
        <x:f t="shared" si="17"/>
        <x:v>0.15672165923194695</x:v>
      </x:c>
      <x:c r="AD25" s="71">
        <x:f t="shared" si="17"/>
        <x:v>0.15672165923194695</x:v>
      </x:c>
      <x:c r="AE25" s="71">
        <x:f t="shared" si="17"/>
        <x:v>0.15672165923194695</x:v>
      </x:c>
    </x:row>
    <x:row r="26" ht="14.25" customHeight="1">
      <x:c r="A26" s="72"/>
      <x:c r="B26" s="72"/>
      <x:c r="C26" s="72"/>
      <x:c r="D26" s="72"/>
      <x:c r="E26" s="72"/>
      <x:c r="F26" s="72"/>
      <x:c r="G26" s="72"/>
      <x:c r="H26" s="72"/>
      <x:c r="I26" s="72"/>
      <x:c r="J26" s="72"/>
      <x:c r="K26" s="72"/>
      <x:c r="L26" s="72"/>
      <x:c r="M26" s="72"/>
      <x:c r="N26" s="72"/>
      <x:c r="O26" s="72"/>
      <x:c r="P26" s="72"/>
      <x:c r="Q26" s="72"/>
      <x:c r="R26" s="72"/>
      <x:c r="S26" s="72"/>
    </x:row>
    <x:row r="27" ht="14.25" customHeight="1">
      <x:c r="A27" s="72"/>
      <x:c r="B27" s="72"/>
      <x:c r="C27" s="72"/>
      <x:c r="D27" s="72"/>
      <x:c r="E27" s="72"/>
      <x:c r="F27" s="72"/>
      <x:c r="G27" s="72"/>
      <x:c r="H27" s="72"/>
      <x:c r="I27" s="72"/>
      <x:c r="J27" s="72"/>
      <x:c r="K27" s="72"/>
      <x:c r="L27" s="72"/>
      <x:c r="M27" s="72"/>
      <x:c r="N27" s="72"/>
      <x:c r="O27" s="72"/>
      <x:c r="P27" s="72"/>
      <x:c r="Q27" s="72"/>
      <x:c r="R27" s="72"/>
      <x:c r="S27" s="72"/>
    </x:row>
    <x:row r="28" ht="15" customHeight="1">
      <x:c r="A28" s="72"/>
      <x:c r="B28" s="73" t="s">
        <x:v>218</x:v>
      </x:c>
      <x:c r="C28" s="72"/>
      <x:c r="D28" s="72"/>
      <x:c r="E28" s="72"/>
      <x:c r="F28" s="72"/>
      <x:c r="G28" s="72"/>
      <x:c r="H28" s="72"/>
      <x:c r="I28" s="72"/>
      <x:c r="J28" s="72"/>
      <x:c r="K28" s="72"/>
      <x:c r="L28" s="72"/>
      <x:c r="M28" s="72"/>
      <x:c r="N28" s="72"/>
      <x:c r="O28" s="72"/>
      <x:c r="P28" s="72"/>
      <x:c r="Q28" s="72"/>
      <x:c r="R28" s="72"/>
      <x:c r="S28" s="72"/>
    </x:row>
    <x:row r="29" ht="14.25" customHeight="1">
      <x:c r="A29" s="72"/>
      <x:c r="B29" s="72"/>
      <x:c r="C29" s="72"/>
      <x:c r="D29" s="72"/>
      <x:c r="E29" s="72"/>
      <x:c r="F29" s="72"/>
      <x:c r="G29" s="72"/>
      <x:c r="H29" s="72"/>
      <x:c r="I29" s="72"/>
      <x:c r="J29" s="72"/>
      <x:c r="K29" s="72"/>
      <x:c r="L29" s="72"/>
      <x:c r="M29" s="72"/>
      <x:c r="N29" s="72"/>
      <x:c r="O29" s="72"/>
      <x:c r="P29" s="72"/>
      <x:c r="Q29" s="72"/>
      <x:c r="R29" s="72"/>
      <x:c r="S29" s="72"/>
    </x:row>
    <x:row r="30" ht="27" customHeight="1">
      <x:c r="A30" s="72"/>
      <x:c r="B30" s="158" t="s">
        <x:v>232</x:v>
      </x:c>
      <x:c r="C30" s="158"/>
      <x:c r="D30" s="158"/>
      <x:c r="E30" s="158"/>
      <x:c r="F30" s="158"/>
      <x:c r="G30" s="158"/>
      <x:c r="H30" s="158"/>
      <x:c r="I30" s="72"/>
      <x:c r="J30" s="72"/>
      <x:c r="K30" s="72"/>
      <x:c r="L30" s="72"/>
      <x:c r="M30" s="72"/>
      <x:c r="N30" s="72"/>
      <x:c r="O30" s="72"/>
      <x:c r="P30" s="72"/>
      <x:c r="Q30" s="72"/>
      <x:c r="R30" s="72"/>
      <x:c r="S30" s="72"/>
    </x:row>
    <x:row r="31" ht="27" customHeight="1">
      <x:c r="A31" s="72"/>
      <x:c r="B31" s="158"/>
      <x:c r="C31" s="158"/>
      <x:c r="D31" s="158"/>
      <x:c r="E31" s="158"/>
      <x:c r="F31" s="158"/>
      <x:c r="G31" s="158"/>
      <x:c r="H31" s="158"/>
      <x:c r="I31" s="72"/>
      <x:c r="J31" s="72"/>
      <x:c r="K31" s="72"/>
      <x:c r="L31" s="72"/>
      <x:c r="M31" s="72"/>
      <x:c r="N31" s="72"/>
      <x:c r="O31" s="72"/>
      <x:c r="P31" s="72"/>
      <x:c r="Q31" s="72"/>
      <x:c r="R31" s="72"/>
      <x:c r="S31" s="72"/>
    </x:row>
    <x:row r="32" ht="27" customHeight="1">
      <x:c r="A32" s="72"/>
      <x:c r="B32" s="158"/>
      <x:c r="C32" s="158"/>
      <x:c r="D32" s="158"/>
      <x:c r="E32" s="158"/>
      <x:c r="F32" s="158"/>
      <x:c r="G32" s="158"/>
      <x:c r="H32" s="158"/>
      <x:c r="I32" s="72"/>
      <x:c r="J32" s="72"/>
      <x:c r="K32" s="72"/>
      <x:c r="L32" s="72"/>
      <x:c r="M32" s="72"/>
      <x:c r="N32" s="72"/>
      <x:c r="O32" s="72"/>
      <x:c r="P32" s="72"/>
      <x:c r="Q32" s="72"/>
      <x:c r="R32" s="72"/>
      <x:c r="S32" s="72"/>
    </x:row>
    <x:row r="33" ht="27" customHeight="1">
      <x:c r="B33" s="158"/>
      <x:c r="C33" s="158"/>
      <x:c r="D33" s="158"/>
      <x:c r="E33" s="158"/>
      <x:c r="F33" s="158"/>
      <x:c r="G33" s="158"/>
      <x:c r="H33" s="158"/>
    </x:row>
  </x:sheetData>
  <x:mergeCells>
    <x:mergeCell ref="D4:U4"/>
    <x:mergeCell ref="V4:AE4"/>
    <x:mergeCell ref="B30:H33"/>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8.6640625" defaultRowHeight="14.25"/>
  <x:cols>
    <x:col min="1" max="1" width="4.73046875" customWidth="1"/>
    <x:col min="6" max="6" width="20.3984375" customWidth="1"/>
    <x:col min="7" max="7" width="10.265625" customWidth="1"/>
    <x:col min="8" max="12" width="20" customWidth="1"/>
    <x:col min="13" max="13" width="14.59765625" customWidth="1"/>
    <x:col min="14" max="14" width="11" customWidth="1"/>
    <x:col min="15" max="15" width="12.265625" customWidth="1"/>
    <x:col min="18" max="18" width="9.59765625" customWidth="1"/>
  </x:cols>
  <x:sheetData>
    <x:row r="1" ht="3.75" customHeight="1"/>
    <x:row r="2" ht="25.5" customHeight="1">
      <x:c r="A2" s="15" t="s">
        <x:v>233</x:v>
      </x:c>
      <x:c r="L2" s="17"/>
      <x:c r="M2" s="17"/>
      <x:c r="N2" s="17"/>
      <x:c r="O2" s="18"/>
      <x:c r="P2" s="18"/>
      <x:c r="Q2" s="18"/>
      <x:c r="R2" s="18"/>
      <x:c r="S2" s="18"/>
    </x:row>
    <x:row r="3" ht="18" customHeight="1">
      <x:c r="B3" s="86"/>
    </x:row>
    <x:row r="5" ht="14.25" customHeight="1">
      <x:c r="B5" t="s">
        <x:v>234</x:v>
      </x:c>
    </x:row>
    <x:row r="6" ht="14.25" customHeight="1">
      <x:c r="B6" t="s">
        <x:v>235</x:v>
      </x:c>
    </x:row>
    <x:row r="8" ht="14.25" customHeight="1">
      <x:c r="B8" s="87" t="s">
        <x:v>236</x:v>
      </x:c>
      <x:c r="C8" s="51"/>
      <x:c r="D8" s="51"/>
      <x:c r="E8" s="51"/>
      <x:c r="F8" s="51"/>
      <x:c r="G8" s="88"/>
      <x:c r="I8" s="23"/>
      <x:c r="J8" s="89"/>
      <x:c r="K8" s="89"/>
      <x:c r="L8" s="89"/>
      <x:c r="M8" s="89"/>
    </x:row>
    <x:row r="9" ht="14.25" customHeight="1">
      <x:c r="B9" t="s">
        <x:v>237</x:v>
      </x:c>
      <x:c r="F9" s="25" t="n">
        <x:f>'DCF Valuation'!J5*24347</x:f>
        <x:v>4718448.600000001</x:v>
      </x:c>
      <x:c r="H9" s="79"/>
    </x:row>
    <x:row r="10" ht="14.25" customHeight="1">
      <x:c r="B10" t="s">
        <x:v>238</x:v>
      </x:c>
      <x:c r="F10" s="90" t="n">
        <x:f>F9/(F16+F9)</x:f>
        <x:v>0.9982017997826336</x:v>
      </x:c>
    </x:row>
    <x:row r="11" ht="14.25" customHeight="1">
      <x:c r="B11" t="s">
        <x:v>239</x:v>
      </x:c>
      <x:c r="F11" s="90" t="n">
        <x:f>F12+F13*F14</x:f>
        <x:v>0.138</x:v>
      </x:c>
    </x:row>
    <x:row r="12" ht="14.25" customHeight="1">
      <x:c r="B12" t="s">
        <x:v>240</x:v>
      </x:c>
      <x:c r="F12" s="70">
        <x:v>4.0800000000000003E-2</x:v>
      </x:c>
    </x:row>
    <x:row r="13" ht="14.25" customHeight="1">
      <x:c r="B13" t="s">
        <x:v>19</x:v>
      </x:c>
      <x:c r="F13" s="1">
        <x:v>2</x:v>
      </x:c>
      <x:c r="I13" s="1"/>
    </x:row>
    <x:row r="14" ht="14.25" customHeight="1">
      <x:c r="B14" t="s">
        <x:v>21</x:v>
      </x:c>
      <x:c r="F14" s="70">
        <x:v>4.8599999999999997E-2</x:v>
      </x:c>
      <x:c r="H14" s="79"/>
    </x:row>
    <x:row r="15" ht="14.25" customHeight="1">
      <x:c r="F15" s="1"/>
    </x:row>
    <x:row r="16" ht="14.25" customHeight="1">
      <x:c r="B16" t="s">
        <x:v>36</x:v>
      </x:c>
      <x:c r="F16" s="25" t="n">
        <x:f>N41</x:f>
        <x:v>8500</x:v>
      </x:c>
    </x:row>
    <x:row r="17" ht="14.25" customHeight="1">
      <x:c r="B17" t="s">
        <x:v>241</x:v>
      </x:c>
      <x:c r="F17" s="90" t="n">
        <x:f>F16/(F9+F16)</x:f>
        <x:v>0.0017982002173664421</x:v>
      </x:c>
    </x:row>
    <x:row r="18" ht="14.25" customHeight="1">
      <x:c r="B18" t="s">
        <x:v>242</x:v>
      </x:c>
      <x:c r="F18" s="90" t="n">
        <x:f>P41</x:f>
        <x:v>0.029238235294117648</x:v>
      </x:c>
      <x:c r="G18" s="91"/>
    </x:row>
    <x:row r="19" ht="14.25" customHeight="1">
      <x:c r="B19" t="s">
        <x:v>23</x:v>
      </x:c>
      <x:c r="F19" s="92">
        <x:v>0.17</x:v>
      </x:c>
      <x:c r="H19" s="79"/>
    </x:row>
    <x:row r="20" ht="14.25" customHeight="1">
      <x:c r="F20" s="1"/>
    </x:row>
    <x:row r="21" ht="14.25" customHeight="1">
      <x:c r="B21" t="s">
        <x:v>14</x:v>
      </x:c>
      <x:c r="F21" s="90" t="n">
        <x:f>F10*F11+F17*F18*(1-F19)</x:f>
        <x:v>0.13779548661688432</x:v>
      </x:c>
    </x:row>
    <x:row r="22" ht="14.25" customHeight="1"/>
    <x:row r="24" ht="42.75" customHeight="1">
      <x:c r="B24" s="93"/>
      <x:c r="C24" s="94"/>
      <x:c r="D24" s="95" t="s">
        <x:v>243</x:v>
      </x:c>
      <x:c r="E24" s="96" t="s">
        <x:v>244</x:v>
      </x:c>
      <x:c r="F24" s="96" t="s">
        <x:v>245</x:v>
      </x:c>
      <x:c r="G24" s="96" t="s">
        <x:v>246</x:v>
      </x:c>
      <x:c r="H24" s="79"/>
    </x:row>
    <x:row r="25" ht="14.25" customHeight="1">
      <x:c r="B25" s="97" t="s">
        <x:v>247</x:v>
      </x:c>
      <x:c r="C25" s="98"/>
      <x:c r="D25" s="142" t="n">
        <x:f>$F$12</x:f>
        <x:v>0.0408</x:v>
      </x:c>
      <x:c r="E25" s="143" t="n">
        <x:f>$F$12+G25*$F$14</x:f>
        <x:v>0.100092</x:v>
      </x:c>
      <x:c r="F25" s="143" t="n">
        <x:f>$F$18*(1-$F$19)</x:f>
        <x:v>0.024267735294117646</x:v>
      </x:c>
      <x:c r="G25" s="146">
        <x:v>1.22</x:v>
      </x:c>
    </x:row>
    <x:row r="26" ht="14.25" customHeight="1">
      <x:c r="B26" s="98" t="s">
        <x:v>248</x:v>
      </x:c>
      <x:c r="C26" s="98"/>
      <x:c r="D26" s="142" t="n">
        <x:f>$F$12</x:f>
        <x:v>0.0408</x:v>
      </x:c>
      <x:c r="E26" s="143" t="n">
        <x:f>$F$12+G26*$F$14</x:f>
        <x:v>0.094746</x:v>
      </x:c>
      <x:c r="F26" s="143" t="n">
        <x:f>$F$18*(1-$F$19)</x:f>
        <x:v>0.024267735294117646</x:v>
      </x:c>
      <x:c r="G26" s="146">
        <x:v>1.1100000000000001</x:v>
      </x:c>
    </x:row>
    <x:row r="27" ht="14.25" customHeight="1">
      <x:c r="B27" s="99" t="s">
        <x:v>249</x:v>
      </x:c>
      <x:c r="D27" s="140" t="n">
        <x:f>$F$12</x:f>
        <x:v>0.0408</x:v>
      </x:c>
      <x:c r="E27" s="140" t="n">
        <x:f>$F$12+G27*$F$14</x:f>
        <x:v>0.148692</x:v>
      </x:c>
      <x:c r="F27" s="140" t="n">
        <x:f>$F$18*(1-$F$19)</x:f>
        <x:v>0.024267735294117646</x:v>
      </x:c>
      <x:c r="G27" s="147">
        <x:v>2.2200000000000002</x:v>
      </x:c>
    </x:row>
    <x:row r="28" ht="14.25" customHeight="1">
      <x:c r="B28" s="99" t="s">
        <x:v>250</x:v>
      </x:c>
      <x:c r="D28" s="140" t="n">
        <x:f>$F$12</x:f>
        <x:v>0.0408</x:v>
      </x:c>
      <x:c r="E28" s="140" t="n">
        <x:f>$F$12+G28*$F$14</x:f>
        <x:v>0.13313999999999998</x:v>
      </x:c>
      <x:c r="F28" s="140" t="n">
        <x:f>$F$18*(1-$F$19)</x:f>
        <x:v>0.024267735294117646</x:v>
      </x:c>
      <x:c r="G28" s="147">
        <x:v>1.9</x:v>
      </x:c>
    </x:row>
    <x:row r="29" ht="14.25" customHeight="1">
      <x:c r="B29" s="101" t="s">
        <x:v>251</x:v>
      </x:c>
      <x:c r="C29" s="31"/>
      <x:c r="D29" s="141" t="n">
        <x:f>$F$12</x:f>
        <x:v>0.0408</x:v>
      </x:c>
      <x:c r="E29" s="141" t="n">
        <x:f>$F$12+G29*$F$14</x:f>
        <x:v>0.12099</x:v>
      </x:c>
      <x:c r="F29" s="141" t="n">
        <x:f>$F$18*(1-$F$19)</x:f>
        <x:v>0.024267735294117646</x:v>
      </x:c>
      <x:c r="G29" s="148">
        <x:v>1.65</x:v>
      </x:c>
      <x:c r="H29" s="79"/>
    </x:row>
    <x:row r="30" ht="14.25" customHeight="1">
      <x:c r="E30" s="102"/>
      <x:c r="F30" s="90"/>
    </x:row>
    <x:row r="31" ht="28.5" customHeight="1">
      <x:c r="F31" s="92"/>
      <x:c r="M31" s="103" t="s">
        <x:v>252</x:v>
      </x:c>
      <x:c r="N31" s="103" t="s">
        <x:v>253</x:v>
      </x:c>
      <x:c r="O31" s="103" t="s">
        <x:v>254</x:v>
      </x:c>
    </x:row>
    <x:row r="32" ht="14.25" customHeight="1">
      <x:c r="F32" s="70"/>
      <x:c r="M32" s="90"/>
      <x:c r="N32" s="25"/>
      <x:c r="O32" s="104"/>
    </x:row>
    <x:row r="33" ht="14.25" customHeight="1">
      <x:c r="K33" s="1" t="s">
        <x:v>255</x:v>
      </x:c>
      <x:c r="L33" s="1">
        <x:v>1.1000000000000001</x:v>
      </x:c>
      <x:c r="M33" s="90">
        <x:v>3.3099999999999997E-2</x:v>
      </x:c>
      <x:c r="N33" s="25">
        <x:v>1000</x:v>
      </x:c>
      <x:c r="O33" s="104" t="n">
        <x:f t="shared" ref="O33:O39" si="0">N33*M33</x:f>
        <x:v>33.099999999999994</x:v>
      </x:c>
    </x:row>
    <x:row r="34" ht="14.25" customHeight="1">
      <x:c r="K34" s="1" t="s">
        <x:v>256</x:v>
      </x:c>
      <x:c r="L34" s="1">
        <x:v>2.9</x:v>
      </x:c>
      <x:c r="M34" s="90">
        <x:v>1.6400000000000001E-2</x:v>
      </x:c>
      <x:c r="N34" s="25">
        <x:v>1250</x:v>
      </x:c>
      <x:c r="O34" s="104">
        <x:f t="shared" si="0"/>
        <x:v>20.5</x:v>
      </x:c>
    </x:row>
    <x:row r="35" ht="14.25" customHeight="1">
      <x:c r="K35" s="1" t="s">
        <x:v>257</x:v>
      </x:c>
      <x:c r="L35" s="1">
        <x:v>4.7</x:v>
      </x:c>
      <x:c r="M35" s="90">
        <x:v>2.93E-2</x:v>
      </x:c>
      <x:c r="N35" s="25">
        <x:v>1500</x:v>
      </x:c>
      <x:c r="O35" s="104">
        <x:f t="shared" si="0"/>
        <x:v>43.95</x:v>
      </x:c>
    </x:row>
    <x:row r="36" ht="14.25" customHeight="1">
      <x:c r="K36" s="1" t="s">
        <x:v>258</x:v>
      </x:c>
      <x:c r="L36" s="1">
        <x:v>5.9</x:v>
      </x:c>
      <x:c r="M36" s="90">
        <x:v>2.0899999999999998E-2</x:v>
      </x:c>
      <x:c r="N36" s="25">
        <x:v>1250</x:v>
      </x:c>
      <x:c r="O36" s="104">
        <x:f t="shared" si="0"/>
        <x:v>26.124999999999996</x:v>
      </x:c>
    </x:row>
    <x:row r="37" ht="14.25" customHeight="1">
      <x:c r="K37" s="1" t="s">
        <x:v>259</x:v>
      </x:c>
      <x:c r="L37" s="1">
        <x:v>14.7</x:v>
      </x:c>
      <x:c r="M37" s="90">
        <x:v>3.5400000000000001E-2</x:v>
      </x:c>
      <x:c r="N37" s="25">
        <x:v>1000</x:v>
      </x:c>
      <x:c r="O37" s="104">
        <x:f t="shared" si="0"/>
        <x:v>35.4</x:v>
      </x:c>
    </x:row>
    <x:row r="38" ht="14.25" customHeight="1">
      <x:c r="K38" s="1" t="s">
        <x:v>260</x:v>
      </x:c>
      <x:c r="L38" s="1">
        <x:v>24.7</x:v>
      </x:c>
      <x:c r="M38" s="90">
        <x:v>3.5400000000000001E-2</x:v>
      </x:c>
      <x:c r="N38" s="25">
        <x:v>2000</x:v>
      </x:c>
      <x:c r="O38" s="104">
        <x:f t="shared" si="0"/>
        <x:v>70.8</x:v>
      </x:c>
    </x:row>
    <x:row r="39" ht="14.25" customHeight="1">
      <x:c r="K39" s="1" t="s">
        <x:v>261</x:v>
      </x:c>
      <x:c r="L39" s="1">
        <x:v>34.700000000000003</x:v>
      </x:c>
      <x:c r="M39" s="90">
        <x:v>3.73E-2</x:v>
      </x:c>
      <x:c r="N39" s="25">
        <x:v>500</x:v>
      </x:c>
      <x:c r="O39" s="104">
        <x:f t="shared" si="0"/>
        <x:v>18.649999999999999</x:v>
      </x:c>
    </x:row>
    <x:row r="40" ht="14.25" customHeight="1">
      <x:c r="K40" s="1"/>
      <x:c r="L40" s="1"/>
      <x:c r="M40" s="1"/>
      <x:c r="N40" s="1"/>
      <x:c r="O40" s="1"/>
    </x:row>
    <x:row r="41" ht="14.25" customHeight="1">
      <x:c r="K41" s="1"/>
      <x:c r="L41" s="1"/>
      <x:c r="M41" s="1"/>
      <x:c r="N41" s="25" t="n">
        <x:f>SUM(N32:N39)</x:f>
        <x:v>8500</x:v>
      </x:c>
      <x:c r="O41" s="104" t="n">
        <x:f>SUM(O32:O39)</x:f>
        <x:v>248.525</x:v>
      </x:c>
      <x:c r="P41" s="90" t="n">
        <x:f>O41/N41</x:f>
        <x:v>0.029238235294117648</x:v>
      </x:c>
    </x:row>
    <x:row r="42" ht="14.25" customHeight="1">
      <x:c r="A42" s="72"/>
      <x:c r="B42" s="72"/>
      <x:c r="C42" s="72"/>
      <x:c r="D42" s="72"/>
      <x:c r="E42" s="72"/>
      <x:c r="F42" s="72"/>
      <x:c r="G42" s="72"/>
      <x:c r="H42" s="72"/>
      <x:c r="I42" s="72"/>
      <x:c r="J42" s="72"/>
      <x:c r="K42" s="72"/>
      <x:c r="L42" s="72"/>
      <x:c r="M42" s="72"/>
      <x:c r="N42" s="72"/>
      <x:c r="O42" s="72"/>
      <x:c r="P42" s="72"/>
      <x:c r="Q42" s="72"/>
      <x:c r="R42" s="72"/>
      <x:c r="S42" s="72"/>
    </x:row>
    <x:row r="43" ht="14.25" customHeight="1">
      <x:c r="A43" s="72"/>
      <x:c r="B43" s="72"/>
      <x:c r="C43" s="72"/>
      <x:c r="D43" s="72"/>
      <x:c r="E43" s="72"/>
      <x:c r="F43" s="72"/>
      <x:c r="G43" s="72"/>
      <x:c r="H43" s="72"/>
      <x:c r="I43" s="72"/>
      <x:c r="J43" s="72"/>
      <x:c r="K43" s="72"/>
      <x:c r="L43" s="72"/>
      <x:c r="M43" s="72"/>
      <x:c r="N43" s="72"/>
      <x:c r="O43" s="72"/>
      <x:c r="P43" s="72"/>
      <x:c r="Q43" s="72"/>
      <x:c r="R43" s="72"/>
      <x:c r="S43" s="72"/>
    </x:row>
    <x:row r="44" ht="15" customHeight="1">
      <x:c r="A44" s="72"/>
      <x:c r="B44" s="73" t="s">
        <x:v>262</x:v>
      </x:c>
      <x:c r="C44" s="72"/>
      <x:c r="D44" s="72"/>
      <x:c r="E44" s="72"/>
      <x:c r="F44" s="72"/>
      <x:c r="G44" s="72"/>
      <x:c r="H44" s="72"/>
      <x:c r="I44" s="72"/>
      <x:c r="J44" s="72"/>
      <x:c r="K44" s="72"/>
      <x:c r="L44" s="72"/>
      <x:c r="M44" s="72"/>
      <x:c r="N44" s="72"/>
      <x:c r="O44" s="72"/>
      <x:c r="P44" s="72"/>
      <x:c r="Q44" s="72"/>
      <x:c r="R44" s="72"/>
      <x:c r="S44" s="72"/>
    </x:row>
    <x:row r="45" ht="14.25" customHeight="1">
      <x:c r="A45" s="72"/>
      <x:c r="B45" s="72"/>
      <x:c r="C45" s="72"/>
      <x:c r="D45" s="72"/>
      <x:c r="E45" s="72"/>
      <x:c r="F45" s="72"/>
      <x:c r="G45" s="72"/>
      <x:c r="H45" s="72"/>
      <x:c r="I45" s="72"/>
      <x:c r="J45" s="72"/>
      <x:c r="K45" s="72"/>
      <x:c r="L45" s="72"/>
      <x:c r="M45" s="72"/>
      <x:c r="N45" s="72"/>
      <x:c r="O45" s="72"/>
      <x:c r="P45" s="72"/>
      <x:c r="Q45" s="72"/>
      <x:c r="R45" s="72"/>
      <x:c r="S45" s="72"/>
    </x:row>
    <x:row r="46" ht="29" customHeight="1">
      <x:c r="A46" s="72"/>
      <x:c r="B46" s="158" t="s">
        <x:v>263</x:v>
      </x:c>
      <x:c r="C46" s="158"/>
      <x:c r="D46" s="158"/>
      <x:c r="E46" s="158"/>
      <x:c r="F46" s="158"/>
      <x:c r="G46" s="158"/>
      <x:c r="H46" s="158"/>
      <x:c r="I46" s="72"/>
      <x:c r="J46" s="72"/>
      <x:c r="K46" s="72"/>
      <x:c r="L46" s="72"/>
      <x:c r="M46" s="72"/>
      <x:c r="N46" s="72"/>
      <x:c r="O46" s="72"/>
      <x:c r="P46" s="72"/>
      <x:c r="Q46" s="72"/>
      <x:c r="R46" s="72"/>
      <x:c r="S46" s="72"/>
    </x:row>
    <x:row r="47" ht="29" customHeight="1">
      <x:c r="A47" s="72"/>
      <x:c r="B47" s="158"/>
      <x:c r="C47" s="158"/>
      <x:c r="D47" s="158"/>
      <x:c r="E47" s="158"/>
      <x:c r="F47" s="158"/>
      <x:c r="G47" s="158"/>
      <x:c r="H47" s="158"/>
      <x:c r="I47" s="72"/>
      <x:c r="J47" s="72"/>
      <x:c r="K47" s="72"/>
      <x:c r="L47" s="72"/>
      <x:c r="M47" s="72"/>
      <x:c r="N47" s="72"/>
      <x:c r="O47" s="72"/>
      <x:c r="P47" s="72"/>
      <x:c r="Q47" s="72"/>
      <x:c r="R47" s="72"/>
      <x:c r="S47" s="72"/>
    </x:row>
    <x:row r="48" ht="29" customHeight="1">
      <x:c r="A48" s="72"/>
      <x:c r="B48" s="158"/>
      <x:c r="C48" s="158"/>
      <x:c r="D48" s="158"/>
      <x:c r="E48" s="158"/>
      <x:c r="F48" s="158"/>
      <x:c r="G48" s="158"/>
      <x:c r="H48" s="158"/>
      <x:c r="I48" s="72"/>
      <x:c r="J48" s="72"/>
      <x:c r="K48" s="72"/>
      <x:c r="L48" s="72"/>
      <x:c r="M48" s="72"/>
      <x:c r="N48" s="72"/>
      <x:c r="O48" s="72"/>
      <x:c r="P48" s="72"/>
      <x:c r="Q48" s="72"/>
      <x:c r="R48" s="72"/>
      <x:c r="S48" s="72"/>
    </x:row>
    <x:row r="49" ht="14.25" customHeight="1">
      <x:c r="A49" s="72"/>
      <x:c r="B49" s="72"/>
      <x:c r="C49" s="72"/>
      <x:c r="D49" s="72"/>
      <x:c r="E49" s="72"/>
      <x:c r="F49" s="72"/>
      <x:c r="G49" s="72"/>
      <x:c r="H49" s="72"/>
      <x:c r="I49" s="72"/>
      <x:c r="J49" s="72"/>
      <x:c r="K49" s="72"/>
      <x:c r="L49" s="72"/>
      <x:c r="M49" s="72"/>
      <x:c r="N49" s="72"/>
      <x:c r="O49" s="72"/>
      <x:c r="P49" s="72"/>
      <x:c r="Q49" s="72"/>
      <x:c r="R49" s="72"/>
      <x:c r="S49" s="72"/>
    </x:row>
    <x:row r="50" ht="29" customHeight="1">
      <x:c r="A50" s="72"/>
      <x:c r="B50" s="158" t="s">
        <x:v>264</x:v>
      </x:c>
      <x:c r="C50" s="158"/>
      <x:c r="D50" s="158"/>
      <x:c r="E50" s="158"/>
      <x:c r="F50" s="158"/>
      <x:c r="G50" s="158"/>
      <x:c r="H50" s="158"/>
      <x:c r="I50" s="72"/>
      <x:c r="J50" s="72"/>
      <x:c r="K50" s="72"/>
      <x:c r="L50" s="72"/>
      <x:c r="M50" s="72"/>
      <x:c r="N50" s="72"/>
      <x:c r="O50" s="72"/>
      <x:c r="P50" s="72"/>
      <x:c r="Q50" s="72"/>
      <x:c r="R50" s="72"/>
      <x:c r="S50" s="72"/>
    </x:row>
    <x:row r="51" ht="29" customHeight="1">
      <x:c r="A51" s="72"/>
      <x:c r="B51" s="158"/>
      <x:c r="C51" s="158"/>
      <x:c r="D51" s="158"/>
      <x:c r="E51" s="158"/>
      <x:c r="F51" s="158"/>
      <x:c r="G51" s="158"/>
      <x:c r="H51" s="158"/>
      <x:c r="I51" s="72"/>
      <x:c r="J51" s="72"/>
      <x:c r="K51" s="72"/>
      <x:c r="L51" s="72"/>
      <x:c r="M51" s="72"/>
      <x:c r="N51" s="72"/>
      <x:c r="O51" s="72"/>
      <x:c r="P51" s="72"/>
      <x:c r="Q51" s="72"/>
      <x:c r="R51" s="72"/>
      <x:c r="S51" s="72"/>
    </x:row>
    <x:row r="52" ht="29" customHeight="1">
      <x:c r="A52" s="72"/>
      <x:c r="B52" s="158"/>
      <x:c r="C52" s="158"/>
      <x:c r="D52" s="158"/>
      <x:c r="E52" s="158"/>
      <x:c r="F52" s="158"/>
      <x:c r="G52" s="158"/>
      <x:c r="H52" s="158"/>
      <x:c r="I52" s="72"/>
      <x:c r="J52" s="72"/>
      <x:c r="K52" s="72"/>
      <x:c r="L52" s="72"/>
      <x:c r="M52" s="72"/>
      <x:c r="N52" s="72"/>
      <x:c r="O52" s="72"/>
      <x:c r="P52" s="72"/>
      <x:c r="Q52" s="72"/>
      <x:c r="R52" s="72"/>
      <x:c r="S52" s="72"/>
    </x:row>
    <x:row r="53" ht="14.25" customHeight="1">
      <x:c r="A53" s="72"/>
      <x:c r="B53" s="72"/>
      <x:c r="C53" s="72"/>
      <x:c r="D53" s="72"/>
      <x:c r="E53" s="72"/>
      <x:c r="F53" s="72"/>
      <x:c r="G53" s="72"/>
      <x:c r="H53" s="72"/>
      <x:c r="I53" s="72"/>
      <x:c r="J53" s="72"/>
      <x:c r="K53" s="72"/>
      <x:c r="L53" s="72"/>
      <x:c r="M53" s="72"/>
      <x:c r="N53" s="72"/>
      <x:c r="O53" s="72"/>
      <x:c r="P53" s="72"/>
      <x:c r="Q53" s="72"/>
      <x:c r="R53" s="72"/>
      <x:c r="S53" s="72"/>
    </x:row>
    <x:row r="54" ht="29" customHeight="1">
      <x:c r="A54" s="72"/>
      <x:c r="B54" s="158" t="s">
        <x:v>265</x:v>
      </x:c>
      <x:c r="C54" s="158"/>
      <x:c r="D54" s="158"/>
      <x:c r="E54" s="158"/>
      <x:c r="F54" s="158"/>
      <x:c r="G54" s="158"/>
      <x:c r="H54" s="158"/>
      <x:c r="I54" s="72"/>
      <x:c r="J54" s="72"/>
      <x:c r="K54" s="72"/>
      <x:c r="L54" s="72"/>
      <x:c r="M54" s="72"/>
      <x:c r="N54" s="72"/>
      <x:c r="O54" s="72"/>
      <x:c r="P54" s="72"/>
      <x:c r="Q54" s="72"/>
      <x:c r="R54" s="72"/>
      <x:c r="S54" s="72"/>
    </x:row>
    <x:row r="55" ht="29" customHeight="1">
      <x:c r="A55" s="72"/>
      <x:c r="B55" s="158"/>
      <x:c r="C55" s="158"/>
      <x:c r="D55" s="158"/>
      <x:c r="E55" s="158"/>
      <x:c r="F55" s="158"/>
      <x:c r="G55" s="158"/>
      <x:c r="H55" s="158"/>
      <x:c r="I55" s="72"/>
      <x:c r="J55" s="72"/>
      <x:c r="K55" s="72"/>
      <x:c r="L55" s="72"/>
      <x:c r="M55" s="72"/>
      <x:c r="N55" s="72"/>
      <x:c r="O55" s="72"/>
      <x:c r="P55" s="72"/>
      <x:c r="Q55" s="72"/>
      <x:c r="R55" s="72"/>
      <x:c r="S55" s="72"/>
    </x:row>
    <x:row r="56" ht="29" customHeight="1">
      <x:c r="A56" s="72"/>
      <x:c r="B56" s="158"/>
      <x:c r="C56" s="158"/>
      <x:c r="D56" s="158"/>
      <x:c r="E56" s="158"/>
      <x:c r="F56" s="158"/>
      <x:c r="G56" s="158"/>
      <x:c r="H56" s="158"/>
      <x:c r="I56" s="72"/>
      <x:c r="J56" s="72"/>
      <x:c r="K56" s="72"/>
      <x:c r="L56" s="72"/>
      <x:c r="M56" s="72"/>
      <x:c r="N56" s="72"/>
      <x:c r="O56" s="72"/>
      <x:c r="P56" s="72"/>
      <x:c r="Q56" s="72"/>
      <x:c r="R56" s="72"/>
      <x:c r="S56" s="72"/>
    </x:row>
    <x:row r="57" ht="14.25" customHeight="1">
      <x:c r="A57" s="72"/>
      <x:c r="B57" s="72"/>
      <x:c r="C57" s="72"/>
      <x:c r="D57" s="72"/>
      <x:c r="E57" s="72"/>
      <x:c r="F57" s="72"/>
      <x:c r="G57" s="72"/>
      <x:c r="H57" s="72"/>
      <x:c r="I57" s="72"/>
      <x:c r="J57" s="72"/>
      <x:c r="K57" s="72"/>
      <x:c r="L57" s="72"/>
      <x:c r="M57" s="72"/>
      <x:c r="N57" s="72"/>
      <x:c r="O57" s="72"/>
      <x:c r="P57" s="72"/>
      <x:c r="Q57" s="72"/>
      <x:c r="R57" s="72"/>
      <x:c r="S57" s="72"/>
    </x:row>
    <x:row r="58" ht="29" customHeight="1">
      <x:c r="A58" s="72"/>
      <x:c r="B58" s="158" t="s">
        <x:v>266</x:v>
      </x:c>
      <x:c r="C58" s="158"/>
      <x:c r="D58" s="158"/>
      <x:c r="E58" s="158"/>
      <x:c r="F58" s="158"/>
      <x:c r="G58" s="158"/>
      <x:c r="H58" s="158"/>
      <x:c r="I58" s="72"/>
      <x:c r="J58" s="72"/>
      <x:c r="K58" s="72"/>
      <x:c r="L58" s="72"/>
      <x:c r="M58" s="72"/>
      <x:c r="N58" s="72"/>
      <x:c r="O58" s="72"/>
      <x:c r="P58" s="72"/>
      <x:c r="Q58" s="72"/>
      <x:c r="R58" s="72"/>
      <x:c r="S58" s="72"/>
    </x:row>
    <x:row r="59" ht="29" customHeight="1">
      <x:c r="A59" s="72"/>
      <x:c r="B59" s="158"/>
      <x:c r="C59" s="158"/>
      <x:c r="D59" s="158"/>
      <x:c r="E59" s="158"/>
      <x:c r="F59" s="158"/>
      <x:c r="G59" s="158"/>
      <x:c r="H59" s="158"/>
      <x:c r="I59" s="72"/>
      <x:c r="J59" s="72"/>
      <x:c r="K59" s="72"/>
      <x:c r="L59" s="72"/>
      <x:c r="M59" s="72"/>
      <x:c r="N59" s="72"/>
      <x:c r="O59" s="72"/>
      <x:c r="P59" s="72"/>
      <x:c r="Q59" s="72"/>
      <x:c r="R59" s="72"/>
      <x:c r="S59" s="72"/>
    </x:row>
    <x:row r="60" ht="29" customHeight="1">
      <x:c r="A60" s="72"/>
      <x:c r="B60" s="158"/>
      <x:c r="C60" s="158"/>
      <x:c r="D60" s="158"/>
      <x:c r="E60" s="158"/>
      <x:c r="F60" s="158"/>
      <x:c r="G60" s="158"/>
      <x:c r="H60" s="158"/>
      <x:c r="I60" s="72"/>
      <x:c r="J60" s="72"/>
      <x:c r="K60" s="72"/>
      <x:c r="L60" s="72"/>
      <x:c r="M60" s="72"/>
      <x:c r="N60" s="72"/>
      <x:c r="O60" s="72"/>
      <x:c r="P60" s="72"/>
      <x:c r="Q60" s="72"/>
      <x:c r="R60" s="72"/>
      <x:c r="S60" s="72"/>
    </x:row>
    <x:row r="61" ht="14.25" customHeight="1">
      <x:c r="A61" s="72"/>
      <x:c r="B61" s="72"/>
      <x:c r="C61" s="72"/>
      <x:c r="D61" s="72"/>
      <x:c r="E61" s="72"/>
      <x:c r="F61" s="72"/>
      <x:c r="G61" s="72"/>
      <x:c r="H61" s="72"/>
      <x:c r="I61" s="72"/>
      <x:c r="J61" s="72"/>
      <x:c r="K61" s="72"/>
      <x:c r="L61" s="72"/>
      <x:c r="M61" s="72"/>
      <x:c r="N61" s="72"/>
      <x:c r="O61" s="72"/>
      <x:c r="P61" s="72"/>
      <x:c r="Q61" s="72"/>
      <x:c r="R61" s="72"/>
      <x:c r="S61" s="72"/>
    </x:row>
    <x:row r="62" ht="29" customHeight="1">
      <x:c r="A62" s="72"/>
      <x:c r="B62" s="158" t="s">
        <x:v>267</x:v>
      </x:c>
      <x:c r="C62" s="158"/>
      <x:c r="D62" s="158"/>
      <x:c r="E62" s="158"/>
      <x:c r="F62" s="158"/>
      <x:c r="G62" s="158"/>
      <x:c r="H62" s="158"/>
      <x:c r="I62" s="72"/>
      <x:c r="J62" s="72"/>
      <x:c r="K62" s="72"/>
      <x:c r="L62" s="72"/>
      <x:c r="M62" s="72"/>
      <x:c r="N62" s="72"/>
      <x:c r="O62" s="72"/>
      <x:c r="P62" s="72"/>
      <x:c r="Q62" s="72"/>
      <x:c r="R62" s="72"/>
      <x:c r="S62" s="72"/>
    </x:row>
    <x:row r="63" ht="29" customHeight="1">
      <x:c r="A63" s="72"/>
      <x:c r="B63" s="158"/>
      <x:c r="C63" s="158"/>
      <x:c r="D63" s="158"/>
      <x:c r="E63" s="158"/>
      <x:c r="F63" s="158"/>
      <x:c r="G63" s="158"/>
      <x:c r="H63" s="158"/>
      <x:c r="I63" s="72"/>
      <x:c r="J63" s="72"/>
      <x:c r="K63" s="72"/>
      <x:c r="L63" s="72"/>
      <x:c r="M63" s="72"/>
      <x:c r="N63" s="72"/>
      <x:c r="O63" s="72"/>
      <x:c r="P63" s="72"/>
      <x:c r="Q63" s="72"/>
      <x:c r="R63" s="72"/>
      <x:c r="S63" s="72"/>
    </x:row>
    <x:row r="64" ht="29" customHeight="1">
      <x:c r="A64" s="72"/>
      <x:c r="B64" s="158"/>
      <x:c r="C64" s="158"/>
      <x:c r="D64" s="158"/>
      <x:c r="E64" s="158"/>
      <x:c r="F64" s="158"/>
      <x:c r="G64" s="158"/>
      <x:c r="H64" s="158"/>
      <x:c r="I64" s="72"/>
      <x:c r="J64" s="72"/>
      <x:c r="K64" s="72"/>
      <x:c r="L64" s="72"/>
      <x:c r="M64" s="72"/>
      <x:c r="N64" s="72"/>
      <x:c r="O64" s="72"/>
      <x:c r="P64" s="72"/>
      <x:c r="Q64" s="72"/>
      <x:c r="R64" s="72"/>
      <x:c r="S64" s="72"/>
    </x:row>
    <x:row r="66" ht="29" customHeight="1">
      <x:c r="B66" s="158" t="s">
        <x:v>268</x:v>
      </x:c>
      <x:c r="C66" s="158"/>
      <x:c r="D66" s="158"/>
      <x:c r="E66" s="158"/>
      <x:c r="F66" s="158"/>
      <x:c r="G66" s="158"/>
      <x:c r="H66" s="158"/>
    </x:row>
    <x:row r="67" ht="29" customHeight="1">
      <x:c r="B67" s="158"/>
      <x:c r="C67" s="158"/>
      <x:c r="D67" s="158"/>
      <x:c r="E67" s="158"/>
      <x:c r="F67" s="158"/>
      <x:c r="G67" s="158"/>
      <x:c r="H67" s="158"/>
    </x:row>
    <x:row r="68" ht="29" customHeight="1">
      <x:c r="B68" s="158"/>
      <x:c r="C68" s="158"/>
      <x:c r="D68" s="158"/>
      <x:c r="E68" s="158"/>
      <x:c r="F68" s="158"/>
      <x:c r="G68" s="158"/>
      <x:c r="H68" s="158"/>
    </x:row>
  </x:sheetData>
  <x:mergeCells>
    <x:mergeCell ref="B66:H68"/>
    <x:mergeCell ref="B46:H48"/>
    <x:mergeCell ref="B50:H52"/>
    <x:mergeCell ref="B54:H56"/>
    <x:mergeCell ref="B58:H60"/>
    <x:mergeCell ref="B62:H64"/>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8.6640625" defaultRowHeight="14.25"/>
  <x:cols>
    <x:col min="1" max="1" width="3.265625" style="1" customWidth="1"/>
    <x:col min="2" max="2" width="10.59765625" customWidth="1"/>
    <x:col min="4" max="4" width="11.3984375" customWidth="1"/>
    <x:col min="5" max="5" width="10.86328125" customWidth="1"/>
    <x:col min="6" max="6" width="10.3984375" customWidth="1"/>
    <x:col min="7" max="9" width="7.86328125" customWidth="1"/>
    <x:col min="10" max="10" width="8" customWidth="1"/>
    <x:col min="11" max="11" width="9.86328125" customWidth="1"/>
    <x:col min="12" max="14" width="7.86328125" customWidth="1"/>
    <x:col min="15" max="15" width="9.1328125" customWidth="1"/>
    <x:col min="16" max="18" width="7.86328125" customWidth="1"/>
    <x:col min="19" max="21" width="8" customWidth="1"/>
    <x:col min="22" max="22" width="8.3984375" customWidth="1"/>
    <x:col min="23" max="24" width="7.86328125" customWidth="1"/>
    <x:col min="25" max="26" width="8" customWidth="1"/>
    <x:col min="27" max="33" width="7.86328125" customWidth="1"/>
    <x:col min="34" max="34" width="9.265625" customWidth="1"/>
    <x:col min="35" max="35" width="9.796875" customWidth="1"/>
    <x:col min="37" max="40" width="22" customWidth="1"/>
  </x:cols>
  <x:sheetData>
    <x:row r="1" ht="14.25" customHeight="1">
      <x:c r="S1" s="46"/>
    </x:row>
    <x:row r="2" ht="25.5" customHeight="1">
      <x:c r="A2" s="15" t="s">
        <x:v>269</x:v>
      </x:c>
      <x:c r="L2" s="17"/>
      <x:c r="M2" s="17"/>
      <x:c r="N2" s="17"/>
      <x:c r="O2" s="18"/>
      <x:c r="P2" s="18"/>
      <x:c r="Q2" s="18"/>
      <x:c r="R2" s="18"/>
      <x:c r="S2" s="18"/>
    </x:row>
    <x:row r="3" ht="14.25" customHeight="1">
      <x:c r="T3" s="105"/>
      <x:c r="U3" s="105"/>
      <x:c r="V3" s="105"/>
    </x:row>
    <x:row r="4" ht="15.75" customHeight="1">
      <x:c r="B4" s="106" t="s">
        <x:v>270</x:v>
      </x:c>
      <x:c r="D4" t="s">
        <x:v>271</x:v>
      </x:c>
      <x:c r="F4" t="s">
        <x:v>272</x:v>
      </x:c>
      <x:c r="J4" s="107" t="n">
        <x:f>E88</x:f>
        <x:v>69.1764738895233</x:v>
      </x:c>
      <x:c r="L4" s="100"/>
      <x:c r="T4" s="105"/>
      <x:c r="U4" s="105"/>
      <x:c r="V4" s="105"/>
    </x:row>
    <x:row r="5" ht="15.75" customHeight="1">
      <x:c r="B5" s="106" t="s">
        <x:v>1</x:v>
      </x:c>
      <x:c r="D5" s="108">
        <x:v>45973</x:v>
      </x:c>
      <x:c r="F5" t="s">
        <x:v>273</x:v>
      </x:c>
      <x:c r="J5" s="107">
        <x:v>193.8</x:v>
      </x:c>
      <x:c r="L5" s="100"/>
      <x:c r="R5" s="105"/>
      <x:c r="S5" s="105"/>
      <x:c r="U5" s="105"/>
      <x:c r="V5" s="105"/>
      <x:c r="W5" s="105"/>
    </x:row>
    <x:row r="6" ht="15.75" customHeight="1">
      <x:c r="B6" s="106" t="s">
        <x:v>274</x:v>
      </x:c>
      <x:c r="D6" s="108">
        <x:v>45684</x:v>
      </x:c>
      <x:c r="F6" t="s">
        <x:v>275</x:v>
      </x:c>
      <x:c r="J6" s="109" t="n">
        <x:f>J4/J5-1</x:f>
        <x:v>-0.6430522503120573</x:v>
      </x:c>
      <x:c r="L6" s="100"/>
      <x:c r="O6" s="105"/>
      <x:c r="P6" s="62"/>
      <x:c r="Q6" s="62"/>
      <x:c r="R6" s="62"/>
      <x:c r="S6" s="62"/>
      <x:c r="T6" s="62"/>
    </x:row>
    <x:row r="7" ht="15.75" customHeight="1">
      <x:c r="B7" s="106" t="s">
        <x:v>276</x:v>
      </x:c>
      <x:c r="D7" s="108">
        <x:v>46047</x:v>
      </x:c>
      <x:c r="P7" s="62"/>
      <x:c r="Q7" s="62"/>
      <x:c r="R7" s="62"/>
      <x:c r="S7" s="62"/>
      <x:c r="T7" s="62"/>
      <x:c r="W7" s="28"/>
    </x:row>
    <x:row r="8" ht="14.25" customHeight="1">
      <x:c r="Y8" s="88"/>
      <x:c r="Z8" s="88"/>
      <x:c r="AA8" s="110"/>
      <x:c r="AB8" s="110"/>
    </x:row>
    <x:row r="9" ht="14.25" customHeight="1">
      <x:c r="A9" s="1" t="s">
        <x:v>277</x:v>
      </x:c>
      <x:c r="B9" s="87" t="s">
        <x:v>278</x:v>
      </x:c>
      <x:c r="C9" s="51"/>
      <x:c r="D9" s="51"/>
      <x:c r="E9" s="51"/>
      <x:c r="F9" s="111" t="s">
        <x:v>71</x:v>
      </x:c>
      <x:c r="G9" s="111" t="str">
        <x:f t="shared" ref="G9:AG9" si="0">IF(MID(F9,2,1)="4","Q1 "&amp;RIGHT(F9,4)+1, "Q"&amp;MID(F9,2,1)+1&amp;" "&amp;RIGHT(F9,4))</x:f>
        <x:v>Q2 2022</x:v>
      </x:c>
      <x:c r="H9" s="111" t="str">
        <x:f t="shared" si="0"/>
        <x:v>Q3 2022</x:v>
      </x:c>
      <x:c r="I9" s="111" t="str">
        <x:f t="shared" si="0"/>
        <x:v>Q4 2022</x:v>
      </x:c>
      <x:c r="J9" s="111" t="str">
        <x:f t="shared" si="0"/>
        <x:v>Q1 2023</x:v>
      </x:c>
      <x:c r="K9" s="111" t="str">
        <x:f t="shared" si="0"/>
        <x:v>Q2 2023</x:v>
      </x:c>
      <x:c r="L9" s="111" t="str">
        <x:f t="shared" si="0"/>
        <x:v>Q3 2023</x:v>
      </x:c>
      <x:c r="M9" s="111" t="str">
        <x:f t="shared" si="0"/>
        <x:v>Q4 2023</x:v>
      </x:c>
      <x:c r="N9" s="111" t="str">
        <x:f t="shared" si="0"/>
        <x:v>Q1 2024</x:v>
      </x:c>
      <x:c r="O9" s="111" t="str">
        <x:f t="shared" si="0"/>
        <x:v>Q2 2024</x:v>
      </x:c>
      <x:c r="P9" s="111" t="str">
        <x:f t="shared" si="0"/>
        <x:v>Q3 2024</x:v>
      </x:c>
      <x:c r="Q9" s="111" t="str">
        <x:f t="shared" si="0"/>
        <x:v>Q4 2024</x:v>
      </x:c>
      <x:c r="R9" s="111" t="str">
        <x:f t="shared" si="0"/>
        <x:v>Q1 2025</x:v>
      </x:c>
      <x:c r="S9" s="111" t="str">
        <x:f t="shared" si="0"/>
        <x:v>Q2 2025</x:v>
      </x:c>
      <x:c r="T9" s="111" t="str">
        <x:f t="shared" si="0"/>
        <x:v>Q3 2025</x:v>
      </x:c>
      <x:c r="U9" s="111" t="str">
        <x:f t="shared" si="0"/>
        <x:v>Q4 2025</x:v>
      </x:c>
      <x:c r="V9" s="111" t="str">
        <x:f t="shared" si="0"/>
        <x:v>Q1 2026</x:v>
      </x:c>
      <x:c r="W9" s="111" t="str">
        <x:f t="shared" si="0"/>
        <x:v>Q2 2026</x:v>
      </x:c>
      <x:c r="X9" s="112" t="str">
        <x:f t="shared" si="0"/>
        <x:v>Q3 2026</x:v>
      </x:c>
      <x:c r="Y9" s="112" t="str">
        <x:f t="shared" si="0"/>
        <x:v>Q4 2026</x:v>
      </x:c>
      <x:c r="Z9" s="112" t="str">
        <x:f t="shared" si="0"/>
        <x:v>Q1 2027</x:v>
      </x:c>
      <x:c r="AA9" s="112" t="str">
        <x:f t="shared" si="0"/>
        <x:v>Q2 2027</x:v>
      </x:c>
      <x:c r="AB9" s="112" t="str">
        <x:f t="shared" si="0"/>
        <x:v>Q3 2027</x:v>
      </x:c>
      <x:c r="AC9" s="112" t="str">
        <x:f t="shared" si="0"/>
        <x:v>Q4 2027</x:v>
      </x:c>
      <x:c r="AD9" s="112" t="str">
        <x:f t="shared" si="0"/>
        <x:v>Q1 2028</x:v>
      </x:c>
      <x:c r="AE9" s="112" t="str">
        <x:f t="shared" si="0"/>
        <x:v>Q2 2028</x:v>
      </x:c>
      <x:c r="AF9" s="112" t="str">
        <x:f t="shared" si="0"/>
        <x:v>Q3 2028</x:v>
      </x:c>
      <x:c r="AG9" s="112" t="str">
        <x:f t="shared" si="0"/>
        <x:v>Q4 2028</x:v>
      </x:c>
      <x:c r="AH9" s="112">
        <x:v>2029</x:v>
      </x:c>
      <x:c r="AI9" s="112">
        <x:v>2030</x:v>
      </x:c>
    </x:row>
    <x:row r="10" ht="14.25" customHeight="1">
      <x:c r="B10" t="s">
        <x:v>101</x:v>
      </x:c>
      <x:c r="F10" s="62" t="n">
        <x:f>'Income Statement'!C9</x:f>
        <x:v>5661</x:v>
      </x:c>
      <x:c r="G10" s="62" t="n">
        <x:f>'Income Statement'!D9</x:f>
        <x:v>6507</x:v>
      </x:c>
      <x:c r="H10" s="62" t="n">
        <x:f>'Income Statement'!E9</x:f>
        <x:v>7103</x:v>
      </x:c>
      <x:c r="I10" s="62" t="n">
        <x:f>'Income Statement'!F9</x:f>
        <x:v>7643</x:v>
      </x:c>
      <x:c r="J10" s="62" t="n">
        <x:f>'Income Statement'!G9</x:f>
        <x:v>8288</x:v>
      </x:c>
      <x:c r="K10" s="62" t="n">
        <x:f>'Income Statement'!H9</x:f>
        <x:v>6704</x:v>
      </x:c>
      <x:c r="L10" s="62" t="n">
        <x:f>'Income Statement'!I9</x:f>
        <x:v>5931</x:v>
      </x:c>
      <x:c r="M10" s="62" t="n">
        <x:f>'Income Statement'!J9</x:f>
        <x:v>6051</x:v>
      </x:c>
      <x:c r="N10" s="62" t="n">
        <x:f>'Income Statement'!K9</x:f>
        <x:v>7192</x:v>
      </x:c>
      <x:c r="O10" s="62" t="n">
        <x:f>'Income Statement'!L9</x:f>
        <x:v>13507</x:v>
      </x:c>
      <x:c r="P10" s="62" t="n">
        <x:f>'Income Statement'!M9</x:f>
        <x:v>18120</x:v>
      </x:c>
      <x:c r="Q10" s="62" t="n">
        <x:f>'Income Statement'!N9</x:f>
        <x:v>22103</x:v>
      </x:c>
      <x:c r="R10" s="62" t="n">
        <x:f>'Income Statement'!O9</x:f>
        <x:v>26044</x:v>
      </x:c>
      <x:c r="S10" s="62" t="n">
        <x:f>'Income Statement'!P9</x:f>
        <x:v>30040</x:v>
      </x:c>
      <x:c r="T10" s="62" t="n">
        <x:f>'Income Statement'!Q9</x:f>
        <x:v>35082</x:v>
      </x:c>
      <x:c r="U10" s="62" t="n">
        <x:f>'Income Statement'!R9</x:f>
        <x:v>39331</x:v>
      </x:c>
      <x:c r="V10" s="62" t="n">
        <x:f>'Income Statement'!S9</x:f>
        <x:v>44062</x:v>
      </x:c>
      <x:c r="W10" s="62" t="n">
        <x:f>'Income Statement'!T9</x:f>
        <x:v>46743</x:v>
      </x:c>
      <x:c r="X10" s="113" t="n">
        <x:f t="shared" ref="X10:AI10" si="1">X48</x:f>
        <x:v>54000</x:v>
      </x:c>
      <x:c r="Y10" s="113">
        <x:f t="shared" si="1"/>
        <x:v>58367.499068207231</x:v>
      </x:c>
      <x:c r="Z10" s="113">
        <x:f t="shared" si="1"/>
        <x:v>63701.080879612367</x:v>
      </x:c>
      <x:c r="AA10" s="113">
        <x:f t="shared" si="1"/>
        <x:v>68187.103988073053</x:v>
      </x:c>
      <x:c r="AB10" s="113">
        <x:f t="shared" si="1"/>
        <x:v>67404.398061871034</x:v>
      </x:c>
      <x:c r="AC10" s="113">
        <x:f t="shared" si="1"/>
        <x:v>72732.01639955274</x:v>
      </x:c>
      <x:c r="AD10" s="113">
        <x:f t="shared" si="1"/>
        <x:v>74968.319045844197</x:v>
      </x:c>
      <x:c r="AE10" s="113">
        <x:f t="shared" si="1"/>
        <x:v>77204.621692135654</x:v>
      </x:c>
      <x:c r="AF10" s="113">
        <x:f t="shared" si="1"/>
        <x:v>87519.755944275516</x:v>
      </x:c>
      <x:c r="AG10" s="113">
        <x:f t="shared" si="1"/>
        <x:v>98481.65336671393</x:v>
      </x:c>
      <x:c r="AH10" s="113">
        <x:f t="shared" si="1"/>
        <x:v>385210.27987175522</x:v>
      </x:c>
      <x:c r="AI10" s="113">
        <x:f t="shared" si="1"/>
        <x:v>398692.63966726663</x:v>
      </x:c>
    </x:row>
    <x:row r="11" ht="14.25" customHeight="1">
      <x:c r="B11" s="29" t="s">
        <x:v>279</x:v>
      </x:c>
      <x:c r="F11" s="1"/>
      <x:c r="G11" s="114" t="n">
        <x:f t="shared" ref="G11:AG11" si="2">G10/F10-1</x:f>
        <x:v>0.14944356120826718</x:v>
      </x:c>
      <x:c r="H11" s="114">
        <x:f t="shared" si="2"/>
        <x:v>9.1593668357153879E-2</x:v>
      </x:c>
      <x:c r="I11" s="114">
        <x:f t="shared" si="2"/>
        <x:v>7.6024215120371608E-2</x:v>
      </x:c>
      <x:c r="J11" s="114">
        <x:f t="shared" si="2"/>
        <x:v>8.4390945963626951E-2</x:v>
      </x:c>
      <x:c r="K11" s="114">
        <x:f t="shared" si="2"/>
        <x:v>-0.19111969111969107</x:v>
      </x:c>
      <x:c r="L11" s="114">
        <x:f t="shared" si="2"/>
        <x:v>-0.11530429594272074</x:v>
      </x:c>
      <x:c r="M11" s="114">
        <x:f t="shared" si="2"/>
        <x:v>2.0232675771370667E-2</x:v>
      </x:c>
      <x:c r="N11" s="114">
        <x:f t="shared" si="2"/>
        <x:v>0.1885638737398776</x:v>
      </x:c>
      <x:c r="O11" s="114">
        <x:f t="shared" si="2"/>
        <x:v>0.87805895439377091</x:v>
      </x:c>
      <x:c r="P11" s="114">
        <x:f t="shared" si="2"/>
        <x:v>0.34152661582882948</x:v>
      </x:c>
      <x:c r="Q11" s="114">
        <x:f t="shared" si="2"/>
        <x:v>0.21981236203090515</x:v>
      </x:c>
      <x:c r="R11" s="114">
        <x:f t="shared" si="2"/>
        <x:v>0.17830158801972584</x:v>
      </x:c>
      <x:c r="S11" s="114">
        <x:f t="shared" si="2"/>
        <x:v>0.1534326524343419</x:v>
      </x:c>
      <x:c r="T11" s="114">
        <x:f t="shared" si="2"/>
        <x:v>0.16784287616511318</x:v>
      </x:c>
      <x:c r="U11" s="114">
        <x:f t="shared" si="2"/>
        <x:v>0.12111624194743742</x:v>
      </x:c>
      <x:c r="V11" s="114">
        <x:f t="shared" si="2"/>
        <x:v>0.12028679667437903</x:v>
      </x:c>
      <x:c r="W11" s="114">
        <x:f t="shared" si="2"/>
        <x:v>6.0846080522899637E-2</x:v>
      </x:c>
      <x:c r="X11" s="114">
        <x:f t="shared" si="2"/>
        <x:v>0.15525319299146401</x:v>
      </x:c>
      <x:c r="Y11" s="114">
        <x:f t="shared" si="2"/>
        <x:v>8.0879612374207932E-2</x:v>
      </x:c>
      <x:c r="Z11" s="114">
        <x:f t="shared" si="2"/>
        <x:v>9.1379310344827491E-2</x:v>
      </x:c>
      <x:c r="AA11" s="114">
        <x:f t="shared" si="2"/>
        <x:v>7.0423029664735903E-2</x:v>
      </x:c>
      <x:c r="AB11" s="114" t="n">
        <x:f>AB10/AA10-1</x:f>
        <x:v>-0.011478797022072218</x:v>
      </x:c>
      <x:c r="AC11" s="114">
        <x:f t="shared" si="2"/>
        <x:v>7.9039624874202463E-2</x:v>
      </x:c>
      <x:c r="AD11" s="114">
        <x:f t="shared" si="2"/>
        <x:v>3.0747155888080302E-2</x:v>
      </x:c>
      <x:c r="AE11" s="114">
        <x:f t="shared" si="2"/>
        <x:v>2.9829969175698468E-2</x:v>
      </x:c>
      <x:c r="AF11" s="114">
        <x:f t="shared" si="2"/>
        <x:v>0.13360773003037196</x:v>
      </x:c>
      <x:c r="AG11" s="114">
        <x:f t="shared" si="2"/>
        <x:v>0.12525054833811389</x:v>
      </x:c>
      <x:c r="AH11" s="114" t="n">
        <x:f>AH10/SUM(AD10:AG10)-1</x:f>
        <x:v>0.13908781022562744</x:v>
      </x:c>
      <x:c r="AI11" s="114" t="n">
        <x:f>AI10/AH10-1</x:f>
        <x:v>0.03499999999999992</x:v>
      </x:c>
    </x:row>
    <x:row r="12" ht="14.25" customHeight="1">
      <x:c r="B12" s="29"/>
      <x:c r="G12" s="21"/>
      <x:c r="H12" s="21"/>
      <x:c r="I12" s="21"/>
      <x:c r="J12" s="21"/>
      <x:c r="K12" s="21"/>
      <x:c r="L12" s="21"/>
      <x:c r="M12" s="21"/>
      <x:c r="N12" s="21"/>
      <x:c r="O12" s="21"/>
      <x:c r="P12" s="21"/>
      <x:c r="Q12" s="21"/>
      <x:c r="X12" s="1"/>
      <x:c r="Y12" s="1"/>
      <x:c r="Z12" s="1"/>
      <x:c r="AA12" s="1"/>
      <x:c r="AB12" s="1"/>
      <x:c r="AC12" s="1"/>
      <x:c r="AD12" s="1"/>
      <x:c r="AE12" s="1"/>
      <x:c r="AF12" s="1"/>
      <x:c r="AG12" s="1"/>
    </x:row>
    <x:row r="13" ht="14.25" customHeight="1">
      <x:c r="B13" t="s">
        <x:v>280</x:v>
      </x:c>
      <x:c r="F13" s="62" t="n">
        <x:f>'Income Statement'!C11</x:f>
        <x:v>3629</x:v>
      </x:c>
      <x:c r="G13" s="62" t="n">
        <x:f>'Income Statement'!D11</x:f>
        <x:v>4215</x:v>
      </x:c>
      <x:c r="H13" s="62" t="n">
        <x:f>'Income Statement'!E11</x:f>
        <x:v>4631</x:v>
      </x:c>
      <x:c r="I13" s="62" t="n">
        <x:f>'Income Statement'!F11</x:f>
        <x:v>5000</x:v>
      </x:c>
      <x:c r="J13" s="62" t="n">
        <x:f>'Income Statement'!G11</x:f>
        <x:v>5431</x:v>
      </x:c>
      <x:c r="K13" s="62" t="n">
        <x:f>'Income Statement'!H11</x:f>
        <x:v>2915</x:v>
      </x:c>
      <x:c r="L13" s="62" t="n">
        <x:f>'Income Statement'!I11</x:f>
        <x:v>3177</x:v>
      </x:c>
      <x:c r="M13" s="62" t="n">
        <x:f>'Income Statement'!J11</x:f>
        <x:v>3833</x:v>
      </x:c>
      <x:c r="N13" s="62" t="n">
        <x:f>'Income Statement'!K11</x:f>
        <x:v>4648</x:v>
      </x:c>
      <x:c r="O13" s="62" t="n">
        <x:f>'Income Statement'!L11</x:f>
        <x:v>9462</x:v>
      </x:c>
      <x:c r="P13" s="62" t="n">
        <x:f>'Income Statement'!M11</x:f>
        <x:v>13400</x:v>
      </x:c>
      <x:c r="Q13" s="62" t="n">
        <x:f>'Income Statement'!N11</x:f>
        <x:v>16791</x:v>
      </x:c>
      <x:c r="R13" s="62" t="n">
        <x:f>'Income Statement'!O11</x:f>
        <x:v>20406</x:v>
      </x:c>
      <x:c r="S13" s="62" t="n">
        <x:f>'Income Statement'!P11</x:f>
        <x:v>22574</x:v>
      </x:c>
      <x:c r="T13" s="62" t="n">
        <x:f>'Income Statement'!Q11</x:f>
        <x:v>26156</x:v>
      </x:c>
      <x:c r="U13" s="62" t="n">
        <x:f>'Income Statement'!R11</x:f>
        <x:v>28723</x:v>
      </x:c>
      <x:c r="V13" s="62" t="n">
        <x:f>'Income Statement'!S11</x:f>
        <x:v>26668</x:v>
      </x:c>
      <x:c r="W13" s="62" t="n">
        <x:f>'Income Statement'!T11</x:f>
        <x:v>33853</x:v>
      </x:c>
      <x:c r="X13" s="113" t="n">
        <x:f t="shared" ref="X13:AI13" si="3">X10*X14</x:f>
        <x:v>41202</x:v>
      </x:c>
      <x:c r="Y13" s="113">
        <x:f t="shared" si="3"/>
        <x:v>40935.045493134916</x:v>
      </x:c>
      <x:c r="Z13" s="113">
        <x:f t="shared" si="3"/>
        <x:v>44953.278554284028</x:v>
      </x:c>
      <x:c r="AA13" s="113">
        <x:f t="shared" si="3"/>
        <x:v>47625.414471746655</x:v>
      </x:c>
      <x:c r="AB13" s="113">
        <x:f t="shared" si="3"/>
        <x:v>48771.474023475042</x:v>
      </x:c>
      <x:c r="AC13" s="113">
        <x:f t="shared" si="3"/>
        <x:v>52157.506950764633</x:v>
      </x:c>
      <x:c r="AD13" s="113">
        <x:f t="shared" si="3"/>
        <x:v>53022.111018577685</x:v>
      </x:c>
      <x:c r="AE13" s="113">
        <x:f t="shared" si="3"/>
        <x:v>54908.448512223957</x:v>
      </x:c>
      <x:c r="AF13" s="113">
        <x:f t="shared" si="3"/>
        <x:v>62278.976778195603</x:v>
      </x:c>
      <x:c r="AG13" s="113">
        <x:f t="shared" si="3"/>
        <x:v>70393.481815811581</x:v>
      </x:c>
      <x:c r="AH13" s="113">
        <x:f t="shared" si="3"/>
        <x:v>274191.23324342654</x:v>
      </x:c>
      <x:c r="AI13" s="113">
        <x:f t="shared" si="3"/>
        <x:v>283555.57114017365</x:v>
      </x:c>
    </x:row>
    <x:row r="14" ht="14.25" customHeight="1">
      <x:c r="B14" s="29" t="s">
        <x:v>281</x:v>
      </x:c>
      <x:c r="F14" s="114" t="n">
        <x:f t="shared" ref="F14:W14" si="4">F13/F$10</x:f>
        <x:v>0.6410528175234057</x:v>
      </x:c>
      <x:c r="G14" s="114">
        <x:f t="shared" si="4"/>
        <x:v>0.64776394651913327</x:v>
      </x:c>
      <x:c r="H14" s="114">
        <x:f t="shared" si="4"/>
        <x:v>0.65197803744896521</x:v>
      </x:c>
      <x:c r="I14" s="114">
        <x:f t="shared" si="4"/>
        <x:v>0.65419337956299883</x:v>
      </x:c>
      <x:c r="J14" s="114">
        <x:f t="shared" si="4"/>
        <x:v>0.65528474903474898</x:v>
      </x:c>
      <x:c r="K14" s="114">
        <x:f t="shared" si="4"/>
        <x:v>0.43481503579952269</x:v>
      </x:c>
      <x:c r="L14" s="114">
        <x:f t="shared" si="4"/>
        <x:v>0.53566009104704093</x:v>
      </x:c>
      <x:c r="M14" s="114">
        <x:f t="shared" si="4"/>
        <x:v>0.63344901669145592</x:v>
      </x:c>
      <x:c r="N14" s="114">
        <x:f t="shared" si="4"/>
        <x:v>0.64627363737486099</x:v>
      </x:c>
      <x:c r="O14" s="114">
        <x:f t="shared" si="4"/>
        <x:v>0.7005256533649219</x:v>
      </x:c>
      <x:c r="P14" s="114">
        <x:f t="shared" si="4"/>
        <x:v>0.73951434878587197</x:v>
      </x:c>
      <x:c r="Q14" s="114">
        <x:f t="shared" si="4"/>
        <x:v>0.75967063294575399</x:v>
      </x:c>
      <x:c r="R14" s="114">
        <x:f t="shared" si="4"/>
        <x:v>0.78352019659038552</x:v>
      </x:c>
      <x:c r="S14" s="114">
        <x:f t="shared" si="4"/>
        <x:v>0.75146471371504664</x:v>
      </x:c>
      <x:c r="T14" s="114">
        <x:f t="shared" si="4"/>
        <x:v>0.74556752750698363</x:v>
      </x:c>
      <x:c r="U14" s="114">
        <x:f t="shared" si="4"/>
        <x:v>0.73028908494571709</x:v>
      </x:c>
      <x:c r="V14" s="114">
        <x:f t="shared" si="4"/>
        <x:v>0.60523807362353044</x:v>
      </x:c>
      <x:c r="W14" s="114">
        <x:f t="shared" si="4"/>
        <x:v>0.72423678411740799</x:v>
      </x:c>
      <x:c r="X14" s="114">
        <x:v>0.76300000000000001</x:v>
      </x:c>
      <x:c r="Y14" s="114" t="n">
        <x:f t="shared" ref="Y14:AI14" si="5">AVERAGE(T14:W14)</x:f>
        <x:v>0.7013328675484098</x:v>
      </x:c>
      <x:c r="Z14" s="114">
        <x:f t="shared" si="5"/>
        <x:v>0.70569098567166377</x:v>
      </x:c>
      <x:c r="AA14" s="114">
        <x:f t="shared" si="5"/>
        <x:v>0.69845193132233707</x:v>
      </x:c>
      <x:c r="AB14" s="114">
        <x:f t="shared" si="5"/>
        <x:v>0.72356515933437038</x:v>
      </x:c>
      <x:c r="AC14" s="114">
        <x:f t="shared" si="5"/>
        <x:v>0.71711894613560268</x:v>
      </x:c>
      <x:c r="AD14" s="114">
        <x:f t="shared" si="5"/>
        <x:v>0.70726023596919529</x:v>
      </x:c>
      <x:c r="AE14" s="114">
        <x:f t="shared" si="5"/>
        <x:v>0.71120675561599356</x:v>
      </x:c>
      <x:c r="AF14" s="114">
        <x:f t="shared" si="5"/>
        <x:v>0.71159906819037633</x:v>
      </x:c>
      <x:c r="AG14" s="114">
        <x:f t="shared" si="5"/>
        <x:v>0.71478777426379048</x:v>
      </x:c>
      <x:c r="AH14" s="114">
        <x:f t="shared" si="5"/>
        <x:v>0.71179625147779202</x:v>
      </x:c>
      <x:c r="AI14" s="114">
        <x:f t="shared" si="5"/>
        <x:v>0.71121345850983886</x:v>
      </x:c>
    </x:row>
    <x:row r="15" ht="14.25" customHeight="1">
      <x:c r="X15" s="1"/>
      <x:c r="Y15" s="1"/>
      <x:c r="Z15" s="1"/>
      <x:c r="AA15" s="1"/>
      <x:c r="AB15" s="1"/>
      <x:c r="AC15" s="1"/>
      <x:c r="AD15" s="1"/>
      <x:c r="AE15" s="1"/>
      <x:c r="AF15" s="1"/>
      <x:c r="AG15" s="1"/>
    </x:row>
    <x:row r="16" ht="14.25" customHeight="1">
      <x:c r="B16" t="s">
        <x:v>282</x:v>
      </x:c>
      <x:c r="F16" s="62" t="n">
        <x:f>'Income Statement'!C19+'Income Statement'!C20+'Income Statement'!C21</x:f>
        <x:v>1909</x:v>
      </x:c>
      <x:c r="G16" s="62" t="n">
        <x:f>'Income Statement'!D19+'Income Statement'!D20+'Income Statement'!D21</x:f>
        <x:v>2390</x:v>
      </x:c>
      <x:c r="H16" s="62" t="n">
        <x:f>'Income Statement'!E19+'Income Statement'!E20+'Income Statement'!E21</x:f>
        <x:v>2616</x:v>
      </x:c>
      <x:c r="I16" s="62" t="n">
        <x:f>'Income Statement'!F19+'Income Statement'!F20+'Income Statement'!F21</x:f>
        <x:v>2919</x:v>
      </x:c>
      <x:c r="J16" s="62" t="n">
        <x:f>'Income Statement'!G19+'Income Statement'!G20+'Income Statement'!G21</x:f>
        <x:v>1818</x:v>
      </x:c>
      <x:c r="K16" s="62" t="n">
        <x:f>'Income Statement'!H19+'Income Statement'!H20+'Income Statement'!H21</x:f>
        <x:v>480</x:v>
      </x:c>
      <x:c r="L16" s="62" t="n">
        <x:f>'Income Statement'!I19+'Income Statement'!I20+'Income Statement'!I21</x:f>
        <x:v>624</x:v>
      </x:c>
      <x:c r="M16" s="62" t="n">
        <x:f>'Income Statement'!J19+'Income Statement'!J20+'Income Statement'!J21</x:f>
        <x:v>1307</x:v>
      </x:c>
      <x:c r="N16" s="62" t="n">
        <x:f>'Income Statement'!K19+'Income Statement'!K20+'Income Statement'!K21</x:f>
        <x:v>2224</x:v>
      </x:c>
      <x:c r="O16" s="62" t="n">
        <x:f>'Income Statement'!L19+'Income Statement'!L20+'Income Statement'!L21</x:f>
        <x:v>6922</x:v>
      </x:c>
      <x:c r="P16" s="62" t="n">
        <x:f>'Income Statement'!M19+'Income Statement'!M20+'Income Statement'!M21</x:f>
        <x:v>10588</x:v>
      </x:c>
      <x:c r="Q16" s="62" t="n">
        <x:f>'Income Statement'!N19+'Income Statement'!N20+'Income Statement'!N21</x:f>
        <x:v>13847</x:v>
      </x:c>
      <x:c r="R16" s="62" t="n">
        <x:f>'Income Statement'!O19+'Income Statement'!O20+'Income Statement'!O21</x:f>
        <x:v>17204</x:v>
      </x:c>
      <x:c r="S16" s="62" t="n">
        <x:f>'Income Statement'!P19+'Income Statement'!P20+'Income Statement'!P21</x:f>
        <x:v>19025</x:v>
      </x:c>
      <x:c r="T16" s="62" t="n">
        <x:f>'Income Statement'!Q19+'Income Statement'!Q20+'Income Statement'!Q21</x:f>
        <x:v>22280</x:v>
      </x:c>
      <x:c r="U16" s="62" t="n">
        <x:f>'Income Statement'!R19+'Income Statement'!R20+'Income Statement'!R21</x:f>
        <x:v>24484</x:v>
      </x:c>
      <x:c r="V16" s="62" t="n">
        <x:f>'Income Statement'!S19+'Income Statement'!S20+'Income Statement'!S21</x:f>
        <x:v>22090</x:v>
      </x:c>
      <x:c r="W16" s="62" t="n">
        <x:f>'Income Statement'!T19+'Income Statement'!T20+'Income Statement'!T21</x:f>
        <x:v>28970</x:v>
      </x:c>
      <x:c r="X16" s="113" t="n">
        <x:f t="shared" ref="X16:AI16" si="6">X13-(X10*$D$41)</x:f>
        <x:v>34855.076541296956</x:v>
      </x:c>
      <x:c r="Y16" s="113">
        <x:f t="shared" si="6"/>
        <x:v>34074.785325323202</x:v>
      </x:c>
      <x:c r="Z16" s="113">
        <x:f t="shared" si="6"/>
        <x:v>37466.13254355159</x:v>
      </x:c>
      <x:c r="AA16" s="113">
        <x:f t="shared" si="6"/>
        <x:v>39611.000955396194</x:v>
      </x:c>
      <x:c r="AB16" s="113">
        <x:f t="shared" si="6"/>
        <x:v>40849.056333129716</x:v>
      </x:c>
      <x:c r="AC16" s="113">
        <x:f t="shared" si="6"/>
        <x:v>43608.904338077671</x:v>
      </x:c>
      <x:c r="AD16" s="113">
        <x:f t="shared" si="6"/>
        <x:v>44210.66318873319</x:v>
      </x:c>
      <x:c r="AE16" s="113">
        <x:f t="shared" si="6"/>
        <x:v>45834.15546522192</x:v>
      </x:c>
      <x:c r="AF16" s="113">
        <x:f t="shared" si="6"/>
        <x:v>51992.28803555324</x:v>
      </x:c>
      <x:c r="AG16" s="113">
        <x:f t="shared" si="6"/>
        <x:v>58818.379667569752</x:v>
      </x:c>
      <x:c r="AH16" s="113">
        <x:f t="shared" si="6"/>
        <x:v>228915.3043202486</x:v>
      </x:c>
      <x:c r="AI16" s="113">
        <x:f t="shared" si="6"/>
        <x:v>236694.98470468447</x:v>
      </x:c>
    </x:row>
    <x:row r="17" ht="14.25" customHeight="1">
      <x:c r="B17" s="29" t="s">
        <x:v>281</x:v>
      </x:c>
      <x:c r="F17" s="114" t="n">
        <x:f t="shared" ref="F17:X17" si="7">F16/F$10</x:f>
        <x:v>0.33721957251369017</x:v>
      </x:c>
      <x:c r="G17" s="114">
        <x:f t="shared" si="7"/>
        <x:v>0.36729675733825112</x:v>
      </x:c>
      <x:c r="H17" s="114">
        <x:f t="shared" si="7"/>
        <x:v>0.36829508658313387</x:v>
      </x:c>
      <x:c r="I17" s="114">
        <x:f t="shared" si="7"/>
        <x:v>0.38191809498887869</x:v>
      </x:c>
      <x:c r="J17" s="114">
        <x:f t="shared" si="7"/>
        <x:v>0.21935328185328185</x:v>
      </x:c>
      <x:c r="K17" s="114">
        <x:f t="shared" si="7"/>
        <x:v>7.1599045346062054E-2</x:v>
      </x:c>
      <x:c r="L17" s="114">
        <x:f t="shared" si="7"/>
        <x:v>0.10520991401112798</x:v>
      </x:c>
      <x:c r="M17" s="114">
        <x:f t="shared" si="7"/>
        <x:v>0.21599735580895721</x:v>
      </x:c>
      <x:c r="N17" s="114">
        <x:f t="shared" si="7"/>
        <x:v>0.3092324805339266</x:v>
      </x:c>
      <x:c r="O17" s="114">
        <x:f t="shared" si="7"/>
        <x:v>0.51247501295624487</x:v>
      </x:c>
      <x:c r="P17" s="114">
        <x:f t="shared" si="7"/>
        <x:v>0.58432671081677701</x:v>
      </x:c>
      <x:c r="Q17" s="114">
        <x:f t="shared" si="7"/>
        <x:v>0.62647604397593082</x:v>
      </x:c>
      <x:c r="R17" s="114">
        <x:f t="shared" si="7"/>
        <x:v>0.66057441253263705</x:v>
      </x:c>
      <x:c r="S17" s="114">
        <x:f t="shared" si="7"/>
        <x:v>0.63332223701731027</x:v>
      </x:c>
      <x:c r="T17" s="114">
        <x:f t="shared" si="7"/>
        <x:v>0.63508351861353396</x:v>
      </x:c>
      <x:c r="U17" s="114">
        <x:f t="shared" si="7"/>
        <x:v>0.62251150491978335</x:v>
      </x:c>
      <x:c r="V17" s="114">
        <x:f t="shared" si="7"/>
        <x:v>0.50133902228677774</x:v>
      </x:c>
      <x:c r="W17" s="114">
        <x:f t="shared" si="7"/>
        <x:v>0.61977194446227246</x:v>
      </x:c>
      <x:c r="X17" s="114">
        <x:f t="shared" si="7"/>
        <x:v>0.64546438039438803</x:v>
      </x:c>
      <x:c r="Y17" s="114" t="n">
        <x:f t="shared" ref="Y17:AI17" si="8">Y16/Y10</x:f>
        <x:v>0.5837972479427979</x:v>
      </x:c>
      <x:c r="Z17" s="114">
        <x:f t="shared" si="8"/>
        <x:v>0.5881553660660519</x:v>
      </x:c>
      <x:c r="AA17" s="114">
        <x:f t="shared" si="8"/>
        <x:v>0.58091631171672509</x:v>
      </x:c>
      <x:c r="AB17" s="114">
        <x:f t="shared" si="8"/>
        <x:v>0.60602953972875839</x:v>
      </x:c>
      <x:c r="AC17" s="114">
        <x:f t="shared" si="8"/>
        <x:v>0.59958332652999069</x:v>
      </x:c>
      <x:c r="AD17" s="114">
        <x:f t="shared" si="8"/>
        <x:v>0.58972461636358342</x:v>
      </x:c>
      <x:c r="AE17" s="114">
        <x:f t="shared" si="8"/>
        <x:v>0.59367113601038157</x:v>
      </x:c>
      <x:c r="AF17" s="114">
        <x:f t="shared" si="8"/>
        <x:v>0.59406344858476434</x:v>
      </x:c>
      <x:c r="AG17" s="114">
        <x:f t="shared" si="8"/>
        <x:v>0.59725215465817849</x:v>
      </x:c>
      <x:c r="AH17" s="114">
        <x:f t="shared" si="8"/>
        <x:v>0.59426063187218015</x:v>
      </x:c>
      <x:c r="AI17" s="114">
        <x:f t="shared" si="8"/>
        <x:v>0.59367783890422676</x:v>
      </x:c>
    </x:row>
    <x:row r="18" ht="14.25" customHeight="1">
      <x:c r="X18" s="1"/>
      <x:c r="Y18" s="1"/>
      <x:c r="Z18" s="1"/>
      <x:c r="AA18" s="1"/>
      <x:c r="AB18" s="1"/>
      <x:c r="AC18" s="1"/>
      <x:c r="AD18" s="1"/>
      <x:c r="AE18" s="1"/>
      <x:c r="AF18" s="1"/>
      <x:c r="AG18" s="1"/>
    </x:row>
    <x:row r="19" ht="14.25" customHeight="1">
      <x:c r="B19" t="s">
        <x:v>283</x:v>
      </x:c>
      <x:c r="F19" s="38" t="n">
        <x:f>'Income Statement'!C26</x:f>
        <x:v>132</x:v>
      </x:c>
      <x:c r="G19" s="38" t="n">
        <x:f>'Income Statement'!D26</x:f>
        <x:v>20</x:v>
      </x:c>
      <x:c r="H19" s="38" t="n">
        <x:f>'Income Statement'!E26</x:f>
        <x:v>174</x:v>
      </x:c>
      <x:c r="I19" s="38" t="n">
        <x:f>'Income Statement'!F26</x:f>
        <x:v>-137</x:v>
      </x:c>
      <x:c r="J19" s="38" t="n">
        <x:f>'Income Statement'!G26</x:f>
        <x:v>187</x:v>
      </x:c>
      <x:c r="K19" s="38" t="n">
        <x:f>'Income Statement'!H26</x:f>
        <x:v>-181</x:v>
      </x:c>
      <x:c r="L19" s="38" t="n">
        <x:f>'Income Statement'!I26</x:f>
        <x:v>-67</x:v>
      </x:c>
      <x:c r="M19" s="62" t="n">
        <x:f>'Income Statement'!J26</x:f>
        <x:v>-126</x:v>
      </x:c>
      <x:c r="N19" s="62" t="n">
        <x:f>'Income Statement'!K26</x:f>
        <x:v>166</x:v>
      </x:c>
      <x:c r="O19" s="62" t="n">
        <x:f>'Income Statement'!L26</x:f>
        <x:v>793</x:v>
      </x:c>
      <x:c r="P19" s="62" t="n">
        <x:f>'Income Statement'!M26</x:f>
        <x:v>1279</x:v>
      </x:c>
      <x:c r="Q19" s="62" t="n">
        <x:f>'Income Statement'!N26</x:f>
        <x:v>1820</x:v>
      </x:c>
      <x:c r="R19" s="62" t="n">
        <x:f>'Income Statement'!O26</x:f>
        <x:v>2398</x:v>
      </x:c>
      <x:c r="S19" s="62" t="n">
        <x:f>'Income Statement'!P26</x:f>
        <x:v>2615</x:v>
      </x:c>
      <x:c r="T19" s="62" t="n">
        <x:f>'Income Statement'!Q26</x:f>
        <x:v>3007</x:v>
      </x:c>
      <x:c r="U19" s="62" t="n">
        <x:f>'Income Statement'!R26</x:f>
        <x:v>3126</x:v>
      </x:c>
      <x:c r="V19" s="62" t="n">
        <x:f>'Income Statement'!S26</x:f>
        <x:v>3135</x:v>
      </x:c>
      <x:c r="W19" s="62" t="n">
        <x:f>'Income Statement'!T26</x:f>
        <x:v>4784</x:v>
      </x:c>
      <x:c r="X19" s="113" t="n">
        <x:f t="shared" ref="X19:AI19" si="9">X16*X20</x:f>
        <x:v>5925.3630120204825</x:v>
      </x:c>
      <x:c r="Y19" s="113">
        <x:f t="shared" si="9"/>
        <x:v>5792.7135053049451</x:v>
      </x:c>
      <x:c r="Z19" s="113">
        <x:f t="shared" si="9"/>
        <x:v>6369.2425324037704</x:v>
      </x:c>
      <x:c r="AA19" s="113">
        <x:f t="shared" si="9"/>
        <x:v>6733.8701624173536</x:v>
      </x:c>
      <x:c r="AB19" s="113">
        <x:f t="shared" si="9"/>
        <x:v>6944.3395766320518</x:v>
      </x:c>
      <x:c r="AC19" s="113">
        <x:f t="shared" si="9"/>
        <x:v>7413.5137374732049</x:v>
      </x:c>
      <x:c r="AD19" s="113">
        <x:f t="shared" si="9"/>
        <x:v>7515.8127420846431</x:v>
      </x:c>
      <x:c r="AE19" s="113">
        <x:f t="shared" si="9"/>
        <x:v>7791.8064290877273</x:v>
      </x:c>
      <x:c r="AF19" s="113">
        <x:f t="shared" si="9"/>
        <x:v>8838.688966044052</x:v>
      </x:c>
      <x:c r="AG19" s="113">
        <x:f t="shared" si="9"/>
        <x:v>9999.1245434868579</x:v>
      </x:c>
      <x:c r="AH19" s="113">
        <x:f t="shared" si="9"/>
        <x:v>38915.601734442265</x:v>
      </x:c>
      <x:c r="AI19" s="113">
        <x:f t="shared" si="9"/>
        <x:v>40238.147399796362</x:v>
      </x:c>
    </x:row>
    <x:row r="20" ht="14.25" customHeight="1">
      <x:c r="B20" s="29" t="s">
        <x:v>284</x:v>
      </x:c>
      <x:c r="F20" s="114" t="n">
        <x:f>F19/'Income Statement'!C25</x:f>
        <x:v>0.06457925636007827</x:v>
      </x:c>
      <x:c r="G20" s="114" t="n">
        <x:f>G19/'Income Statement'!D25</x:f>
        <x:v>0.00835421888053467</x:v>
      </x:c>
      <x:c r="H20" s="114" t="n">
        <x:f>H19/'Income Statement'!E25</x:f>
        <x:v>0.06595905989385899</x:v>
      </x:c>
      <x:c r="I20" s="114" t="n">
        <x:f>I19/'Income Statement'!F25</x:f>
        <x:v>-0.047818499127399654</x:v>
      </x:c>
      <x:c r="J20" s="114" t="n">
        <x:f>J19/'Income Statement'!G25</x:f>
        <x:v>0.10360110803324099</x:v>
      </x:c>
      <x:c r="K20" s="114" t="n">
        <x:f>K19/'Income Statement'!H25</x:f>
        <x:v>-0.38105263157894737</x:v>
      </x:c>
      <x:c r="L20" s="114" t="n">
        <x:f>L19/'Income Statement'!I25</x:f>
        <x:v>-0.10929853181076672</x:v>
      </x:c>
      <x:c r="M20" s="114" t="n">
        <x:f>M19/'Income Statement'!J25</x:f>
        <x:v>-0.09782608695652174</x:v>
      </x:c>
      <x:c r="N20" s="114" t="n">
        <x:f>N19/'Income Statement'!K25</x:f>
        <x:v>0.07514712539610684</x:v>
      </x:c>
      <x:c r="O20" s="114" t="n">
        <x:f>O19/'Income Statement'!L25</x:f>
        <x:v>0.11359404096834265</x:v>
      </x:c>
      <x:c r="P20" s="114" t="n">
        <x:f>P19/'Income Statement'!M25</x:f>
        <x:v>0.12155483748336818</x:v>
      </x:c>
      <x:c r="Q20" s="114" t="n">
        <x:f>Q19/'Income Statement'!N25</x:f>
        <x:v>0.12902311073302142</x:v>
      </x:c>
      <x:c r="R20" s="114" t="n">
        <x:f>R19/'Income Statement'!O25</x:f>
        <x:v>0.1387811794664043</x:v>
      </x:c>
      <x:c r="S20" s="114" t="n">
        <x:f>S19/'Income Statement'!P25</x:f>
        <x:v>0.1360986780472572</x:v>
      </x:c>
      <x:c r="T20" s="114" t="n">
        <x:f>T19/'Income Statement'!Q25</x:f>
        <x:v>0.13474637031726117</x:v>
      </x:c>
      <x:c r="U20" s="114" t="n">
        <x:f>U19/'Income Statement'!R25</x:f>
        <x:v>0.1239639925447119</x:v>
      </x:c>
      <x:c r="V20" s="114" t="n">
        <x:f>V19/'Income Statement'!S25</x:f>
        <x:v>0.1430853491556367</x:v>
      </x:c>
      <x:c r="W20" s="114" t="n">
        <x:f>W19/'Income Statement'!T25</x:f>
        <x:v>0.1533038518233673</x:v>
      </x:c>
      <x:c r="X20" s="114">
        <x:v>0.17</x:v>
      </x:c>
      <x:c r="Y20" s="114">
        <x:v>0.17</x:v>
      </x:c>
      <x:c r="Z20" s="114">
        <x:v>0.17</x:v>
      </x:c>
      <x:c r="AA20" s="114">
        <x:v>0.17</x:v>
      </x:c>
      <x:c r="AB20" s="114">
        <x:v>0.17</x:v>
      </x:c>
      <x:c r="AC20" s="114">
        <x:v>0.17</x:v>
      </x:c>
      <x:c r="AD20" s="114">
        <x:v>0.17</x:v>
      </x:c>
      <x:c r="AE20" s="114">
        <x:v>0.17</x:v>
      </x:c>
      <x:c r="AF20" s="114">
        <x:v>0.17</x:v>
      </x:c>
      <x:c r="AG20" s="114">
        <x:v>0.17</x:v>
      </x:c>
      <x:c r="AH20" s="114">
        <x:v>0.17</x:v>
      </x:c>
      <x:c r="AI20" s="114">
        <x:v>0.17</x:v>
      </x:c>
    </x:row>
    <x:row r="21" ht="14.25" customHeight="1">
      <x:c r="Y21" s="28"/>
    </x:row>
    <x:row r="22" ht="14.25" customHeight="1">
      <x:c r="A22" s="1" t="s">
        <x:v>277</x:v>
      </x:c>
      <x:c r="B22" s="87" t="s">
        <x:v>285</x:v>
      </x:c>
      <x:c r="C22" s="51"/>
      <x:c r="D22" s="51"/>
      <x:c r="E22" s="51"/>
      <x:c r="F22" s="51" t="s">
        <x:v>71</x:v>
      </x:c>
      <x:c r="G22" s="51" t="str">
        <x:f t="shared" ref="G22:AG22" si="10">IF(MID(F22,2,1)="4","Q1 "&amp;RIGHT(F22,4)+1, "Q"&amp;MID(F22,2,1)+1&amp;" "&amp;RIGHT(F22,4))</x:f>
        <x:v>Q2 2022</x:v>
      </x:c>
      <x:c r="H22" s="51" t="str">
        <x:f t="shared" si="10"/>
        <x:v>Q3 2022</x:v>
      </x:c>
      <x:c r="I22" s="51" t="str">
        <x:f t="shared" si="10"/>
        <x:v>Q4 2022</x:v>
      </x:c>
      <x:c r="J22" s="51" t="str">
        <x:f t="shared" si="10"/>
        <x:v>Q1 2023</x:v>
      </x:c>
      <x:c r="K22" s="51" t="str">
        <x:f t="shared" si="10"/>
        <x:v>Q2 2023</x:v>
      </x:c>
      <x:c r="L22" s="51" t="str">
        <x:f t="shared" si="10"/>
        <x:v>Q3 2023</x:v>
      </x:c>
      <x:c r="M22" s="51" t="str">
        <x:f t="shared" si="10"/>
        <x:v>Q4 2023</x:v>
      </x:c>
      <x:c r="N22" s="51" t="str">
        <x:f t="shared" si="10"/>
        <x:v>Q1 2024</x:v>
      </x:c>
      <x:c r="O22" s="51" t="str">
        <x:f t="shared" si="10"/>
        <x:v>Q2 2024</x:v>
      </x:c>
      <x:c r="P22" s="51" t="str">
        <x:f t="shared" si="10"/>
        <x:v>Q3 2024</x:v>
      </x:c>
      <x:c r="Q22" s="51" t="str">
        <x:f t="shared" si="10"/>
        <x:v>Q4 2024</x:v>
      </x:c>
      <x:c r="R22" s="51" t="str">
        <x:f t="shared" si="10"/>
        <x:v>Q1 2025</x:v>
      </x:c>
      <x:c r="S22" s="51" t="str">
        <x:f t="shared" si="10"/>
        <x:v>Q2 2025</x:v>
      </x:c>
      <x:c r="T22" s="51" t="str">
        <x:f t="shared" si="10"/>
        <x:v>Q3 2025</x:v>
      </x:c>
      <x:c r="U22" s="51" t="str">
        <x:f t="shared" si="10"/>
        <x:v>Q4 2025</x:v>
      </x:c>
      <x:c r="V22" s="51" t="str">
        <x:f t="shared" si="10"/>
        <x:v>Q1 2026</x:v>
      </x:c>
      <x:c r="W22" s="51" t="str">
        <x:f t="shared" si="10"/>
        <x:v>Q2 2026</x:v>
      </x:c>
      <x:c r="X22" s="52" t="str">
        <x:f t="shared" si="10"/>
        <x:v>Q3 2026</x:v>
      </x:c>
      <x:c r="Y22" s="52" t="str">
        <x:f t="shared" si="10"/>
        <x:v>Q4 2026</x:v>
      </x:c>
      <x:c r="Z22" s="52" t="str">
        <x:f t="shared" si="10"/>
        <x:v>Q1 2027</x:v>
      </x:c>
      <x:c r="AA22" s="52" t="str">
        <x:f t="shared" si="10"/>
        <x:v>Q2 2027</x:v>
      </x:c>
      <x:c r="AB22" s="52" t="str">
        <x:f t="shared" si="10"/>
        <x:v>Q3 2027</x:v>
      </x:c>
      <x:c r="AC22" s="52" t="str">
        <x:f t="shared" si="10"/>
        <x:v>Q4 2027</x:v>
      </x:c>
      <x:c r="AD22" s="52" t="str">
        <x:f t="shared" si="10"/>
        <x:v>Q1 2028</x:v>
      </x:c>
      <x:c r="AE22" s="52" t="str">
        <x:f t="shared" si="10"/>
        <x:v>Q2 2028</x:v>
      </x:c>
      <x:c r="AF22" s="52" t="str">
        <x:f t="shared" si="10"/>
        <x:v>Q3 2028</x:v>
      </x:c>
      <x:c r="AG22" s="52" t="str">
        <x:f t="shared" si="10"/>
        <x:v>Q4 2028</x:v>
      </x:c>
      <x:c r="AH22" s="115">
        <x:v>2029</x:v>
      </x:c>
      <x:c r="AI22" s="115">
        <x:v>2030</x:v>
      </x:c>
    </x:row>
    <x:row r="23" ht="14.25" customHeight="1">
      <x:c r="B23" t="s">
        <x:v>286</x:v>
      </x:c>
      <x:c r="F23" s="18" t="n">
        <x:f>'Cash Flow Statement'!B14</x:f>
        <x:v>281</x:v>
      </x:c>
      <x:c r="G23" s="1" t="n">
        <x:f>'Cash Flow Statement'!C14-'Cash Flow Statement'!B14</x:f>
        <x:v>286</x:v>
      </x:c>
      <x:c r="H23" s="1" t="n">
        <x:f>'Cash Flow Statement'!D14-'Cash Flow Statement'!C14</x:f>
        <x:v>298</x:v>
      </x:c>
      <x:c r="I23" s="1" t="n">
        <x:f>'Cash Flow Statement'!E14-'Cash Flow Statement'!D14</x:f>
        <x:v>309</x:v>
      </x:c>
      <x:c r="J23" s="18" t="n">
        <x:f>'Cash Flow Statement'!F14</x:f>
        <x:v>334</x:v>
      </x:c>
      <x:c r="K23" s="1" t="n">
        <x:f>'Cash Flow Statement'!G14-'Cash Flow Statement'!F14</x:f>
        <x:v>378</x:v>
      </x:c>
      <x:c r="L23" s="1" t="n">
        <x:f>'Cash Flow Statement'!H14-'Cash Flow Statement'!G14</x:f>
        <x:v>406</x:v>
      </x:c>
      <x:c r="M23" s="1" t="n">
        <x:f>'Cash Flow Statement'!I14-'Cash Flow Statement'!H14</x:f>
        <x:v>426</x:v>
      </x:c>
      <x:c r="N23" s="18" t="n">
        <x:f>'Cash Flow Statement'!J14</x:f>
        <x:v>384</x:v>
      </x:c>
      <x:c r="O23" s="1" t="n">
        <x:f>'Cash Flow Statement'!K14-'Cash Flow Statement'!J14</x:f>
        <x:v>365</x:v>
      </x:c>
      <x:c r="P23" s="1" t="n">
        <x:f>'Cash Flow Statement'!L14-'Cash Flow Statement'!K14</x:f>
        <x:v>372</x:v>
      </x:c>
      <x:c r="Q23" s="1" t="n">
        <x:f>'Cash Flow Statement'!M14-'Cash Flow Statement'!L14</x:f>
        <x:v>387</x:v>
      </x:c>
      <x:c r="R23" s="18" t="n">
        <x:f>'Cash Flow Statement'!N14</x:f>
        <x:v>410</x:v>
      </x:c>
      <x:c r="S23" s="1" t="n">
        <x:f>'Cash Flow Statement'!O14-'Cash Flow Statement'!N14</x:f>
        <x:v>433</x:v>
      </x:c>
      <x:c r="T23" s="1" t="n">
        <x:f>'Cash Flow Statement'!P14-'Cash Flow Statement'!O14</x:f>
        <x:v>478</x:v>
      </x:c>
      <x:c r="U23" s="1" t="n">
        <x:f>'Cash Flow Statement'!Q14-'Cash Flow Statement'!P14</x:f>
        <x:v>543</x:v>
      </x:c>
      <x:c r="V23" s="18" t="n">
        <x:f>'Cash Flow Statement'!R14</x:f>
        <x:v>611</x:v>
      </x:c>
      <x:c r="W23" s="1" t="n">
        <x:f>'Cash Flow Statement'!S14-'Cash Flow Statement'!R14</x:f>
        <x:v>669</x:v>
      </x:c>
      <x:c r="X23" s="113" t="n">
        <x:f t="shared" ref="X23:AI23" si="11">$D$92*X10</x:f>
        <x:v>750.7384035965686</x:v>
      </x:c>
      <x:c r="Y23" s="113">
        <x:f t="shared" si="11"/>
        <x:v>811.45783467389083</x:v>
      </x:c>
      <x:c r="Z23" s="113">
        <x:f t="shared" si="11"/>
        <x:v>885.60829198029796</x:v>
      </x:c>
      <x:c r="AA23" s="113">
        <x:f t="shared" si="11"/>
        <x:v>947.97551099776263</x:v>
      </x:c>
      <x:c r="AB23" s="113">
        <x:f t="shared" si="11"/>
        <x:v>937.09389252512415</x:v>
      </x:c>
      <x:c r="AC23" s="113">
        <x:f t="shared" si="11"/>
        <x:v>1011.1614422622162</x:v>
      </x:c>
      <x:c r="AD23" s="113">
        <x:f t="shared" si="11"/>
        <x:v>1042.2517807554686</x:v>
      </x:c>
      <x:c r="AE23" s="113">
        <x:f t="shared" si="11"/>
        <x:v>1073.342119248721</x:v>
      </x:c>
      <x:c r="AF23" s="113">
        <x:f t="shared" si="11"/>
        <x:v>1216.7489233475314</x:v>
      </x:c>
      <x:c r="AG23" s="113">
        <x:f t="shared" si="11"/>
        <x:v>1369.1473931866194</x:v>
      </x:c>
      <x:c r="AH23" s="116">
        <x:f t="shared" si="11"/>
        <x:v>5355.410195553869</x:v>
      </x:c>
      <x:c r="AI23" s="116">
        <x:f t="shared" si="11"/>
        <x:v>5542.8495523982538</x:v>
      </x:c>
    </x:row>
    <x:row r="24" ht="14.25" customHeight="1">
      <x:c r="B24" s="11" t="s">
        <x:v>287</x:v>
      </x:c>
      <x:c r="F24" s="1" t="n">
        <x:f t="shared" ref="F24:AI24" si="12">F23-F25</x:f>
        <x:v>144</x:v>
      </x:c>
      <x:c r="G24" s="1">
        <x:f t="shared" si="12"/>
        <x:v>148</x:v>
      </x:c>
      <x:c r="H24" s="1">
        <x:f t="shared" si="12"/>
        <x:v>155</x:v>
      </x:c>
      <x:c r="I24" s="1">
        <x:f t="shared" si="12"/>
        <x:v>164</x:v>
      </x:c>
      <x:c r="J24" s="1">
        <x:f t="shared" si="12"/>
        <x:v>179</x:v>
      </x:c>
      <x:c r="K24" s="1">
        <x:f t="shared" si="12"/>
        <x:v>196</x:v>
      </x:c>
      <x:c r="L24" s="1">
        <x:f t="shared" si="12"/>
        <x:v>225</x:v>
      </x:c>
      <x:c r="M24" s="1">
        <x:f t="shared" si="12"/>
        <x:v>245</x:v>
      </x:c>
      <x:c r="N24" s="1">
        <x:f t="shared" si="12"/>
        <x:v>203</x:v>
      </x:c>
      <x:c r="O24" s="1">
        <x:f t="shared" si="12"/>
        <x:v>219</x:v>
      </x:c>
      <x:c r="P24" s="1">
        <x:f t="shared" si="12"/>
        <x:v>228</x:v>
      </x:c>
      <x:c r="Q24" s="1">
        <x:f t="shared" si="12"/>
        <x:v>244</x:v>
      </x:c>
      <x:c r="R24" s="1">
        <x:f t="shared" si="12"/>
        <x:v>229</x:v>
      </x:c>
      <x:c r="S24" s="1">
        <x:f t="shared" si="12"/>
        <x:v>252</x:v>
      </x:c>
      <x:c r="T24" s="1">
        <x:f t="shared" si="12"/>
        <x:v>297</x:v>
      </x:c>
      <x:c r="U24" s="1">
        <x:f t="shared" si="12"/>
        <x:v>397</x:v>
      </x:c>
      <x:c r="V24" s="1">
        <x:f t="shared" si="12"/>
        <x:v>467</x:v>
      </x:c>
      <x:c r="W24" s="1">
        <x:f t="shared" si="12"/>
        <x:v>526</x:v>
      </x:c>
      <x:c r="X24" s="117">
        <x:f t="shared" si="12"/>
        <x:v>607.73840359656856</x:v>
      </x:c>
      <x:c r="Y24" s="117">
        <x:f t="shared" si="12"/>
        <x:v>668.45783467389083</x:v>
      </x:c>
      <x:c r="Z24" s="117">
        <x:f t="shared" si="12"/>
        <x:v>742.60829198029796</x:v>
      </x:c>
      <x:c r="AA24" s="117">
        <x:f t="shared" si="12"/>
        <x:v>804.97551099776263</x:v>
      </x:c>
      <x:c r="AB24" s="117">
        <x:f t="shared" si="12"/>
        <x:v>794.09389252512415</x:v>
      </x:c>
      <x:c r="AC24" s="117">
        <x:f t="shared" si="12"/>
        <x:v>868.16144226221616</x:v>
      </x:c>
      <x:c r="AD24" s="117">
        <x:f t="shared" si="12"/>
        <x:v>899.25178075546864</x:v>
      </x:c>
      <x:c r="AE24" s="117">
        <x:f t="shared" si="12"/>
        <x:v>930.34211924872102</x:v>
      </x:c>
      <x:c r="AF24" s="117">
        <x:f t="shared" si="12"/>
        <x:v>1073.7489233475314</x:v>
      </x:c>
      <x:c r="AG24" s="117">
        <x:f t="shared" si="12"/>
        <x:v>1226.1473931866194</x:v>
      </x:c>
      <x:c r="AH24" s="117">
        <x:f t="shared" si="12"/>
        <x:v>5212.410195553869</x:v>
      </x:c>
      <x:c r="AI24" s="117">
        <x:f t="shared" si="12"/>
        <x:v>5399.8495523982538</x:v>
      </x:c>
    </x:row>
    <x:row r="25" ht="14.25" customHeight="1">
      <x:c r="B25" s="11" t="s">
        <x:v>288</x:v>
      </x:c>
      <x:c r="F25" s="18" t="n">
        <x:f>'Cash Flow Statement'!B54</x:f>
        <x:v>137</x:v>
      </x:c>
      <x:c r="G25" s="18" t="n">
        <x:f>'Cash Flow Statement'!C54</x:f>
        <x:v>138</x:v>
      </x:c>
      <x:c r="H25" s="18" t="n">
        <x:f>'Cash Flow Statement'!D54</x:f>
        <x:v>143</x:v>
      </x:c>
      <x:c r="I25" s="18" t="n">
        <x:f>'Cash Flow Statement'!E54</x:f>
        <x:v>145</x:v>
      </x:c>
      <x:c r="J25" s="18" t="n">
        <x:f>'Cash Flow Statement'!F54</x:f>
        <x:v>155</x:v>
      </x:c>
      <x:c r="K25" s="18" t="n">
        <x:f>'Cash Flow Statement'!G54</x:f>
        <x:v>182</x:v>
      </x:c>
      <x:c r="L25" s="18" t="n">
        <x:f>'Cash Flow Statement'!H54</x:f>
        <x:v>181</x:v>
      </x:c>
      <x:c r="M25" s="18" t="n">
        <x:f>'Cash Flow Statement'!I54</x:f>
        <x:v>181</x:v>
      </x:c>
      <x:c r="N25" s="18" t="n">
        <x:f>'Cash Flow Statement'!J54</x:f>
        <x:v>181</x:v>
      </x:c>
      <x:c r="O25" s="18" t="n">
        <x:f>'Cash Flow Statement'!K54</x:f>
        <x:v>146</x:v>
      </x:c>
      <x:c r="P25" s="18" t="n">
        <x:f>'Cash Flow Statement'!L54</x:f>
        <x:v>144</x:v>
      </x:c>
      <x:c r="Q25" s="18" t="n">
        <x:f>'Cash Flow Statement'!M54</x:f>
        <x:v>143</x:v>
      </x:c>
      <x:c r="R25" s="18" t="n">
        <x:f>'Cash Flow Statement'!N54</x:f>
        <x:v>181</x:v>
      </x:c>
      <x:c r="S25" s="18" t="n">
        <x:f>'Cash Flow Statement'!O54</x:f>
        <x:v>181</x:v>
      </x:c>
      <x:c r="T25" s="18" t="n">
        <x:f>'Cash Flow Statement'!P54</x:f>
        <x:v>181</x:v>
      </x:c>
      <x:c r="U25" s="18" t="n">
        <x:f>'Cash Flow Statement'!Q54</x:f>
        <x:v>146</x:v>
      </x:c>
      <x:c r="V25" s="18" t="n">
        <x:f>'Cash Flow Statement'!R54</x:f>
        <x:v>144</x:v>
      </x:c>
      <x:c r="W25" s="18" t="n">
        <x:f>'Cash Flow Statement'!S54</x:f>
        <x:v>143</x:v>
      </x:c>
      <x:c r="X25" s="117" t="n">
        <x:f t="shared" ref="X25:AI25" si="13">$D$95</x:f>
        <x:v>143</x:v>
      </x:c>
      <x:c r="Y25" s="117">
        <x:f t="shared" si="13"/>
        <x:v>143</x:v>
      </x:c>
      <x:c r="Z25" s="117">
        <x:f t="shared" si="13"/>
        <x:v>143</x:v>
      </x:c>
      <x:c r="AA25" s="117">
        <x:f t="shared" si="13"/>
        <x:v>143</x:v>
      </x:c>
      <x:c r="AB25" s="117">
        <x:f t="shared" si="13"/>
        <x:v>143</x:v>
      </x:c>
      <x:c r="AC25" s="117">
        <x:f t="shared" si="13"/>
        <x:v>143</x:v>
      </x:c>
      <x:c r="AD25" s="117">
        <x:f t="shared" si="13"/>
        <x:v>143</x:v>
      </x:c>
      <x:c r="AE25" s="117">
        <x:f t="shared" si="13"/>
        <x:v>143</x:v>
      </x:c>
      <x:c r="AF25" s="117">
        <x:f t="shared" si="13"/>
        <x:v>143</x:v>
      </x:c>
      <x:c r="AG25" s="117">
        <x:f t="shared" si="13"/>
        <x:v>143</x:v>
      </x:c>
      <x:c r="AH25" s="117">
        <x:f t="shared" si="13"/>
        <x:v>143</x:v>
      </x:c>
      <x:c r="AI25" s="117">
        <x:f t="shared" si="13"/>
        <x:v>143</x:v>
      </x:c>
    </x:row>
    <x:row r="26" ht="14.25" customHeight="1">
      <x:c r="B26" s="29" t="s">
        <x:v>281</x:v>
      </x:c>
      <x:c r="F26" s="114" t="n">
        <x:f t="shared" ref="F26:AI26" si="14">F23/F$10</x:f>
        <x:v>0.049637873167284935</x:v>
      </x:c>
      <x:c r="G26" s="114">
        <x:f t="shared" si="14"/>
        <x:v>4.3952666359305365E-2</x:v>
      </x:c>
      <x:c r="H26" s="114">
        <x:f t="shared" si="14"/>
        <x:v>4.1954103899760661E-2</x:v>
      </x:c>
      <x:c r="I26" s="114">
        <x:f t="shared" si="14"/>
        <x:v>4.0429150856993328E-2</x:v>
      </x:c>
      <x:c r="J26" s="114">
        <x:f t="shared" si="14"/>
        <x:v>4.0299227799227802E-2</x:v>
      </x:c>
      <x:c r="K26" s="114">
        <x:f t="shared" si="14"/>
        <x:v>5.6384248210023864E-2</x:v>
      </x:c>
      <x:c r="L26" s="114">
        <x:f t="shared" si="14"/>
        <x:v>6.8453886359804414E-2</x:v>
      </x:c>
      <x:c r="M26" s="114">
        <x:f t="shared" si="14"/>
        <x:v>7.0401586514625678E-2</x:v>
      </x:c>
      <x:c r="N26" s="114">
        <x:f t="shared" si="14"/>
        <x:v>5.3392658509454953E-2</x:v>
      </x:c>
      <x:c r="O26" s="114">
        <x:f t="shared" si="14"/>
        <x:v>2.7023025098097283E-2</x:v>
      </x:c>
      <x:c r="P26" s="114">
        <x:f t="shared" si="14"/>
        <x:v>2.052980132450331E-2</x:v>
      </x:c>
      <x:c r="Q26" s="114">
        <x:f t="shared" si="14"/>
        <x:v>1.7508935438628241E-2</x:v>
      </x:c>
      <x:c r="R26" s="114">
        <x:f t="shared" si="14"/>
        <x:v>1.5742589463984026E-2</x:v>
      </x:c>
      <x:c r="S26" s="114">
        <x:f t="shared" si="14"/>
        <x:v>1.4414114513981358E-2</x:v>
      </x:c>
      <x:c r="T26" s="114">
        <x:f t="shared" si="14"/>
        <x:v>1.3625220911008495E-2</x:v>
      </x:c>
      <x:c r="U26" s="114">
        <x:f t="shared" si="14"/>
        <x:v>1.3805903740052377E-2</x:v>
      </x:c>
      <x:c r="V26" s="114">
        <x:f t="shared" si="14"/>
        <x:v>1.3866824020698108E-2</x:v>
      </x:c>
      <x:c r="W26" s="114">
        <x:f t="shared" si="14"/>
        <x:v>1.4312303446505359E-2</x:v>
      </x:c>
      <x:c r="X26" s="114">
        <x:f t="shared" si="14"/>
        <x:v>1.3902563029566084E-2</x:v>
      </x:c>
      <x:c r="Y26" s="114">
        <x:f t="shared" si="14"/>
        <x:v>1.3902563029566085E-2</x:v>
      </x:c>
      <x:c r="Z26" s="114">
        <x:f t="shared" si="14"/>
        <x:v>1.3902563029566085E-2</x:v>
      </x:c>
      <x:c r="AA26" s="114">
        <x:f t="shared" si="14"/>
        <x:v>1.3902563029566085E-2</x:v>
      </x:c>
      <x:c r="AB26" s="114">
        <x:f t="shared" si="14"/>
        <x:v>1.3902563029566085E-2</x:v>
      </x:c>
      <x:c r="AC26" s="114">
        <x:f t="shared" si="14"/>
        <x:v>1.3902563029566085E-2</x:v>
      </x:c>
      <x:c r="AD26" s="114">
        <x:f t="shared" si="14"/>
        <x:v>1.3902563029566087E-2</x:v>
      </x:c>
      <x:c r="AE26" s="114">
        <x:f t="shared" si="14"/>
        <x:v>1.3902563029566085E-2</x:v>
      </x:c>
      <x:c r="AF26" s="114">
        <x:f t="shared" si="14"/>
        <x:v>1.3902563029566085E-2</x:v>
      </x:c>
      <x:c r="AG26" s="114">
        <x:f t="shared" si="14"/>
        <x:v>1.3902563029566085E-2</x:v>
      </x:c>
      <x:c r="AH26" s="114">
        <x:f t="shared" si="14"/>
        <x:v>1.3902563029566085E-2</x:v>
      </x:c>
      <x:c r="AI26" s="114">
        <x:f t="shared" si="14"/>
        <x:v>1.3902563029566085E-2</x:v>
      </x:c>
    </x:row>
    <x:row r="28" ht="14.25" customHeight="1">
      <x:c r="B28" t="s">
        <x:v>289</x:v>
      </x:c>
      <x:c r="F28" s="62" t="n">
        <x:f>-1*'Cash Flow Statement'!B31</x:f>
        <x:v>298</x:v>
      </x:c>
      <x:c r="G28" s="62" t="n">
        <x:f>('Cash Flow Statement'!C31-'Cash Flow Statement'!B31)*-1</x:f>
        <x:v>183</x:v>
      </x:c>
      <x:c r="H28" s="62" t="n">
        <x:f>('Cash Flow Statement'!D31-'Cash Flow Statement'!C31)*-1</x:f>
        <x:v>222</x:v>
      </x:c>
      <x:c r="I28" s="62" t="n">
        <x:f>('Cash Flow Statement'!E31-'Cash Flow Statement'!D31)*-1</x:f>
        <x:v>273</x:v>
      </x:c>
      <x:c r="J28" s="62" t="n">
        <x:f>-1*'Cash Flow Statement'!F31</x:f>
        <x:v>361</x:v>
      </x:c>
      <x:c r="K28" s="62" t="n">
        <x:f>('Cash Flow Statement'!G31-'Cash Flow Statement'!F31)*-1</x:f>
        <x:v>433</x:v>
      </x:c>
      <x:c r="L28" s="62" t="n">
        <x:f>('Cash Flow Statement'!H31-'Cash Flow Statement'!G31)*-1</x:f>
        <x:v>530</x:v>
      </x:c>
      <x:c r="M28" s="62" t="n">
        <x:f>('Cash Flow Statement'!I31-'Cash Flow Statement'!H31)*-1</x:f>
        <x:v>509</x:v>
      </x:c>
      <x:c r="N28" s="62" t="n">
        <x:f>-1*'Cash Flow Statement'!J31</x:f>
        <x:v>248</x:v>
      </x:c>
      <x:c r="O28" s="62" t="n">
        <x:f>('Cash Flow Statement'!K31-'Cash Flow Statement'!J31)*-1</x:f>
        <x:v>289</x:v>
      </x:c>
      <x:c r="P28" s="62" t="n">
        <x:f>('Cash Flow Statement'!L31-'Cash Flow Statement'!K31)*-1</x:f>
        <x:v>278</x:v>
      </x:c>
      <x:c r="Q28" s="62" t="n">
        <x:f>('Cash Flow Statement'!M31-'Cash Flow Statement'!L31)*-1</x:f>
        <x:v>254</x:v>
      </x:c>
      <x:c r="R28" s="62" t="n">
        <x:f>-1*'Cash Flow Statement'!N31</x:f>
        <x:v>369</x:v>
      </x:c>
      <x:c r="S28" s="62" t="n">
        <x:f>('Cash Flow Statement'!O31-'Cash Flow Statement'!N31)*-1</x:f>
        <x:v>977</x:v>
      </x:c>
      <x:c r="T28" s="62" t="n">
        <x:f>('Cash Flow Statement'!P31-'Cash Flow Statement'!O31)*-1</x:f>
        <x:v>813</x:v>
      </x:c>
      <x:c r="U28" s="62" t="n">
        <x:f>('Cash Flow Statement'!Q31-'Cash Flow Statement'!P31)*-1</x:f>
        <x:v>1077</x:v>
      </x:c>
      <x:c r="V28" s="62" t="n">
        <x:f>-1*'Cash Flow Statement'!R31</x:f>
        <x:v>1227</x:v>
      </x:c>
      <x:c r="W28" s="62" t="n">
        <x:f>('Cash Flow Statement'!S31-'Cash Flow Statement'!R31)*-1</x:f>
        <x:v>1895</x:v>
      </x:c>
      <x:c r="X28" s="113" t="n">
        <x:f t="shared" ref="X28:AI28" si="15">$D$93*X10</x:f>
        <x:v>1846.4747620316011</x:v>
      </x:c>
      <x:c r="Y28" s="113">
        <x:f t="shared" si="15"/>
        <x:v>1995.8169250434748</x:v>
      </x:c>
      <x:c r="Z28" s="113">
        <x:f t="shared" si="15"/>
        <x:v>2178.1932992284819</x:v>
      </x:c>
      <x:c r="AA28" s="113">
        <x:f t="shared" si="15"/>
        <x:v>2331.5882705555782</x:v>
      </x:c>
      <x:c r="AB28" s="113">
        <x:f t="shared" si="15"/>
        <x:v>2304.8244420588267</x:v>
      </x:c>
      <x:c r="AC28" s="113">
        <x:f t="shared" si="15"/>
        <x:v>2486.9969013600489</x:v>
      </x:c>
      <x:c r="AD28" s="113">
        <x:f t="shared" si="15"/>
        <x:v>2563.4649827793392</x:v>
      </x:c>
      <x:c r="AE28" s="113">
        <x:f t="shared" si="15"/>
        <x:v>2639.9330641986289</x:v>
      </x:c>
      <x:c r="AF28" s="113">
        <x:f t="shared" si="15"/>
        <x:v>2992.6485283383322</x:v>
      </x:c>
      <x:c r="AG28" s="113">
        <x:f t="shared" si="15"/>
        <x:v>3367.479397495958</x:v>
      </x:c>
      <x:c r="AH28" s="116">
        <x:f t="shared" si="15"/>
        <x:v>13171.871478857884</x:v>
      </x:c>
      <x:c r="AI28" s="116">
        <x:f t="shared" si="15"/>
        <x:v>13632.886980617908</x:v>
      </x:c>
      <x:c r="AK28" s="105"/>
    </x:row>
    <x:row r="29" ht="14.25" customHeight="1">
      <x:c r="B29" s="29" t="s">
        <x:v>281</x:v>
      </x:c>
      <x:c r="F29" s="114" t="n">
        <x:f t="shared" ref="F29:AI29" si="16">F28/F$10</x:f>
        <x:v>0.05264087617028793</x:v>
      </x:c>
      <x:c r="G29" s="114">
        <x:f t="shared" si="16"/>
        <x:v>2.8123559243891195E-2</x:v>
      </x:c>
      <x:c r="H29" s="114">
        <x:f t="shared" si="16"/>
        <x:v>3.1254399549486132E-2</x:v>
      </x:c>
      <x:c r="I29" s="114">
        <x:f t="shared" si="16"/>
        <x:v>3.5718958524139734E-2</x:v>
      </x:c>
      <x:c r="J29" s="114">
        <x:f t="shared" si="16"/>
        <x:v>4.355694980694981E-2</x:v>
      </x:c>
      <x:c r="K29" s="114">
        <x:f t="shared" si="16"/>
        <x:v>6.4588305489260145E-2</x:v>
      </x:c>
      <x:c r="L29" s="114">
        <x:f t="shared" si="16"/>
        <x:v>8.9360984656887535E-2</x:v>
      </x:c>
      <x:c r="M29" s="114">
        <x:f t="shared" si="16"/>
        <x:v>8.4118327549165428E-2</x:v>
      </x:c>
      <x:c r="N29" s="114">
        <x:f t="shared" si="16"/>
        <x:v>3.4482758620689655E-2</x:v>
      </x:c>
      <x:c r="O29" s="114">
        <x:f t="shared" si="16"/>
        <x:v>2.1396313022877027E-2</x:v>
      </x:c>
      <x:c r="P29" s="114">
        <x:f t="shared" si="16"/>
        <x:v>1.5342163355408389E-2</x:v>
      </x:c>
      <x:c r="Q29" s="114">
        <x:f t="shared" si="16"/>
        <x:v>1.149165271682577E-2</x:v>
      </x:c>
      <x:c r="R29" s="114">
        <x:f t="shared" si="16"/>
        <x:v>1.4168330517585623E-2</x:v>
      </x:c>
      <x:c r="S29" s="114">
        <x:f t="shared" si="16"/>
        <x:v>3.2523302263648468E-2</x:v>
      </x:c>
      <x:c r="T29" s="114">
        <x:f t="shared" si="16"/>
        <x:v>2.3174277407217378E-2</x:v>
      </x:c>
      <x:c r="U29" s="114">
        <x:f t="shared" si="16"/>
        <x:v>2.7382980346291729E-2</x:v>
      </x:c>
      <x:c r="V29" s="114">
        <x:f t="shared" si="16"/>
        <x:v>2.7847124506377378E-2</x:v>
      </x:c>
      <x:c r="W29" s="114">
        <x:f t="shared" si="16"/>
        <x:v>4.0540829642941187E-2</x:v>
      </x:c>
      <x:c r="X29" s="114">
        <x:f t="shared" si="16"/>
        <x:v>3.4193977074659279E-2</x:v>
      </x:c>
      <x:c r="Y29" s="114">
        <x:f t="shared" si="16"/>
        <x:v>3.4193977074659279E-2</x:v>
      </x:c>
      <x:c r="Z29" s="114">
        <x:f t="shared" si="16"/>
        <x:v>3.4193977074659279E-2</x:v>
      </x:c>
      <x:c r="AA29" s="114">
        <x:f t="shared" si="16"/>
        <x:v>3.4193977074659279E-2</x:v>
      </x:c>
      <x:c r="AB29" s="114">
        <x:f t="shared" si="16"/>
        <x:v>3.4193977074659279E-2</x:v>
      </x:c>
      <x:c r="AC29" s="114">
        <x:f t="shared" si="16"/>
        <x:v>3.4193977074659279E-2</x:v>
      </x:c>
      <x:c r="AD29" s="114">
        <x:f t="shared" si="16"/>
        <x:v>3.4193977074659279E-2</x:v>
      </x:c>
      <x:c r="AE29" s="114">
        <x:f t="shared" si="16"/>
        <x:v>3.4193977074659279E-2</x:v>
      </x:c>
      <x:c r="AF29" s="114">
        <x:f t="shared" si="16"/>
        <x:v>3.4193977074659279E-2</x:v>
      </x:c>
      <x:c r="AG29" s="114">
        <x:f t="shared" si="16"/>
        <x:v>3.4193977074659279E-2</x:v>
      </x:c>
      <x:c r="AH29" s="114">
        <x:f t="shared" si="16"/>
        <x:v>3.4193977074659279E-2</x:v>
      </x:c>
      <x:c r="AI29" s="114">
        <x:f t="shared" si="16"/>
        <x:v>3.4193977074659279E-2</x:v>
      </x:c>
    </x:row>
    <x:row r="30" ht="14.25" customHeight="1">
      <x:c r="X30" s="1"/>
      <x:c r="Y30" s="62"/>
      <x:c r="Z30" s="62" t="n">
        <x:f>SUM(X28:AA28)</x:f>
        <x:v>8352.073256859136</x:v>
      </x:c>
      <x:c r="AA30" s="62"/>
      <x:c r="AB30" s="1"/>
      <x:c r="AC30" s="1"/>
      <x:c r="AD30" s="1"/>
      <x:c r="AE30" s="1"/>
      <x:c r="AF30" s="1"/>
      <x:c r="AG30" s="1"/>
    </x:row>
    <x:row r="31" ht="14.25" customHeight="1">
      <x:c r="B31" t="s">
        <x:v>290</x:v>
      </x:c>
      <x:c r="F31" s="62" t="n">
        <x:f>'Working Capital'!E18</x:f>
        <x:v>887</x:v>
      </x:c>
      <x:c r="G31" s="62" t="n">
        <x:f>'Working Capital'!F18</x:f>
        <x:v>249</x:v>
      </x:c>
      <x:c r="H31" s="62" t="n">
        <x:f>'Working Capital'!G18</x:f>
        <x:v>192</x:v>
      </x:c>
      <x:c r="I31" s="62" t="n">
        <x:f>'Working Capital'!H18</x:f>
        <x:v>390</x:v>
      </x:c>
      <x:c r="J31" s="62" t="n">
        <x:f>'Working Capital'!I18</x:f>
        <x:v>389</x:v>
      </x:c>
      <x:c r="K31" s="62" t="n">
        <x:f>'Working Capital'!J18</x:f>
        <x:v>382</x:v>
      </x:c>
      <x:c r="L31" s="62" t="n">
        <x:f>'Working Capital'!K18</x:f>
        <x:v>417</x:v>
      </x:c>
      <x:c r="M31" s="62" t="n">
        <x:f>'Working Capital'!L18</x:f>
        <x:v>-10</x:v>
      </x:c>
      <x:c r="N31" s="62" t="n">
        <x:f>'Working Capital'!M18</x:f>
        <x:v>-911</x:v>
      </x:c>
      <x:c r="O31" s="62" t="n">
        <x:f>'Working Capital'!N18</x:f>
        <x:v>136</x:v>
      </x:c>
      <x:c r="P31" s="62" t="n">
        <x:f>'Working Capital'!O18</x:f>
        <x:v>2836</x:v>
      </x:c>
      <x:c r="Q31" s="62" t="n">
        <x:f>'Working Capital'!P18</x:f>
        <x:v>2455</x:v>
      </x:c>
      <x:c r="R31" s="62" t="n">
        <x:f>'Working Capital'!Q18</x:f>
        <x:v>-662</x:v>
      </x:c>
      <x:c r="S31" s="62" t="n">
        <x:f>'Working Capital'!R18</x:f>
        <x:v>2546</x:v>
      </x:c>
      <x:c r="T31" s="62" t="n">
        <x:f>'Working Capital'!S18</x:f>
        <x:v>1810</x:v>
      </x:c>
      <x:c r="U31" s="62" t="n">
        <x:f>'Working Capital'!T18</x:f>
        <x:v>6195</x:v>
      </x:c>
      <x:c r="V31" s="62" t="n">
        <x:f>'Working Capital'!U18</x:f>
        <x:v>-9167</x:v>
      </x:c>
      <x:c r="W31" s="62" t="n">
        <x:f>'Working Capital'!V18</x:f>
        <x:v>11469</x:v>
      </x:c>
      <x:c r="X31" s="113" t="n">
        <x:f>'Working Capital'!W18</x:f>
        <x:v>1294.6432377052151</x:v>
      </x:c>
      <x:c r="Y31" s="113" t="n">
        <x:f>'Working Capital'!X18</x:f>
        <x:v>3521.1074149229826</x:v>
      </x:c>
      <x:c r="Z31" s="113" t="n">
        <x:f>'Working Capital'!Y18</x:f>
        <x:v>2243.2152310139463</x:v>
      </x:c>
      <x:c r="AA31" s="113" t="n">
        <x:f>'Working Capital'!Z18</x:f>
        <x:v>2221.7366617567786</x:v>
      </x:c>
      <x:c r="AB31" s="113" t="n">
        <x:f>'Working Capital'!AA18</x:f>
        <x:v>-1150.9680549141376</x:v>
      </x:c>
      <x:c r="AC31" s="113" t="n">
        <x:f>'Working Capital'!AB18</x:f>
        <x:v>2537.8915917007034</x:v>
      </x:c>
      <x:c r="AD31" s="113" t="n">
        <x:f>'Working Capital'!AC18</x:f>
        <x:v>1328.8656231636487</x:v>
      </x:c>
      <x:c r="AE31" s="113" t="n">
        <x:f>'Working Capital'!AD18</x:f>
        <x:v>845.1317065794283</x:v>
      </x:c>
      <x:c r="AF31" s="113" t="n">
        <x:f>'Working Capital'!AE18</x:f>
        <x:v>4528.093647018737</x:v>
      </x:c>
      <x:c r="AG31" s="113" t="n">
        <x:f>'Working Capital'!AF18</x:f>
        <x:v>4678.5706676458285</x:v>
      </x:c>
      <x:c r="AH31" s="116" t="n">
        <x:f>AH10*$D$94-'Working Capital'!AF17</x:f>
        <x:v>6011.276089403182</x:v>
      </x:c>
      <x:c r="AI31" s="116" t="n">
        <x:f>(AI10-AH10)*$D$94</x:f>
        <x:v>1723.069733559868</x:v>
      </x:c>
    </x:row>
    <x:row r="32" ht="14.25" customHeight="1">
      <x:c r="B32" s="29" t="s">
        <x:v>281</x:v>
      </x:c>
      <x:c r="F32" s="114" t="n">
        <x:f t="shared" ref="F32:AI32" si="17">F31/F$10</x:f>
        <x:v>0.15668609786256846</x:v>
      </x:c>
      <x:c r="G32" s="114">
        <x:f t="shared" si="17"/>
        <x:v>3.8266482249884742E-2</x:v>
      </x:c>
      <x:c r="H32" s="114">
        <x:f t="shared" si="17"/>
        <x:v>2.7030832042798818E-2</x:v>
      </x:c>
      <x:c r="I32" s="114">
        <x:f t="shared" si="17"/>
        <x:v>5.102708360591391E-2</x:v>
      </x:c>
      <x:c r="J32" s="114">
        <x:f t="shared" si="17"/>
        <x:v>4.6935328185328189E-2</x:v>
      </x:c>
      <x:c r="K32" s="114">
        <x:f t="shared" si="17"/>
        <x:v>5.6980906921241053E-2</x:v>
      </x:c>
      <x:c r="L32" s="114">
        <x:f t="shared" si="17"/>
        <x:v>7.0308548305513405E-2</x:v>
      </x:c>
      <x:c r="M32" s="114">
        <x:f t="shared" si="17"/>
        <x:v>-1.6526194017517765E-3</x:v>
      </x:c>
      <x:c r="N32" s="114">
        <x:f t="shared" si="17"/>
        <x:v>-0.12666852057842046</x:v>
      </x:c>
      <x:c r="O32" s="114">
        <x:f t="shared" si="17"/>
        <x:v>1.0068853187236248E-2</x:v>
      </x:c>
      <x:c r="P32" s="114">
        <x:f t="shared" si="17"/>
        <x:v>0.15651214128035321</x:v>
      </x:c>
      <x:c r="Q32" s="114">
        <x:f t="shared" si="17"/>
        <x:v>0.11107089535357191</x:v>
      </x:c>
      <x:c r="R32" s="114">
        <x:f t="shared" si="17"/>
        <x:v>-2.5418522500383966E-2</x:v>
      </x:c>
      <x:c r="S32" s="114">
        <x:f t="shared" si="17"/>
        <x:v>8.4753661784287615E-2</x:v>
      </x:c>
      <x:c r="T32" s="114">
        <x:f t="shared" si="17"/>
        <x:v>5.15934097257853E-2</x:v>
      </x:c>
      <x:c r="U32" s="114">
        <x:f t="shared" si="17"/>
        <x:v>0.15750934377463069</x:v>
      </x:c>
      <x:c r="V32" s="114">
        <x:f t="shared" si="17"/>
        <x:v>-0.20804775089646407</x:v>
      </x:c>
      <x:c r="W32" s="114">
        <x:f t="shared" si="17"/>
        <x:v>0.24536294204479814</x:v>
      </x:c>
      <x:c r="X32" s="114">
        <x:f t="shared" si="17"/>
        <x:v>2.3974874772318799E-2</x:v>
      </x:c>
      <x:c r="Y32" s="114">
        <x:f t="shared" si="17"/>
        <x:v>6.0326508264612784E-2</x:v>
      </x:c>
      <x:c r="Z32" s="114">
        <x:f t="shared" si="17"/>
        <x:v>3.5214712215847044E-2</x:v>
      </x:c>
      <x:c r="AA32" s="114">
        <x:f t="shared" si="17"/>
        <x:v>3.2582945041123815E-2</x:v>
      </x:c>
      <x:c r="AB32" s="114">
        <x:f t="shared" si="17"/>
        <x:v>-1.7075563138441722E-2</x:v>
      </x:c>
      <x:c r="AC32" s="114">
        <x:f t="shared" si="17"/>
        <x:v>3.4893733424889758E-2</x:v>
      </x:c>
      <x:c r="AD32" s="114">
        <x:f t="shared" si="17"/>
        <x:v>1.7725695868291091E-2</x:v>
      </x:c>
      <x:c r="AE32" s="114">
        <x:f t="shared" si="17"/>
        <x:v>1.0946646561516881E-2</x:v>
      </x:c>
      <x:c r="AF32" s="114">
        <x:f t="shared" si="17"/>
        <x:v>5.1737960168693892E-2</x:v>
      </x:c>
      <x:c r="AG32" s="114">
        <x:f t="shared" si="17"/>
        <x:v>4.7507028037235929E-2</x:v>
      </x:c>
      <x:c r="AH32" s="114">
        <x:f t="shared" si="17"/>
        <x:v>1.5605180867458846E-2</x:v>
      </x:c>
      <x:c r="AI32" s="114">
        <x:f t="shared" si="17"/>
        <x:v>4.3217997076592006E-3</x:v>
      </x:c>
    </x:row>
    <x:row r="33" ht="14.25" customHeight="1">
      <x:c r="B33" s="29" t="s">
        <x:v>291</x:v>
      </x:c>
      <x:c r="G33" s="114" t="n">
        <x:f t="shared" ref="G33:AI33" si="18">G31/(G10-F10)</x:f>
        <x:v>0.29432624113475175</x:v>
      </x:c>
      <x:c r="H33" s="114">
        <x:f t="shared" si="18"/>
        <x:v>0.32214765100671139</x:v>
      </x:c>
      <x:c r="I33" s="114">
        <x:f t="shared" si="18"/>
        <x:v>0.72222222222222221</x:v>
      </x:c>
      <x:c r="J33" s="114">
        <x:f t="shared" si="18"/>
        <x:v>0.60310077519379846</x:v>
      </x:c>
      <x:c r="K33" s="114">
        <x:f t="shared" si="18"/>
        <x:v>-0.24116161616161616</x:v>
      </x:c>
      <x:c r="L33" s="114">
        <x:f t="shared" si="18"/>
        <x:v>-0.5394566623544631</x:v>
      </x:c>
      <x:c r="M33" s="114">
        <x:f t="shared" si="18"/>
        <x:v>-8.3333333333333329E-2</x:v>
      </x:c>
      <x:c r="N33" s="114">
        <x:f t="shared" si="18"/>
        <x:v>-0.79842243645924627</x:v>
      </x:c>
      <x:c r="O33" s="114">
        <x:f t="shared" si="18"/>
        <x:v>2.1536025336500397E-2</x:v>
      </x:c>
      <x:c r="P33" s="114">
        <x:f t="shared" si="18"/>
        <x:v>0.61478430522436589</x:v>
      </x:c>
      <x:c r="Q33" s="114">
        <x:f t="shared" si="18"/>
        <x:v>0.61636957067537035</x:v>
      </x:c>
      <x:c r="R33" s="114">
        <x:f t="shared" si="18"/>
        <x:v>-0.16797767064196906</x:v>
      </x:c>
      <x:c r="S33" s="114">
        <x:f t="shared" si="18"/>
        <x:v>0.63713713713713716</x:v>
      </x:c>
      <x:c r="T33" s="114">
        <x:f t="shared" si="18"/>
        <x:v>0.35898452994843316</x:v>
      </x:c>
      <x:c r="U33" s="114">
        <x:f t="shared" si="18"/>
        <x:v>1.457990115321252</x:v>
      </x:c>
      <x:c r="V33" s="114">
        <x:f t="shared" si="18"/>
        <x:v>-1.9376453181145634</x:v>
      </x:c>
      <x:c r="W33" s="114">
        <x:f t="shared" si="18"/>
        <x:v>4.2778813875419619</x:v>
      </x:c>
      <x:c r="X33" s="114">
        <x:f t="shared" si="18"/>
        <x:v>0.17839923352696915</x:v>
      </x:c>
      <x:c r="Y33" s="114">
        <x:f t="shared" si="18"/>
        <x:v>0.80620679247639193</x:v>
      </x:c>
      <x:c r="Z33" s="114">
        <x:f t="shared" si="18"/>
        <x:v>0.42058326099304166</x:v>
      </x:c>
      <x:c r="AA33" s="114">
        <x:f t="shared" si="18"/>
        <x:v>0.49525751607622359</x:v>
      </x:c>
      <x:c r="AB33" s="114">
        <x:f t="shared" si="18"/>
        <x:v>1.4704987101593356</x:v>
      </x:c>
      <x:c r="AC33" s="114">
        <x:f t="shared" si="18"/>
        <x:v>0.47636512806303194</x:v>
      </x:c>
      <x:c r="AD33" s="114">
        <x:f t="shared" si="18"/>
        <x:v>0.59422441115801372</x:v>
      </x:c>
      <x:c r="AE33" s="114">
        <x:f t="shared" si="18"/>
        <x:v>0.37791472812543569</x:v>
      </x:c>
      <x:c r="AF33" s="114">
        <x:f t="shared" si="18"/>
        <x:v>0.43897573568462184</x:v>
      </x:c>
      <x:c r="AG33" s="114">
        <x:f t="shared" si="18"/>
        <x:v>0.42680299653863263</x:v>
      </x:c>
      <x:c r="AH33" s="114">
        <x:f t="shared" si="18"/>
        <x:v>2.0965036392337658E-2</x:v>
      </x:c>
      <x:c r="AI33" s="114">
        <x:f t="shared" si="18"/>
        <x:v>0.12780179135506514</x:v>
      </x:c>
    </x:row>
    <x:row r="35" ht="14.25" customHeight="1">
      <x:c r="B35" s="87" t="s">
        <x:v>292</x:v>
      </x:c>
      <x:c r="C35" s="51"/>
      <x:c r="D35" s="51"/>
      <x:c r="E35" s="51"/>
      <x:c r="F35" s="51" t="s">
        <x:v>71</x:v>
      </x:c>
      <x:c r="G35" s="51" t="str">
        <x:f t="shared" ref="G35:W35" si="19">IF(MID(F35,2,1)="4","Q1 "&amp;RIGHT(F35,4)+1, "Q"&amp;MID(F35,2,1)+1&amp;" "&amp;RIGHT(F35,4))</x:f>
        <x:v>Q2 2022</x:v>
      </x:c>
      <x:c r="H35" s="51" t="str">
        <x:f t="shared" si="19"/>
        <x:v>Q3 2022</x:v>
      </x:c>
      <x:c r="I35" s="51" t="str">
        <x:f t="shared" si="19"/>
        <x:v>Q4 2022</x:v>
      </x:c>
      <x:c r="J35" s="51" t="str">
        <x:f t="shared" si="19"/>
        <x:v>Q1 2023</x:v>
      </x:c>
      <x:c r="K35" s="51" t="str">
        <x:f t="shared" si="19"/>
        <x:v>Q2 2023</x:v>
      </x:c>
      <x:c r="L35" s="51" t="str">
        <x:f t="shared" si="19"/>
        <x:v>Q3 2023</x:v>
      </x:c>
      <x:c r="M35" s="51" t="str">
        <x:f t="shared" si="19"/>
        <x:v>Q4 2023</x:v>
      </x:c>
      <x:c r="N35" s="51" t="str">
        <x:f t="shared" si="19"/>
        <x:v>Q1 2024</x:v>
      </x:c>
      <x:c r="O35" s="51" t="str">
        <x:f t="shared" si="19"/>
        <x:v>Q2 2024</x:v>
      </x:c>
      <x:c r="P35" s="51" t="str">
        <x:f t="shared" si="19"/>
        <x:v>Q3 2024</x:v>
      </x:c>
      <x:c r="Q35" s="51" t="str">
        <x:f t="shared" si="19"/>
        <x:v>Q4 2024</x:v>
      </x:c>
      <x:c r="R35" s="51" t="str">
        <x:f t="shared" si="19"/>
        <x:v>Q1 2025</x:v>
      </x:c>
      <x:c r="S35" s="51" t="str">
        <x:f t="shared" si="19"/>
        <x:v>Q2 2025</x:v>
      </x:c>
      <x:c r="T35" s="51" t="str">
        <x:f t="shared" si="19"/>
        <x:v>Q3 2025</x:v>
      </x:c>
      <x:c r="U35" s="51" t="str">
        <x:f t="shared" si="19"/>
        <x:v>Q4 2025</x:v>
      </x:c>
      <x:c r="V35" s="51" t="str">
        <x:f t="shared" si="19"/>
        <x:v>Q1 2026</x:v>
      </x:c>
      <x:c r="W35" s="51" t="str">
        <x:f t="shared" si="19"/>
        <x:v>Q2 2026</x:v>
      </x:c>
    </x:row>
    <x:row r="36" ht="14.25" customHeight="1">
      <x:c r="B36" s="24" t="s">
        <x:v>293</x:v>
      </x:c>
      <x:c r="F36" s="118" t="s">
        <x:v>294</x:v>
      </x:c>
      <x:c r="H36" s="118"/>
      <x:c r="I36" s="118"/>
      <x:c r="K36" s="24" t="s">
        <x:v>295</x:v>
      </x:c>
      <x:c r="L36" s="24"/>
      <x:c r="M36" s="24"/>
      <x:c r="O36" s="24" t="s">
        <x:v>296</x:v>
      </x:c>
      <x:c r="P36" s="24"/>
      <x:c r="U36" s="79"/>
    </x:row>
    <x:row r="37" ht="14.25" customHeight="1">
      <x:c r="A37" s="1" t="s">
        <x:v>277</x:v>
      </x:c>
      <x:c r="B37" t="s">
        <x:v>101</x:v>
      </x:c>
      <x:c r="D37" s="119">
        <x:v>2</x:v>
      </x:c>
      <x:c r="F37" t="s">
        <x:v>297</x:v>
      </x:c>
      <x:c r="I37" s="120">
        <x:v>0.35</x:v>
      </x:c>
      <x:c r="O37" t="s">
        <x:v>297</x:v>
      </x:c>
      <x:c r="R37" s="120">
        <x:v>0.9</x:v>
      </x:c>
    </x:row>
    <x:row r="38" ht="14.25" customHeight="1">
      <x:c r="B38" t="s">
        <x:v>282</x:v>
      </x:c>
      <x:c r="D38" s="119">
        <x:v>2</x:v>
      </x:c>
      <x:c r="I38" s="121"/>
      <x:c r="M38" s="121"/>
      <x:c r="R38" s="121"/>
    </x:row>
    <x:row r="39" ht="14.25" customHeight="1">
      <x:c r="B39" t="s">
        <x:v>14</x:v>
      </x:c>
      <x:c r="D39" s="119">
        <x:v>2</x:v>
      </x:c>
      <x:c r="F39" t="s">
        <x:v>298</x:v>
      </x:c>
      <x:c r="I39" s="120">
        <x:v>0.4</x:v>
      </x:c>
      <x:c r="O39" t="s">
        <x:v>298</x:v>
      </x:c>
      <x:c r="R39" s="120">
        <x:v>0.7</x:v>
      </x:c>
    </x:row>
    <x:row r="40" ht="14.25" customHeight="1">
      <x:c r="B40" t="s">
        <x:v>299</x:v>
      </x:c>
      <x:c r="D40" s="119">
        <x:v>2</x:v>
      </x:c>
      <x:c r="K40" t="s">
        <x:v>283</x:v>
      </x:c>
      <x:c r="M40" s="120">
        <x:v>0.17</x:v>
      </x:c>
      <x:c r="S40" s="100"/>
      <x:c r="AH40" s="100"/>
    </x:row>
    <x:row r="41" ht="14.25" customHeight="1">
      <x:c r="B41" t="s">
        <x:v>300</x:v>
      </x:c>
      <x:c r="D41" s="28" t="n">
        <x:f>SUM('Income Statement'!Q17:T17)/SUM('Income Statement'!Q9:T9)</x:f>
        <x:v>0.11753561960561199</x:v>
      </x:c>
      <x:c r="I41" s="1"/>
      <x:c r="M41" s="1"/>
      <x:c r="Q41" s="1"/>
      <x:c r="W41" s="28"/>
    </x:row>
    <x:row r="42" ht="14.25" customHeight="1">
      <x:c r="B42" t="s">
        <x:v>14</x:v>
      </x:c>
      <x:c r="D42" s="122" t="n">
        <x:f>CHOOSE(D39,I42,M42,R42)</x:f>
        <x:v>0.13779548661688432</x:v>
      </x:c>
      <x:c r="F42" t="s">
        <x:v>14</x:v>
      </x:c>
      <x:c r="I42" s="121" t="n">
        <x:f>M42+0.01</x:f>
        <x:v>0.14779548661688433</x:v>
      </x:c>
      <x:c r="K42" t="s">
        <x:v>14</x:v>
      </x:c>
      <x:c r="M42" s="121" t="n">
        <x:f>WACC!F21</x:f>
        <x:v>0.13779548661688432</x:v>
      </x:c>
      <x:c r="O42" t="s">
        <x:v>14</x:v>
      </x:c>
      <x:c r="R42" s="121" t="n">
        <x:f>M42-0.01</x:f>
        <x:v>0.1277954866168843</x:v>
      </x:c>
    </x:row>
    <x:row r="43" ht="14.25" customHeight="1">
      <x:c r="B43" t="s">
        <x:v>299</x:v>
      </x:c>
      <x:c r="D43" s="122" t="n">
        <x:f>CHOOSE(D40,I43,M43,R43)</x:f>
        <x:v>0.035</x:v>
      </x:c>
      <x:c r="F43" t="s">
        <x:v>299</x:v>
      </x:c>
      <x:c r="I43" s="121">
        <x:v>0.03</x:v>
      </x:c>
      <x:c r="K43" t="s">
        <x:v>299</x:v>
      </x:c>
      <x:c r="M43" s="121">
        <x:v>3.5000000000000003E-2</x:v>
      </x:c>
      <x:c r="O43" t="s">
        <x:v>299</x:v>
      </x:c>
      <x:c r="R43" s="121">
        <x:v>0.04</x:v>
      </x:c>
    </x:row>
    <x:row r="44" ht="14.25" customHeight="1">
      <x:c r="B44" s="123"/>
      <x:c r="C44" s="123"/>
      <x:c r="D44" s="124"/>
      <x:c r="E44" s="123"/>
      <x:c r="F44" s="123"/>
      <x:c r="G44" s="123"/>
      <x:c r="H44" s="124"/>
      <x:c r="I44" s="123" t="s">
        <x:v>301</x:v>
      </x:c>
      <x:c r="J44" s="123"/>
      <x:c r="K44" s="123"/>
      <x:c r="L44" s="124"/>
      <x:c r="M44" s="123"/>
      <x:c r="N44" s="123"/>
      <x:c r="O44" s="123"/>
      <x:c r="P44" s="124"/>
      <x:c r="Q44" s="123"/>
    </x:row>
    <x:row r="45" ht="14.25" customHeight="1">
      <x:c r="D45" s="70"/>
      <x:c r="H45" s="70"/>
      <x:c r="L45" s="70"/>
      <x:c r="P45" s="70"/>
    </x:row>
    <x:row r="46" ht="14.25" customHeight="1">
      <x:c r="D46" s="70"/>
      <x:c r="H46" s="70"/>
      <x:c r="L46" s="70"/>
      <x:c r="P46" s="70"/>
    </x:row>
    <x:row r="47" ht="14.25" customHeight="1">
      <x:c r="B47" s="87" t="s">
        <x:v>269</x:v>
      </x:c>
      <x:c r="C47" s="51"/>
      <x:c r="D47" s="51"/>
      <x:c r="E47" s="51"/>
      <x:c r="F47" s="51" t="s">
        <x:v>71</x:v>
      </x:c>
      <x:c r="G47" s="51" t="str">
        <x:f t="shared" ref="G47:AG47" si="20">IF(MID(F47,2,1)="4","Q1 "&amp;RIGHT(F47,4)+1, "Q"&amp;MID(F47,2,1)+1&amp;" "&amp;RIGHT(F47,4))</x:f>
        <x:v>Q2 2022</x:v>
      </x:c>
      <x:c r="H47" s="51" t="str">
        <x:f t="shared" si="20"/>
        <x:v>Q3 2022</x:v>
      </x:c>
      <x:c r="I47" s="51" t="str">
        <x:f t="shared" si="20"/>
        <x:v>Q4 2022</x:v>
      </x:c>
      <x:c r="J47" s="51" t="str">
        <x:f t="shared" si="20"/>
        <x:v>Q1 2023</x:v>
      </x:c>
      <x:c r="K47" s="51" t="str">
        <x:f t="shared" si="20"/>
        <x:v>Q2 2023</x:v>
      </x:c>
      <x:c r="L47" s="51" t="str">
        <x:f t="shared" si="20"/>
        <x:v>Q3 2023</x:v>
      </x:c>
      <x:c r="M47" s="51" t="str">
        <x:f t="shared" si="20"/>
        <x:v>Q4 2023</x:v>
      </x:c>
      <x:c r="N47" s="51" t="str">
        <x:f t="shared" si="20"/>
        <x:v>Q1 2024</x:v>
      </x:c>
      <x:c r="O47" s="51" t="str">
        <x:f t="shared" si="20"/>
        <x:v>Q2 2024</x:v>
      </x:c>
      <x:c r="P47" s="51" t="str">
        <x:f t="shared" si="20"/>
        <x:v>Q3 2024</x:v>
      </x:c>
      <x:c r="Q47" s="51" t="str">
        <x:f t="shared" si="20"/>
        <x:v>Q4 2024</x:v>
      </x:c>
      <x:c r="R47" s="51" t="str">
        <x:f t="shared" si="20"/>
        <x:v>Q1 2025</x:v>
      </x:c>
      <x:c r="S47" s="51" t="str">
        <x:f t="shared" si="20"/>
        <x:v>Q2 2025</x:v>
      </x:c>
      <x:c r="T47" s="51" t="str">
        <x:f t="shared" si="20"/>
        <x:v>Q3 2025</x:v>
      </x:c>
      <x:c r="U47" s="51" t="str">
        <x:f t="shared" si="20"/>
        <x:v>Q4 2025</x:v>
      </x:c>
      <x:c r="V47" s="51" t="str">
        <x:f t="shared" si="20"/>
        <x:v>Q1 2026</x:v>
      </x:c>
      <x:c r="W47" s="51" t="str">
        <x:f t="shared" si="20"/>
        <x:v>Q2 2026</x:v>
      </x:c>
      <x:c r="X47" s="52" t="str">
        <x:f t="shared" si="20"/>
        <x:v>Q3 2026</x:v>
      </x:c>
      <x:c r="Y47" s="52" t="str">
        <x:f t="shared" si="20"/>
        <x:v>Q4 2026</x:v>
      </x:c>
      <x:c r="Z47" s="52" t="str">
        <x:f t="shared" si="20"/>
        <x:v>Q1 2027</x:v>
      </x:c>
      <x:c r="AA47" s="52" t="str">
        <x:f t="shared" si="20"/>
        <x:v>Q2 2027</x:v>
      </x:c>
      <x:c r="AB47" s="52" t="str">
        <x:f t="shared" si="20"/>
        <x:v>Q3 2027</x:v>
      </x:c>
      <x:c r="AC47" s="52" t="str">
        <x:f t="shared" si="20"/>
        <x:v>Q4 2027</x:v>
      </x:c>
      <x:c r="AD47" s="52" t="str">
        <x:f t="shared" si="20"/>
        <x:v>Q1 2028</x:v>
      </x:c>
      <x:c r="AE47" s="52" t="str">
        <x:f t="shared" si="20"/>
        <x:v>Q2 2028</x:v>
      </x:c>
      <x:c r="AF47" s="52" t="str">
        <x:f t="shared" si="20"/>
        <x:v>Q3 2028</x:v>
      </x:c>
      <x:c r="AG47" s="52" t="str">
        <x:f t="shared" si="20"/>
        <x:v>Q4 2028</x:v>
      </x:c>
      <x:c r="AH47" s="115">
        <x:v>2029</x:v>
      </x:c>
      <x:c r="AI47" s="115">
        <x:v>2030</x:v>
      </x:c>
      <x:c r="AK47" s="79"/>
    </x:row>
    <x:row r="48" ht="14.25" customHeight="1">
      <x:c r="B48" t="s">
        <x:v>101</x:v>
      </x:c>
      <x:c r="F48" s="125" t="n">
        <x:f t="shared" ref="F48:W48" si="21">F10</x:f>
        <x:v>5661</x:v>
      </x:c>
      <x:c r="G48" s="125">
        <x:f t="shared" si="21"/>
        <x:v>6507</x:v>
      </x:c>
      <x:c r="H48" s="125">
        <x:f t="shared" si="21"/>
        <x:v>7103</x:v>
      </x:c>
      <x:c r="I48" s="125">
        <x:f t="shared" si="21"/>
        <x:v>7643</x:v>
      </x:c>
      <x:c r="J48" s="125">
        <x:f t="shared" si="21"/>
        <x:v>8288</x:v>
      </x:c>
      <x:c r="K48" s="125">
        <x:f t="shared" si="21"/>
        <x:v>6704</x:v>
      </x:c>
      <x:c r="L48" s="125">
        <x:f t="shared" si="21"/>
        <x:v>5931</x:v>
      </x:c>
      <x:c r="M48" s="125">
        <x:f t="shared" si="21"/>
        <x:v>6051</x:v>
      </x:c>
      <x:c r="N48" s="125">
        <x:f t="shared" si="21"/>
        <x:v>7192</x:v>
      </x:c>
      <x:c r="O48" s="125">
        <x:f t="shared" si="21"/>
        <x:v>13507</x:v>
      </x:c>
      <x:c r="P48" s="125">
        <x:f t="shared" si="21"/>
        <x:v>18120</x:v>
      </x:c>
      <x:c r="Q48" s="125">
        <x:f t="shared" si="21"/>
        <x:v>22103</x:v>
      </x:c>
      <x:c r="R48" s="125">
        <x:f t="shared" si="21"/>
        <x:v>26044</x:v>
      </x:c>
      <x:c r="S48" s="125">
        <x:f t="shared" si="21"/>
        <x:v>30040</x:v>
      </x:c>
      <x:c r="T48" s="125">
        <x:f t="shared" si="21"/>
        <x:v>35082</x:v>
      </x:c>
      <x:c r="U48" s="125">
        <x:f t="shared" si="21"/>
        <x:v>39331</x:v>
      </x:c>
      <x:c r="V48" s="125">
        <x:f t="shared" si="21"/>
        <x:v>44062</x:v>
      </x:c>
      <x:c r="W48" s="125">
        <x:f t="shared" si="21"/>
        <x:v>46743</x:v>
      </x:c>
      <x:c r="X48" s="62" t="n">
        <x:f t="shared" ref="X48:AG48" si="22">W48*(1+X49)</x:f>
        <x:v>54000</x:v>
      </x:c>
      <x:c r="Y48" s="62">
        <x:f t="shared" si="22"/>
        <x:v>58367.499068207231</x:v>
      </x:c>
      <x:c r="Z48" s="62">
        <x:f t="shared" si="22"/>
        <x:v>63701.080879612367</x:v>
      </x:c>
      <x:c r="AA48" s="62">
        <x:f t="shared" si="22"/>
        <x:v>68187.103988073053</x:v>
      </x:c>
      <x:c r="AB48" s="62">
        <x:f t="shared" si="22"/>
        <x:v>67404.398061871034</x:v>
      </x:c>
      <x:c r="AC48" s="62">
        <x:f t="shared" si="22"/>
        <x:v>72732.01639955274</x:v>
      </x:c>
      <x:c r="AD48" s="62">
        <x:f t="shared" si="22"/>
        <x:v>74968.319045844197</x:v>
      </x:c>
      <x:c r="AE48" s="62">
        <x:f t="shared" si="22"/>
        <x:v>77204.621692135654</x:v>
      </x:c>
      <x:c r="AF48" s="62">
        <x:f t="shared" si="22"/>
        <x:v>87519.755944275516</x:v>
      </x:c>
      <x:c r="AG48" s="62">
        <x:f t="shared" si="22"/>
        <x:v>98481.65336671393</x:v>
      </x:c>
      <x:c r="AH48" s="62" t="n">
        <x:f>SUM(AD48:AG48)*(1+AVERAGE((SUM(AD48:AG48)/SUM(Z48:AC48)-1),$D$43))</x:f>
        <x:v>385210.2798717552</x:v>
      </x:c>
      <x:c r="AI48" s="62" t="n">
        <x:f>AH48*(1+$D$43)</x:f>
        <x:v>398692.63966726663</x:v>
      </x:c>
    </x:row>
    <x:row r="49" ht="14.25" customHeight="1">
      <x:c r="A49" s="1" t="s">
        <x:v>277</x:v>
      </x:c>
      <x:c r="B49" s="29" t="s">
        <x:v>279</x:v>
      </x:c>
      <x:c r="G49" s="114" t="n">
        <x:f t="shared" ref="G49:W49" si="23">G11</x:f>
        <x:v>0.14944356120826718</x:v>
      </x:c>
      <x:c r="H49" s="114">
        <x:f t="shared" si="23"/>
        <x:v>9.1593668357153879E-2</x:v>
      </x:c>
      <x:c r="I49" s="114">
        <x:f t="shared" si="23"/>
        <x:v>7.6024215120371608E-2</x:v>
      </x:c>
      <x:c r="J49" s="114">
        <x:f t="shared" si="23"/>
        <x:v>8.4390945963626951E-2</x:v>
      </x:c>
      <x:c r="K49" s="114">
        <x:f t="shared" si="23"/>
        <x:v>-0.19111969111969107</x:v>
      </x:c>
      <x:c r="L49" s="114">
        <x:f t="shared" si="23"/>
        <x:v>-0.11530429594272074</x:v>
      </x:c>
      <x:c r="M49" s="114">
        <x:f t="shared" si="23"/>
        <x:v>2.0232675771370667E-2</x:v>
      </x:c>
      <x:c r="N49" s="114">
        <x:f t="shared" si="23"/>
        <x:v>0.1885638737398776</x:v>
      </x:c>
      <x:c r="O49" s="114">
        <x:f t="shared" si="23"/>
        <x:v>0.87805895439377091</x:v>
      </x:c>
      <x:c r="P49" s="114">
        <x:f t="shared" si="23"/>
        <x:v>0.34152661582882948</x:v>
      </x:c>
      <x:c r="Q49" s="114">
        <x:f t="shared" si="23"/>
        <x:v>0.21981236203090515</x:v>
      </x:c>
      <x:c r="R49" s="114">
        <x:f t="shared" si="23"/>
        <x:v>0.17830158801972584</x:v>
      </x:c>
      <x:c r="S49" s="114">
        <x:f t="shared" si="23"/>
        <x:v>0.1534326524343419</x:v>
      </x:c>
      <x:c r="T49" s="114">
        <x:f t="shared" si="23"/>
        <x:v>0.16784287616511318</x:v>
      </x:c>
      <x:c r="U49" s="114">
        <x:f t="shared" si="23"/>
        <x:v>0.12111624194743742</x:v>
      </x:c>
      <x:c r="V49" s="114">
        <x:f t="shared" si="23"/>
        <x:v>0.12028679667437903</x:v>
      </x:c>
      <x:c r="W49" s="114">
        <x:f t="shared" si="23"/>
        <x:v>6.0846080522899637E-2</x:v>
      </x:c>
      <x:c r="X49" s="114" t="n">
        <x:f t="shared" ref="X49:AI49" si="24">CHOOSE($D$37,X50,X51,X52)</x:f>
        <x:v>0.155253192991464</x:v>
      </x:c>
      <x:c r="Y49" s="114">
        <x:f t="shared" si="24"/>
        <x:v>8.0879612374207904E-2</x:v>
      </x:c>
      <x:c r="Z49" s="114">
        <x:f t="shared" si="24"/>
        <x:v>9.1379310344827505E-2</x:v>
      </x:c>
      <x:c r="AA49" s="114">
        <x:f t="shared" si="24"/>
        <x:v>7.0423029664735903E-2</x:v>
      </x:c>
      <x:c r="AB49" s="114">
        <x:f t="shared" si="24"/>
        <x:v>-1.14787970220721E-2</x:v>
      </x:c>
      <x:c r="AC49" s="114">
        <x:f t="shared" si="24"/>
        <x:v>7.9039624874202505E-2</x:v>
      </x:c>
      <x:c r="AD49" s="114">
        <x:f t="shared" si="24"/>
        <x:v>3.0747155888080299E-2</x:v>
      </x:c>
      <x:c r="AE49" s="114">
        <x:f t="shared" si="24"/>
        <x:v>2.9829969175698499E-2</x:v>
      </x:c>
      <x:c r="AF49" s="114">
        <x:f t="shared" si="24"/>
        <x:v>0.13360773003037199</x:v>
      </x:c>
      <x:c r="AG49" s="114">
        <x:f t="shared" si="24"/>
        <x:v>0.125250548338114</x:v>
      </x:c>
      <x:c r="AH49" s="114">
        <x:f t="shared" si="24"/>
        <x:v>0.13908781022562744</x:v>
      </x:c>
      <x:c r="AI49" s="114">
        <x:f t="shared" si="24"/>
        <x:v>3.499999999999992E-2</x:v>
      </x:c>
    </x:row>
    <x:row r="50" ht="14.25" customHeight="1">
      <x:c r="B50" s="24" t="s">
        <x:v>302</x:v>
      </x:c>
      <x:c r="X50" s="121" t="n">
        <x:f>X51</x:f>
        <x:v>0.155253192991464</x:v>
      </x:c>
      <x:c r="Y50" s="121" t="n">
        <x:f>(1+$I$37)^(1/4)-1</x:f>
        <x:v>0.07791233588925262</x:v>
      </x:c>
      <x:c r="Z50" s="121" t="n">
        <x:f>(1+$I$37)^(1/4)-1</x:f>
        <x:v>0.07791233588925262</x:v>
      </x:c>
      <x:c r="AA50" s="121" t="n">
        <x:f>(1+$I$37)^(1/4)-1</x:f>
        <x:v>0.07791233588925262</x:v>
      </x:c>
      <x:c r="AB50" s="121" t="n">
        <x:f>(1+$I$37)^(1/4)-1</x:f>
        <x:v>0.07791233588925262</x:v>
      </x:c>
      <x:c r="AC50" s="121" t="n">
        <x:f>(1+$I$37)^(1/4)-1</x:f>
        <x:v>0.07791233588925262</x:v>
      </x:c>
      <x:c r="AD50" s="121" t="n">
        <x:f>(1+($I$37-($I$37-$D$43)*(1/3)))^(1/4)-1</x:f>
        <x:v>0.05631230240922114</x:v>
      </x:c>
      <x:c r="AE50" s="121" t="n">
        <x:f>(1+($I$37-($I$37-$D$43)*(1/3)))^(1/4)-1</x:f>
        <x:v>0.05631230240922114</x:v>
      </x:c>
      <x:c r="AF50" s="121" t="n">
        <x:f>(1+($I$37-($I$37-$D$43)*(1/3)))^(1/4)-1</x:f>
        <x:v>0.05631230240922114</x:v>
      </x:c>
      <x:c r="AG50" s="121" t="n">
        <x:f>(1+($I$37-($I$37-$D$43)*(1/3)))^(1/4)-1</x:f>
        <x:v>0.05631230240922114</x:v>
      </x:c>
      <x:c r="AH50" s="121" t="n">
        <x:f>$I$37-($I$37-$D$43)*(2/3)</x:f>
        <x:v>0.14</x:v>
      </x:c>
      <x:c r="AI50" s="121" t="n">
        <x:f>$D$43</x:f>
        <x:v>0.035</x:v>
      </x:c>
    </x:row>
    <x:row r="51" ht="14.25" customHeight="1">
      <x:c r="B51" s="24" t="s">
        <x:v>303</x:v>
      </x:c>
      <x:c r="X51" s="121">
        <x:v>0.15525319299146401</x:v>
      </x:c>
      <x:c r="Y51" s="121">
        <x:v>8.0879612374207904E-2</x:v>
      </x:c>
      <x:c r="Z51" s="121">
        <x:v>9.1379310344827505E-2</x:v>
      </x:c>
      <x:c r="AA51" s="121">
        <x:v>7.0423029664735903E-2</x:v>
      </x:c>
      <x:c r="AB51" s="121">
        <x:v>-1.14787970220721E-2</x:v>
      </x:c>
      <x:c r="AC51" s="121">
        <x:v>7.9039624874202505E-2</x:v>
      </x:c>
      <x:c r="AD51" s="121">
        <x:v>3.0747155888080299E-2</x:v>
      </x:c>
      <x:c r="AE51" s="121">
        <x:v>2.9829969175698499E-2</x:v>
      </x:c>
      <x:c r="AF51" s="121">
        <x:v>0.13360773003037199</x:v>
      </x:c>
      <x:c r="AG51" s="121">
        <x:v>0.125250548338114</x:v>
      </x:c>
      <x:c r="AH51" s="121" t="n">
        <x:f>AH48/SUM(AD48:AG48)-1</x:f>
        <x:v>0.13908781022562744</x:v>
      </x:c>
      <x:c r="AI51" s="121" t="n">
        <x:f>AI48/AH48-1</x:f>
        <x:v>0.03499999999999992</x:v>
      </x:c>
    </x:row>
    <x:row r="52" ht="14.25" customHeight="1">
      <x:c r="B52" s="24" t="s">
        <x:v>304</x:v>
      </x:c>
      <x:c r="X52" s="121" t="n">
        <x:f>X51</x:f>
        <x:v>0.155253192991464</x:v>
      </x:c>
      <x:c r="Y52" s="126" t="n">
        <x:f>(1+$R$37)^(1/4)-1</x:f>
        <x:v>0.17405488594401852</x:v>
      </x:c>
      <x:c r="Z52" s="126" t="n">
        <x:f>(1+$R$37)^(1/4)-1</x:f>
        <x:v>0.17405488594401852</x:v>
      </x:c>
      <x:c r="AA52" s="126" t="n">
        <x:f>(1+$R$37)^(1/4)-1</x:f>
        <x:v>0.17405488594401852</x:v>
      </x:c>
      <x:c r="AB52" s="126" t="n">
        <x:f>(1+$R$37)^(1/4)-1</x:f>
        <x:v>0.17405488594401852</x:v>
      </x:c>
      <x:c r="AC52" s="126" t="n">
        <x:f>(1+$R$37)^(1/4)-1</x:f>
        <x:v>0.17405488594401852</x:v>
      </x:c>
      <x:c r="AD52" s="126" t="n">
        <x:f>(1+($R$37-($R$37-$D$43)*(1/3)))^(1/4)-1</x:f>
        <x:v>0.12672727083182656</x:v>
      </x:c>
      <x:c r="AE52" s="126" t="n">
        <x:f>(1+($R$37-($R$37-$D$43)*(1/3)))^(1/4)-1</x:f>
        <x:v>0.12672727083182656</x:v>
      </x:c>
      <x:c r="AF52" s="126" t="n">
        <x:f>(1+($R$37-($R$37-$D$43)*(1/3)))^(1/4)-1</x:f>
        <x:v>0.12672727083182656</x:v>
      </x:c>
      <x:c r="AG52" s="126" t="n">
        <x:f>(1+($R$37-($R$37-$D$43)*(1/3)))^(1/4)-1</x:f>
        <x:v>0.12672727083182656</x:v>
      </x:c>
      <x:c r="AH52" s="126" t="n">
        <x:f>$R$37-($R$37-$D$43)*(2/3)</x:f>
        <x:v>0.32333333333333336</x:v>
      </x:c>
      <x:c r="AI52" s="126" t="n">
        <x:f>$D$43</x:f>
        <x:v>0.035</x:v>
      </x:c>
      <x:c r="AK52" s="79"/>
    </x:row>
    <x:row r="53" ht="14.25" customHeight="1"/>
    <x:row r="54" ht="14.25" customHeight="1">
      <x:c r="B54" t="s">
        <x:v>282</x:v>
      </x:c>
      <x:c r="F54" s="125" t="n">
        <x:f t="shared" ref="F54:W54" si="25">F16</x:f>
        <x:v>1909</x:v>
      </x:c>
      <x:c r="G54" s="125">
        <x:f t="shared" si="25"/>
        <x:v>2390</x:v>
      </x:c>
      <x:c r="H54" s="125">
        <x:f t="shared" si="25"/>
        <x:v>2616</x:v>
      </x:c>
      <x:c r="I54" s="125">
        <x:f t="shared" si="25"/>
        <x:v>2919</x:v>
      </x:c>
      <x:c r="J54" s="125">
        <x:f t="shared" si="25"/>
        <x:v>1818</x:v>
      </x:c>
      <x:c r="K54" s="125">
        <x:f t="shared" si="25"/>
        <x:v>480</x:v>
      </x:c>
      <x:c r="L54" s="125">
        <x:f t="shared" si="25"/>
        <x:v>624</x:v>
      </x:c>
      <x:c r="M54" s="125">
        <x:f t="shared" si="25"/>
        <x:v>1307</x:v>
      </x:c>
      <x:c r="N54" s="125">
        <x:f t="shared" si="25"/>
        <x:v>2224</x:v>
      </x:c>
      <x:c r="O54" s="125">
        <x:f t="shared" si="25"/>
        <x:v>6922</x:v>
      </x:c>
      <x:c r="P54" s="125">
        <x:f t="shared" si="25"/>
        <x:v>10588</x:v>
      </x:c>
      <x:c r="Q54" s="125">
        <x:f t="shared" si="25"/>
        <x:v>13847</x:v>
      </x:c>
      <x:c r="R54" s="125">
        <x:f t="shared" si="25"/>
        <x:v>17204</x:v>
      </x:c>
      <x:c r="S54" s="125">
        <x:f t="shared" si="25"/>
        <x:v>19025</x:v>
      </x:c>
      <x:c r="T54" s="125">
        <x:f t="shared" si="25"/>
        <x:v>22280</x:v>
      </x:c>
      <x:c r="U54" s="125">
        <x:f t="shared" si="25"/>
        <x:v>24484</x:v>
      </x:c>
      <x:c r="V54" s="125">
        <x:f t="shared" si="25"/>
        <x:v>22090</x:v>
      </x:c>
      <x:c r="W54" s="125">
        <x:f t="shared" si="25"/>
        <x:v>28970</x:v>
      </x:c>
      <x:c r="X54" s="62" t="n">
        <x:f t="shared" ref="X54:AI54" si="26">X48*X55</x:f>
        <x:v>33374.94073797985</x:v>
      </x:c>
      <x:c r="Y54" s="62">
        <x:f t="shared" si="26"/>
        <x:v>38294.446515095071</x:v>
      </x:c>
      <x:c r="Z54" s="62">
        <x:f t="shared" si="26"/>
        <x:v>41738.352590383889</x:v>
      </x:c>
      <x:c r="AA54" s="62">
        <x:f t="shared" si="26"/>
        <x:v>44623.183004099898</x:v>
      </x:c>
      <x:c r="AB54" s="62">
        <x:f t="shared" si="26"/>
        <x:v>44037.271710771543</x:v>
      </x:c>
      <x:c r="AC54" s="62">
        <x:f t="shared" si="26"/>
        <x:v>46956.392098397322</x:v>
      </x:c>
      <x:c r="AD54" s="62">
        <x:f t="shared" si="26"/>
        <x:v>48521.803950801317</x:v>
      </x:c>
      <x:c r="AE54" s="62">
        <x:f t="shared" si="26"/>
        <x:v>50087.21580320537</x:v>
      </x:c>
      <x:c r="AF54" s="62">
        <x:f t="shared" si="26"/>
        <x:v>55457.431585084676</x:v>
      </x:c>
      <x:c r="AG54" s="62">
        <x:f t="shared" si="26"/>
        <x:v>59563.639402358793</x:v>
      </x:c>
      <x:c r="AH54" s="62">
        <x:f t="shared" si="26"/>
        <x:v>232982.74775023243</x:v>
      </x:c>
      <x:c r="AI54" s="62">
        <x:f t="shared" si="26"/>
        <x:v>241137.14392149053</x:v>
      </x:c>
    </x:row>
    <x:row r="55" ht="14.25" customHeight="1">
      <x:c r="B55" s="29" t="s">
        <x:v>281</x:v>
      </x:c>
      <x:c r="F55" s="114" t="n">
        <x:f t="shared" ref="F55:W55" si="27">F17</x:f>
        <x:v>0.33721957251369017</x:v>
      </x:c>
      <x:c r="G55" s="114">
        <x:f t="shared" si="27"/>
        <x:v>0.36729675733825112</x:v>
      </x:c>
      <x:c r="H55" s="114">
        <x:f t="shared" si="27"/>
        <x:v>0.36829508658313387</x:v>
      </x:c>
      <x:c r="I55" s="114">
        <x:f t="shared" si="27"/>
        <x:v>0.38191809498887869</x:v>
      </x:c>
      <x:c r="J55" s="114">
        <x:f t="shared" si="27"/>
        <x:v>0.21935328185328185</x:v>
      </x:c>
      <x:c r="K55" s="114">
        <x:f t="shared" si="27"/>
        <x:v>7.1599045346062054E-2</x:v>
      </x:c>
      <x:c r="L55" s="114">
        <x:f t="shared" si="27"/>
        <x:v>0.10520991401112798</x:v>
      </x:c>
      <x:c r="M55" s="114">
        <x:f t="shared" si="27"/>
        <x:v>0.21599735580895721</x:v>
      </x:c>
      <x:c r="N55" s="114">
        <x:f t="shared" si="27"/>
        <x:v>0.3092324805339266</x:v>
      </x:c>
      <x:c r="O55" s="114">
        <x:f t="shared" si="27"/>
        <x:v>0.51247501295624487</x:v>
      </x:c>
      <x:c r="P55" s="114">
        <x:f t="shared" si="27"/>
        <x:v>0.58432671081677701</x:v>
      </x:c>
      <x:c r="Q55" s="114">
        <x:f t="shared" si="27"/>
        <x:v>0.62647604397593082</x:v>
      </x:c>
      <x:c r="R55" s="114">
        <x:f t="shared" si="27"/>
        <x:v>0.66057441253263705</x:v>
      </x:c>
      <x:c r="S55" s="114">
        <x:f t="shared" si="27"/>
        <x:v>0.63332223701731027</x:v>
      </x:c>
      <x:c r="T55" s="114">
        <x:f t="shared" si="27"/>
        <x:v>0.63508351861353396</x:v>
      </x:c>
      <x:c r="U55" s="114">
        <x:f t="shared" si="27"/>
        <x:v>0.62251150491978335</x:v>
      </x:c>
      <x:c r="V55" s="114">
        <x:f t="shared" si="27"/>
        <x:v>0.50133902228677774</x:v>
      </x:c>
      <x:c r="W55" s="114">
        <x:f t="shared" si="27"/>
        <x:v>0.61977194446227246</x:v>
      </x:c>
      <x:c r="X55" s="21" t="n">
        <x:f t="shared" ref="X55:AI55" si="28">CHOOSE($D$38,X56,X57,X58)</x:f>
        <x:v>0.618054458110738</x:v>
      </x:c>
      <x:c r="Y55" s="114">
        <x:f t="shared" si="28"/>
        <x:v>0.65609195402298903</x:v>
      </x:c>
      <x:c r="Z55" s="114">
        <x:f t="shared" si="28"/>
        <x:v>0.65522204669124096</x:v>
      </x:c>
      <x:c r="AA55" s="114">
        <x:f t="shared" si="28"/>
        <x:v>0.65442261650978995</x:v>
      </x:c>
      <x:c r="AB55" s="114">
        <x:f t="shared" si="28"/>
        <x:v>0.653329352045387</x:v>
      </x:c>
      <x:c r="AC55" s="114">
        <x:f t="shared" si="28"/>
        <x:v>0.64560828123398595</x:v>
      </x:c>
      <x:c r="AD55" s="114">
        <x:f t="shared" si="28"/>
        <x:v>0.64723078452818905</x:v>
      </x:c>
      <x:c r="AE55" s="114">
        <x:f t="shared" si="28"/>
        <x:v>0.64875929323163095</x:v>
      </x:c>
      <x:c r="AF55" s="114">
        <x:f t="shared" si="28"/>
        <x:v>0.63365614982284502</x:v>
      </x:c>
      <x:c r="AG55" s="114">
        <x:f t="shared" si="28"/>
        <x:v>0.60481965286024397</x:v>
      </x:c>
      <x:c r="AH55" s="114">
        <x:f t="shared" si="28"/>
        <x:v>0.60481965286024397</x:v>
      </x:c>
      <x:c r="AI55" s="114">
        <x:f t="shared" si="28"/>
        <x:v>0.60481965286024397</x:v>
      </x:c>
    </x:row>
    <x:row r="56" ht="14.25" customHeight="1">
      <x:c r="B56" s="24" t="s">
        <x:v>302</x:v>
      </x:c>
      <x:c r="X56" s="126" t="n">
        <x:f>X57</x:f>
        <x:v>0.618054458110738</x:v>
      </x:c>
      <x:c r="Y56" s="126" t="n">
        <x:f t="shared" ref="Y56:AI56" si="29">$I$39</x:f>
        <x:v>0.4</x:v>
      </x:c>
      <x:c r="Z56" s="126">
        <x:f t="shared" si="29"/>
        <x:v>0.4</x:v>
      </x:c>
      <x:c r="AA56" s="126">
        <x:f t="shared" si="29"/>
        <x:v>0.4</x:v>
      </x:c>
      <x:c r="AB56" s="126">
        <x:f t="shared" si="29"/>
        <x:v>0.4</x:v>
      </x:c>
      <x:c r="AC56" s="126">
        <x:f t="shared" si="29"/>
        <x:v>0.4</x:v>
      </x:c>
      <x:c r="AD56" s="126">
        <x:f t="shared" si="29"/>
        <x:v>0.4</x:v>
      </x:c>
      <x:c r="AE56" s="126">
        <x:f t="shared" si="29"/>
        <x:v>0.4</x:v>
      </x:c>
      <x:c r="AF56" s="126">
        <x:f t="shared" si="29"/>
        <x:v>0.4</x:v>
      </x:c>
      <x:c r="AG56" s="126">
        <x:f t="shared" si="29"/>
        <x:v>0.4</x:v>
      </x:c>
      <x:c r="AH56" s="126">
        <x:f t="shared" si="29"/>
        <x:v>0.4</x:v>
      </x:c>
      <x:c r="AI56" s="126">
        <x:f t="shared" si="29"/>
        <x:v>0.4</x:v>
      </x:c>
    </x:row>
    <x:row r="57" ht="14.25" customHeight="1">
      <x:c r="B57" s="24" t="s">
        <x:v>303</x:v>
      </x:c>
      <x:c r="X57" s="126">
        <x:v>0.618054458110738</x:v>
      </x:c>
      <x:c r="Y57" s="126">
        <x:v>0.65609195402298903</x:v>
      </x:c>
      <x:c r="Z57" s="126">
        <x:v>0.65522204669124096</x:v>
      </x:c>
      <x:c r="AA57" s="126">
        <x:v>0.65442261650978995</x:v>
      </x:c>
      <x:c r="AB57" s="126">
        <x:v>0.653329352045387</x:v>
      </x:c>
      <x:c r="AC57" s="126">
        <x:v>0.64560828123398595</x:v>
      </x:c>
      <x:c r="AD57" s="126">
        <x:v>0.64723078452818905</x:v>
      </x:c>
      <x:c r="AE57" s="126">
        <x:v>0.64875929323163095</x:v>
      </x:c>
      <x:c r="AF57" s="126">
        <x:v>0.63365614982284502</x:v>
      </x:c>
      <x:c r="AG57" s="126">
        <x:v>0.60481965286024397</x:v>
      </x:c>
      <x:c r="AH57" s="126">
        <x:v>0.60481965286024397</x:v>
      </x:c>
      <x:c r="AI57" s="126">
        <x:v>0.60481965286024397</x:v>
      </x:c>
      <x:c r="AK57" s="79"/>
    </x:row>
    <x:row r="58" ht="14.25" customHeight="1">
      <x:c r="B58" s="24" t="s">
        <x:v>304</x:v>
      </x:c>
      <x:c r="X58" s="126" t="n">
        <x:f>X57</x:f>
        <x:v>0.618054458110738</x:v>
      </x:c>
      <x:c r="Y58" s="126" t="n">
        <x:f t="shared" ref="Y58:AI58" si="30">$R$39</x:f>
        <x:v>0.7</x:v>
      </x:c>
      <x:c r="Z58" s="126">
        <x:f t="shared" si="30"/>
        <x:v>0.7</x:v>
      </x:c>
      <x:c r="AA58" s="126">
        <x:f t="shared" si="30"/>
        <x:v>0.7</x:v>
      </x:c>
      <x:c r="AB58" s="126">
        <x:f t="shared" si="30"/>
        <x:v>0.7</x:v>
      </x:c>
      <x:c r="AC58" s="126">
        <x:f t="shared" si="30"/>
        <x:v>0.7</x:v>
      </x:c>
      <x:c r="AD58" s="126">
        <x:f t="shared" si="30"/>
        <x:v>0.7</x:v>
      </x:c>
      <x:c r="AE58" s="126">
        <x:f t="shared" si="30"/>
        <x:v>0.7</x:v>
      </x:c>
      <x:c r="AF58" s="126">
        <x:f t="shared" si="30"/>
        <x:v>0.7</x:v>
      </x:c>
      <x:c r="AG58" s="126">
        <x:f t="shared" si="30"/>
        <x:v>0.7</x:v>
      </x:c>
      <x:c r="AH58" s="126">
        <x:f t="shared" si="30"/>
        <x:v>0.7</x:v>
      </x:c>
      <x:c r="AI58" s="126">
        <x:f t="shared" si="30"/>
        <x:v>0.7</x:v>
      </x:c>
    </x:row>
    <x:row r="59" ht="14.25" customHeight="1"/>
    <x:row r="60" ht="14.25" customHeight="1">
      <x:c r="B60" t="s">
        <x:v>283</x:v>
      </x:c>
      <x:c r="X60" s="62" t="n">
        <x:f t="shared" ref="X60:AI60" si="31">X54*X61</x:f>
        <x:v>5673.739925456575</x:v>
      </x:c>
      <x:c r="Y60" s="62">
        <x:f t="shared" si="31"/>
        <x:v>6510.0559075661622</x:v>
      </x:c>
      <x:c r="Z60" s="62">
        <x:f t="shared" si="31"/>
        <x:v>7095.5199403652614</x:v>
      </x:c>
      <x:c r="AA60" s="62">
        <x:f t="shared" si="31"/>
        <x:v>7585.9411106969828</x:v>
      </x:c>
      <x:c r="AB60" s="62">
        <x:f t="shared" si="31"/>
        <x:v>7486.3361908311626</x:v>
      </x:c>
      <x:c r="AC60" s="62">
        <x:f t="shared" si="31"/>
        <x:v>7982.5866567275452</x:v>
      </x:c>
      <x:c r="AD60" s="62">
        <x:f t="shared" si="31"/>
        <x:v>8248.7066716362242</x:v>
      </x:c>
      <x:c r="AE60" s="62">
        <x:f t="shared" si="31"/>
        <x:v>8514.8266865449132</x:v>
      </x:c>
      <x:c r="AF60" s="62">
        <x:f t="shared" si="31"/>
        <x:v>9427.7633694643955</x:v>
      </x:c>
      <x:c r="AG60" s="62">
        <x:f t="shared" si="31"/>
        <x:v>10125.818698400995</x:v>
      </x:c>
      <x:c r="AH60" s="62">
        <x:f t="shared" si="31"/>
        <x:v>39607.067117539518</x:v>
      </x:c>
      <x:c r="AI60" s="62">
        <x:f t="shared" si="31"/>
        <x:v>40993.314466653392</x:v>
      </x:c>
    </x:row>
    <x:row r="61" ht="14.25" customHeight="1">
      <x:c r="B61" s="29" t="s">
        <x:v>284</x:v>
      </x:c>
      <x:c r="X61" s="120" t="n">
        <x:f t="shared" ref="X61:AI61" si="32">$M$40</x:f>
        <x:v>0.17</x:v>
      </x:c>
      <x:c r="Y61" s="120">
        <x:f t="shared" si="32"/>
        <x:v>0.17</x:v>
      </x:c>
      <x:c r="Z61" s="120">
        <x:f t="shared" si="32"/>
        <x:v>0.17</x:v>
      </x:c>
      <x:c r="AA61" s="120">
        <x:f t="shared" si="32"/>
        <x:v>0.17</x:v>
      </x:c>
      <x:c r="AB61" s="120">
        <x:f t="shared" si="32"/>
        <x:v>0.17</x:v>
      </x:c>
      <x:c r="AC61" s="120">
        <x:f t="shared" si="32"/>
        <x:v>0.17</x:v>
      </x:c>
      <x:c r="AD61" s="120">
        <x:f t="shared" si="32"/>
        <x:v>0.17</x:v>
      </x:c>
      <x:c r="AE61" s="120">
        <x:f t="shared" si="32"/>
        <x:v>0.17</x:v>
      </x:c>
      <x:c r="AF61" s="120">
        <x:f t="shared" si="32"/>
        <x:v>0.17</x:v>
      </x:c>
      <x:c r="AG61" s="120">
        <x:f t="shared" si="32"/>
        <x:v>0.17</x:v>
      </x:c>
      <x:c r="AH61" s="120">
        <x:f t="shared" si="32"/>
        <x:v>0.17</x:v>
      </x:c>
      <x:c r="AI61" s="120">
        <x:f t="shared" si="32"/>
        <x:v>0.17</x:v>
      </x:c>
    </x:row>
    <x:row r="62" ht="14.25" customHeight="1">
      <x:c r="AK62" s="79"/>
    </x:row>
    <x:row r="63" ht="14.25" customHeight="1">
      <x:c r="B63" s="127" t="s">
        <x:v>305</x:v>
      </x:c>
      <x:c r="C63" s="127"/>
      <x:c r="D63" s="127"/>
      <x:c r="E63" s="127"/>
      <x:c r="F63" s="127"/>
      <x:c r="G63" s="127"/>
      <x:c r="H63" s="127"/>
      <x:c r="I63" s="127"/>
      <x:c r="J63" s="127"/>
      <x:c r="K63" s="127"/>
      <x:c r="L63" s="127"/>
      <x:c r="M63" s="127"/>
      <x:c r="N63" s="127"/>
      <x:c r="O63" s="127"/>
      <x:c r="P63" s="127"/>
      <x:c r="Q63" s="127"/>
      <x:c r="R63" s="127"/>
      <x:c r="S63" s="127"/>
      <x:c r="T63" s="127"/>
      <x:c r="U63" s="127"/>
      <x:c r="V63" s="127"/>
      <x:c r="W63" s="127"/>
      <x:c r="X63" s="128" t="n">
        <x:f t="shared" ref="X63:AI63" si="33">X54-X60</x:f>
        <x:v>27701.200812523275</x:v>
      </x:c>
      <x:c r="Y63" s="128">
        <x:f t="shared" si="33"/>
        <x:v>31784.390607528909</x:v>
      </x:c>
      <x:c r="Z63" s="128">
        <x:f t="shared" si="33"/>
        <x:v>34642.83265001863</x:v>
      </x:c>
      <x:c r="AA63" s="128">
        <x:f t="shared" si="33"/>
        <x:v>37037.241893402912</x:v>
      </x:c>
      <x:c r="AB63" s="128">
        <x:f t="shared" si="33"/>
        <x:v>36550.93551994038</x:v>
      </x:c>
      <x:c r="AC63" s="128">
        <x:f t="shared" si="33"/>
        <x:v>38973.805441669778</x:v>
      </x:c>
      <x:c r="AD63" s="128">
        <x:f t="shared" si="33"/>
        <x:v>40273.097279165093</x:v>
      </x:c>
      <x:c r="AE63" s="128">
        <x:f t="shared" si="33"/>
        <x:v>41572.389116660459</x:v>
      </x:c>
      <x:c r="AF63" s="128">
        <x:f t="shared" si="33"/>
        <x:v>46029.668215620281</x:v>
      </x:c>
      <x:c r="AG63" s="128">
        <x:f t="shared" si="33"/>
        <x:v>49437.820703957797</x:v>
      </x:c>
      <x:c r="AH63" s="128">
        <x:f t="shared" si="33"/>
        <x:v>193375.68063269291</x:v>
      </x:c>
      <x:c r="AI63" s="128">
        <x:f t="shared" si="33"/>
        <x:v>200143.82945483713</x:v>
      </x:c>
    </x:row>
    <x:row r="64" ht="14.25" customHeight="1"/>
    <x:row r="65" ht="14.25" customHeight="1">
      <x:c r="B65" t="s">
        <x:v>286</x:v>
      </x:c>
      <x:c r="F65" s="125" t="n">
        <x:f t="shared" ref="F65:AI65" si="34">F23</x:f>
        <x:v>281</x:v>
      </x:c>
      <x:c r="G65" s="125">
        <x:f t="shared" si="34"/>
        <x:v>286</x:v>
      </x:c>
      <x:c r="H65" s="125">
        <x:f t="shared" si="34"/>
        <x:v>298</x:v>
      </x:c>
      <x:c r="I65" s="125">
        <x:f t="shared" si="34"/>
        <x:v>309</x:v>
      </x:c>
      <x:c r="J65" s="125">
        <x:f t="shared" si="34"/>
        <x:v>334</x:v>
      </x:c>
      <x:c r="K65" s="125">
        <x:f t="shared" si="34"/>
        <x:v>378</x:v>
      </x:c>
      <x:c r="L65" s="125">
        <x:f t="shared" si="34"/>
        <x:v>406</x:v>
      </x:c>
      <x:c r="M65" s="125">
        <x:f t="shared" si="34"/>
        <x:v>426</x:v>
      </x:c>
      <x:c r="N65" s="125">
        <x:f t="shared" si="34"/>
        <x:v>384</x:v>
      </x:c>
      <x:c r="O65" s="125">
        <x:f t="shared" si="34"/>
        <x:v>365</x:v>
      </x:c>
      <x:c r="P65" s="125">
        <x:f t="shared" si="34"/>
        <x:v>372</x:v>
      </x:c>
      <x:c r="Q65" s="125">
        <x:f t="shared" si="34"/>
        <x:v>387</x:v>
      </x:c>
      <x:c r="R65" s="125">
        <x:f t="shared" si="34"/>
        <x:v>410</x:v>
      </x:c>
      <x:c r="S65" s="125">
        <x:f t="shared" si="34"/>
        <x:v>433</x:v>
      </x:c>
      <x:c r="T65" s="125">
        <x:f t="shared" si="34"/>
        <x:v>478</x:v>
      </x:c>
      <x:c r="U65" s="125">
        <x:f t="shared" si="34"/>
        <x:v>543</x:v>
      </x:c>
      <x:c r="V65" s="125">
        <x:f t="shared" si="34"/>
        <x:v>611</x:v>
      </x:c>
      <x:c r="W65" s="125">
        <x:f t="shared" si="34"/>
        <x:v>669</x:v>
      </x:c>
      <x:c r="X65" s="125">
        <x:f t="shared" si="34"/>
        <x:v>750.73840359656856</x:v>
      </x:c>
      <x:c r="Y65" s="125">
        <x:f t="shared" si="34"/>
        <x:v>811.45783467389083</x:v>
      </x:c>
      <x:c r="Z65" s="125">
        <x:f t="shared" si="34"/>
        <x:v>885.60829198029796</x:v>
      </x:c>
      <x:c r="AA65" s="125">
        <x:f t="shared" si="34"/>
        <x:v>947.97551099776263</x:v>
      </x:c>
      <x:c r="AB65" s="125">
        <x:f t="shared" si="34"/>
        <x:v>937.09389252512415</x:v>
      </x:c>
      <x:c r="AC65" s="125">
        <x:f t="shared" si="34"/>
        <x:v>1011.1614422622162</x:v>
      </x:c>
      <x:c r="AD65" s="125">
        <x:f t="shared" si="34"/>
        <x:v>1042.2517807554686</x:v>
      </x:c>
      <x:c r="AE65" s="125">
        <x:f t="shared" si="34"/>
        <x:v>1073.342119248721</x:v>
      </x:c>
      <x:c r="AF65" s="125">
        <x:f t="shared" si="34"/>
        <x:v>1216.7489233475314</x:v>
      </x:c>
      <x:c r="AG65" s="125">
        <x:f t="shared" si="34"/>
        <x:v>1369.1473931866194</x:v>
      </x:c>
      <x:c r="AH65" s="125">
        <x:f t="shared" si="34"/>
        <x:v>5355.410195553869</x:v>
      </x:c>
      <x:c r="AI65" s="125">
        <x:f t="shared" si="34"/>
        <x:v>5542.8495523982538</x:v>
      </x:c>
    </x:row>
    <x:row r="66" ht="14.25" customHeight="1">
      <x:c r="B66" s="29" t="s">
        <x:v>281</x:v>
      </x:c>
      <x:c r="F66" s="114" t="n">
        <x:f t="shared" ref="F66:AI66" si="35">F26</x:f>
        <x:v>0.049637873167284935</x:v>
      </x:c>
      <x:c r="G66" s="114">
        <x:f t="shared" si="35"/>
        <x:v>4.3952666359305365E-2</x:v>
      </x:c>
      <x:c r="H66" s="114">
        <x:f t="shared" si="35"/>
        <x:v>4.1954103899760661E-2</x:v>
      </x:c>
      <x:c r="I66" s="114">
        <x:f t="shared" si="35"/>
        <x:v>4.0429150856993328E-2</x:v>
      </x:c>
      <x:c r="J66" s="114">
        <x:f t="shared" si="35"/>
        <x:v>4.0299227799227802E-2</x:v>
      </x:c>
      <x:c r="K66" s="114">
        <x:f t="shared" si="35"/>
        <x:v>5.6384248210023864E-2</x:v>
      </x:c>
      <x:c r="L66" s="114">
        <x:f t="shared" si="35"/>
        <x:v>6.8453886359804414E-2</x:v>
      </x:c>
      <x:c r="M66" s="114">
        <x:f t="shared" si="35"/>
        <x:v>7.0401586514625678E-2</x:v>
      </x:c>
      <x:c r="N66" s="114">
        <x:f t="shared" si="35"/>
        <x:v>5.3392658509454953E-2</x:v>
      </x:c>
      <x:c r="O66" s="114">
        <x:f t="shared" si="35"/>
        <x:v>2.7023025098097283E-2</x:v>
      </x:c>
      <x:c r="P66" s="114">
        <x:f t="shared" si="35"/>
        <x:v>2.052980132450331E-2</x:v>
      </x:c>
      <x:c r="Q66" s="114">
        <x:f t="shared" si="35"/>
        <x:v>1.7508935438628241E-2</x:v>
      </x:c>
      <x:c r="R66" s="114">
        <x:f t="shared" si="35"/>
        <x:v>1.5742589463984026E-2</x:v>
      </x:c>
      <x:c r="S66" s="114">
        <x:f t="shared" si="35"/>
        <x:v>1.4414114513981358E-2</x:v>
      </x:c>
      <x:c r="T66" s="114">
        <x:f t="shared" si="35"/>
        <x:v>1.3625220911008495E-2</x:v>
      </x:c>
      <x:c r="U66" s="114">
        <x:f t="shared" si="35"/>
        <x:v>1.3805903740052377E-2</x:v>
      </x:c>
      <x:c r="V66" s="114">
        <x:f t="shared" si="35"/>
        <x:v>1.3866824020698108E-2</x:v>
      </x:c>
      <x:c r="W66" s="114">
        <x:f t="shared" si="35"/>
        <x:v>1.4312303446505359E-2</x:v>
      </x:c>
      <x:c r="X66" s="126">
        <x:f t="shared" si="35"/>
        <x:v>1.3902563029566084E-2</x:v>
      </x:c>
      <x:c r="Y66" s="126">
        <x:f t="shared" si="35"/>
        <x:v>1.3902563029566085E-2</x:v>
      </x:c>
      <x:c r="Z66" s="126">
        <x:f t="shared" si="35"/>
        <x:v>1.3902563029566085E-2</x:v>
      </x:c>
      <x:c r="AA66" s="126">
        <x:f t="shared" si="35"/>
        <x:v>1.3902563029566085E-2</x:v>
      </x:c>
      <x:c r="AB66" s="126">
        <x:f t="shared" si="35"/>
        <x:v>1.3902563029566085E-2</x:v>
      </x:c>
      <x:c r="AC66" s="126">
        <x:f t="shared" si="35"/>
        <x:v>1.3902563029566085E-2</x:v>
      </x:c>
      <x:c r="AD66" s="126">
        <x:f t="shared" si="35"/>
        <x:v>1.3902563029566087E-2</x:v>
      </x:c>
      <x:c r="AE66" s="126">
        <x:f t="shared" si="35"/>
        <x:v>1.3902563029566085E-2</x:v>
      </x:c>
      <x:c r="AF66" s="126">
        <x:f t="shared" si="35"/>
        <x:v>1.3902563029566085E-2</x:v>
      </x:c>
      <x:c r="AG66" s="126">
        <x:f t="shared" si="35"/>
        <x:v>1.3902563029566085E-2</x:v>
      </x:c>
      <x:c r="AH66" s="126">
        <x:f t="shared" si="35"/>
        <x:v>1.3902563029566085E-2</x:v>
      </x:c>
      <x:c r="AI66" s="126">
        <x:f t="shared" si="35"/>
        <x:v>1.3902563029566085E-2</x:v>
      </x:c>
    </x:row>
    <x:row r="67" ht="14.25" customHeight="1">
      <x:c r="AK67" s="79"/>
    </x:row>
    <x:row r="68" ht="14.25" customHeight="1">
      <x:c r="B68" t="s">
        <x:v>289</x:v>
      </x:c>
      <x:c r="F68" s="125" t="n">
        <x:f t="shared" ref="F68:AI68" si="36">F28</x:f>
        <x:v>298</x:v>
      </x:c>
      <x:c r="G68" s="125">
        <x:f t="shared" si="36"/>
        <x:v>183</x:v>
      </x:c>
      <x:c r="H68" s="125">
        <x:f t="shared" si="36"/>
        <x:v>222</x:v>
      </x:c>
      <x:c r="I68" s="125">
        <x:f t="shared" si="36"/>
        <x:v>273</x:v>
      </x:c>
      <x:c r="J68" s="125">
        <x:f t="shared" si="36"/>
        <x:v>361</x:v>
      </x:c>
      <x:c r="K68" s="125">
        <x:f t="shared" si="36"/>
        <x:v>433</x:v>
      </x:c>
      <x:c r="L68" s="125">
        <x:f t="shared" si="36"/>
        <x:v>530</x:v>
      </x:c>
      <x:c r="M68" s="125">
        <x:f t="shared" si="36"/>
        <x:v>509</x:v>
      </x:c>
      <x:c r="N68" s="125">
        <x:f t="shared" si="36"/>
        <x:v>248</x:v>
      </x:c>
      <x:c r="O68" s="125">
        <x:f t="shared" si="36"/>
        <x:v>289</x:v>
      </x:c>
      <x:c r="P68" s="125">
        <x:f t="shared" si="36"/>
        <x:v>278</x:v>
      </x:c>
      <x:c r="Q68" s="125">
        <x:f t="shared" si="36"/>
        <x:v>254</x:v>
      </x:c>
      <x:c r="R68" s="125">
        <x:f t="shared" si="36"/>
        <x:v>369</x:v>
      </x:c>
      <x:c r="S68" s="125">
        <x:f t="shared" si="36"/>
        <x:v>977</x:v>
      </x:c>
      <x:c r="T68" s="125">
        <x:f t="shared" si="36"/>
        <x:v>813</x:v>
      </x:c>
      <x:c r="U68" s="125">
        <x:f t="shared" si="36"/>
        <x:v>1077</x:v>
      </x:c>
      <x:c r="V68" s="125">
        <x:f t="shared" si="36"/>
        <x:v>1227</x:v>
      </x:c>
      <x:c r="W68" s="125">
        <x:f t="shared" si="36"/>
        <x:v>1895</x:v>
      </x:c>
      <x:c r="X68" s="125">
        <x:f t="shared" si="36"/>
        <x:v>1846.4747620316011</x:v>
      </x:c>
      <x:c r="Y68" s="125">
        <x:f t="shared" si="36"/>
        <x:v>1995.8169250434748</x:v>
      </x:c>
      <x:c r="Z68" s="125">
        <x:f t="shared" si="36"/>
        <x:v>2178.1932992284819</x:v>
      </x:c>
      <x:c r="AA68" s="125">
        <x:f t="shared" si="36"/>
        <x:v>2331.5882705555782</x:v>
      </x:c>
      <x:c r="AB68" s="125">
        <x:f t="shared" si="36"/>
        <x:v>2304.8244420588267</x:v>
      </x:c>
      <x:c r="AC68" s="125">
        <x:f t="shared" si="36"/>
        <x:v>2486.9969013600489</x:v>
      </x:c>
      <x:c r="AD68" s="125">
        <x:f t="shared" si="36"/>
        <x:v>2563.4649827793392</x:v>
      </x:c>
      <x:c r="AE68" s="125">
        <x:f t="shared" si="36"/>
        <x:v>2639.9330641986289</x:v>
      </x:c>
      <x:c r="AF68" s="125">
        <x:f t="shared" si="36"/>
        <x:v>2992.6485283383322</x:v>
      </x:c>
      <x:c r="AG68" s="125">
        <x:f t="shared" si="36"/>
        <x:v>3367.479397495958</x:v>
      </x:c>
      <x:c r="AH68" s="125">
        <x:f t="shared" si="36"/>
        <x:v>13171.871478857884</x:v>
      </x:c>
      <x:c r="AI68" s="125">
        <x:f t="shared" si="36"/>
        <x:v>13632.886980617908</x:v>
      </x:c>
    </x:row>
    <x:row r="69" ht="14.25" customHeight="1">
      <x:c r="B69" s="29" t="s">
        <x:v>281</x:v>
      </x:c>
      <x:c r="F69" s="114" t="n">
        <x:f t="shared" ref="F69:AI69" si="37">F29</x:f>
        <x:v>0.05264087617028793</x:v>
      </x:c>
      <x:c r="G69" s="114">
        <x:f t="shared" si="37"/>
        <x:v>2.8123559243891195E-2</x:v>
      </x:c>
      <x:c r="H69" s="114">
        <x:f t="shared" si="37"/>
        <x:v>3.1254399549486132E-2</x:v>
      </x:c>
      <x:c r="I69" s="114">
        <x:f t="shared" si="37"/>
        <x:v>3.5718958524139734E-2</x:v>
      </x:c>
      <x:c r="J69" s="114">
        <x:f t="shared" si="37"/>
        <x:v>4.355694980694981E-2</x:v>
      </x:c>
      <x:c r="K69" s="114">
        <x:f t="shared" si="37"/>
        <x:v>6.4588305489260145E-2</x:v>
      </x:c>
      <x:c r="L69" s="114">
        <x:f t="shared" si="37"/>
        <x:v>8.9360984656887535E-2</x:v>
      </x:c>
      <x:c r="M69" s="114">
        <x:f t="shared" si="37"/>
        <x:v>8.4118327549165428E-2</x:v>
      </x:c>
      <x:c r="N69" s="114">
        <x:f t="shared" si="37"/>
        <x:v>3.4482758620689655E-2</x:v>
      </x:c>
      <x:c r="O69" s="114">
        <x:f t="shared" si="37"/>
        <x:v>2.1396313022877027E-2</x:v>
      </x:c>
      <x:c r="P69" s="114">
        <x:f t="shared" si="37"/>
        <x:v>1.5342163355408389E-2</x:v>
      </x:c>
      <x:c r="Q69" s="114">
        <x:f t="shared" si="37"/>
        <x:v>1.149165271682577E-2</x:v>
      </x:c>
      <x:c r="R69" s="114">
        <x:f t="shared" si="37"/>
        <x:v>1.4168330517585623E-2</x:v>
      </x:c>
      <x:c r="S69" s="114">
        <x:f t="shared" si="37"/>
        <x:v>3.2523302263648468E-2</x:v>
      </x:c>
      <x:c r="T69" s="114">
        <x:f t="shared" si="37"/>
        <x:v>2.3174277407217378E-2</x:v>
      </x:c>
      <x:c r="U69" s="114">
        <x:f t="shared" si="37"/>
        <x:v>2.7382980346291729E-2</x:v>
      </x:c>
      <x:c r="V69" s="114">
        <x:f t="shared" si="37"/>
        <x:v>2.7847124506377378E-2</x:v>
      </x:c>
      <x:c r="W69" s="114">
        <x:f t="shared" si="37"/>
        <x:v>4.0540829642941187E-2</x:v>
      </x:c>
      <x:c r="X69" s="126">
        <x:f t="shared" si="37"/>
        <x:v>3.4193977074659279E-2</x:v>
      </x:c>
      <x:c r="Y69" s="126">
        <x:f t="shared" si="37"/>
        <x:v>3.4193977074659279E-2</x:v>
      </x:c>
      <x:c r="Z69" s="126">
        <x:f t="shared" si="37"/>
        <x:v>3.4193977074659279E-2</x:v>
      </x:c>
      <x:c r="AA69" s="126">
        <x:f t="shared" si="37"/>
        <x:v>3.4193977074659279E-2</x:v>
      </x:c>
      <x:c r="AB69" s="126">
        <x:f t="shared" si="37"/>
        <x:v>3.4193977074659279E-2</x:v>
      </x:c>
      <x:c r="AC69" s="126">
        <x:f t="shared" si="37"/>
        <x:v>3.4193977074659279E-2</x:v>
      </x:c>
      <x:c r="AD69" s="126">
        <x:f t="shared" si="37"/>
        <x:v>3.4193977074659279E-2</x:v>
      </x:c>
      <x:c r="AE69" s="126">
        <x:f t="shared" si="37"/>
        <x:v>3.4193977074659279E-2</x:v>
      </x:c>
      <x:c r="AF69" s="126">
        <x:f t="shared" si="37"/>
        <x:v>3.4193977074659279E-2</x:v>
      </x:c>
      <x:c r="AG69" s="126">
        <x:f t="shared" si="37"/>
        <x:v>3.4193977074659279E-2</x:v>
      </x:c>
      <x:c r="AH69" s="126">
        <x:f t="shared" si="37"/>
        <x:v>3.4193977074659279E-2</x:v>
      </x:c>
      <x:c r="AI69" s="126">
        <x:f t="shared" si="37"/>
        <x:v>3.4193977074659279E-2</x:v>
      </x:c>
    </x:row>
    <x:row r="70" ht="14.25" customHeight="1"/>
    <x:row r="71" ht="14.25" customHeight="1">
      <x:c r="B71" t="s">
        <x:v>290</x:v>
      </x:c>
      <x:c r="F71" s="125" t="n">
        <x:f t="shared" ref="F71:AI71" si="38">F31</x:f>
        <x:v>887</x:v>
      </x:c>
      <x:c r="G71" s="125">
        <x:f t="shared" si="38"/>
        <x:v>249</x:v>
      </x:c>
      <x:c r="H71" s="125">
        <x:f t="shared" si="38"/>
        <x:v>192</x:v>
      </x:c>
      <x:c r="I71" s="125">
        <x:f t="shared" si="38"/>
        <x:v>390</x:v>
      </x:c>
      <x:c r="J71" s="125">
        <x:f t="shared" si="38"/>
        <x:v>389</x:v>
      </x:c>
      <x:c r="K71" s="125">
        <x:f t="shared" si="38"/>
        <x:v>382</x:v>
      </x:c>
      <x:c r="L71" s="125">
        <x:f t="shared" si="38"/>
        <x:v>417</x:v>
      </x:c>
      <x:c r="M71" s="125">
        <x:f t="shared" si="38"/>
        <x:v>-10</x:v>
      </x:c>
      <x:c r="N71" s="125">
        <x:f t="shared" si="38"/>
        <x:v>-911</x:v>
      </x:c>
      <x:c r="O71" s="125">
        <x:f t="shared" si="38"/>
        <x:v>136</x:v>
      </x:c>
      <x:c r="P71" s="125">
        <x:f t="shared" si="38"/>
        <x:v>2836</x:v>
      </x:c>
      <x:c r="Q71" s="125">
        <x:f t="shared" si="38"/>
        <x:v>2455</x:v>
      </x:c>
      <x:c r="R71" s="125">
        <x:f t="shared" si="38"/>
        <x:v>-662</x:v>
      </x:c>
      <x:c r="S71" s="125">
        <x:f t="shared" si="38"/>
        <x:v>2546</x:v>
      </x:c>
      <x:c r="T71" s="125">
        <x:f t="shared" si="38"/>
        <x:v>1810</x:v>
      </x:c>
      <x:c r="U71" s="125">
        <x:f t="shared" si="38"/>
        <x:v>6195</x:v>
      </x:c>
      <x:c r="V71" s="125">
        <x:f t="shared" si="38"/>
        <x:v>-9167</x:v>
      </x:c>
      <x:c r="W71" s="125">
        <x:f t="shared" si="38"/>
        <x:v>11469</x:v>
      </x:c>
      <x:c r="X71" s="125">
        <x:f t="shared" si="38"/>
        <x:v>1294.6432377052151</x:v>
      </x:c>
      <x:c r="Y71" s="125">
        <x:f t="shared" si="38"/>
        <x:v>3521.1074149229826</x:v>
      </x:c>
      <x:c r="Z71" s="125">
        <x:f t="shared" si="38"/>
        <x:v>2243.2152310139463</x:v>
      </x:c>
      <x:c r="AA71" s="125">
        <x:f t="shared" si="38"/>
        <x:v>2221.7366617567786</x:v>
      </x:c>
      <x:c r="AB71" s="125">
        <x:f t="shared" si="38"/>
        <x:v>-1150.9680549141376</x:v>
      </x:c>
      <x:c r="AC71" s="125">
        <x:f t="shared" si="38"/>
        <x:v>2537.8915917007034</x:v>
      </x:c>
      <x:c r="AD71" s="125">
        <x:f t="shared" si="38"/>
        <x:v>1328.8656231636487</x:v>
      </x:c>
      <x:c r="AE71" s="125">
        <x:f t="shared" si="38"/>
        <x:v>845.13170657942828</x:v>
      </x:c>
      <x:c r="AF71" s="125">
        <x:f t="shared" si="38"/>
        <x:v>4528.0936470187371</x:v>
      </x:c>
      <x:c r="AG71" s="125">
        <x:f t="shared" si="38"/>
        <x:v>4678.5706676458285</x:v>
      </x:c>
      <x:c r="AH71" s="125">
        <x:f t="shared" si="38"/>
        <x:v>6011.2760894031817</x:v>
      </x:c>
      <x:c r="AI71" s="125">
        <x:f t="shared" si="38"/>
        <x:v>1723.0697335598679</x:v>
      </x:c>
    </x:row>
    <x:row r="72" ht="14.25" customHeight="1">
      <x:c r="B72" s="29" t="s">
        <x:v>281</x:v>
      </x:c>
      <x:c r="F72" s="114" t="n">
        <x:f t="shared" ref="F72:AI72" si="39">F32</x:f>
        <x:v>0.15668609786256846</x:v>
      </x:c>
      <x:c r="G72" s="114">
        <x:f t="shared" si="39"/>
        <x:v>3.8266482249884742E-2</x:v>
      </x:c>
      <x:c r="H72" s="114">
        <x:f t="shared" si="39"/>
        <x:v>2.7030832042798818E-2</x:v>
      </x:c>
      <x:c r="I72" s="114">
        <x:f t="shared" si="39"/>
        <x:v>5.102708360591391E-2</x:v>
      </x:c>
      <x:c r="J72" s="114">
        <x:f t="shared" si="39"/>
        <x:v>4.6935328185328189E-2</x:v>
      </x:c>
      <x:c r="K72" s="114">
        <x:f t="shared" si="39"/>
        <x:v>5.6980906921241053E-2</x:v>
      </x:c>
      <x:c r="L72" s="114">
        <x:f t="shared" si="39"/>
        <x:v>7.0308548305513405E-2</x:v>
      </x:c>
      <x:c r="M72" s="114">
        <x:f t="shared" si="39"/>
        <x:v>-1.6526194017517765E-3</x:v>
      </x:c>
      <x:c r="N72" s="114">
        <x:f t="shared" si="39"/>
        <x:v>-0.12666852057842046</x:v>
      </x:c>
      <x:c r="O72" s="114">
        <x:f t="shared" si="39"/>
        <x:v>1.0068853187236248E-2</x:v>
      </x:c>
      <x:c r="P72" s="114">
        <x:f t="shared" si="39"/>
        <x:v>0.15651214128035321</x:v>
      </x:c>
      <x:c r="Q72" s="114">
        <x:f t="shared" si="39"/>
        <x:v>0.11107089535357191</x:v>
      </x:c>
      <x:c r="R72" s="114">
        <x:f t="shared" si="39"/>
        <x:v>-2.5418522500383966E-2</x:v>
      </x:c>
      <x:c r="S72" s="114">
        <x:f t="shared" si="39"/>
        <x:v>8.4753661784287615E-2</x:v>
      </x:c>
      <x:c r="T72" s="114">
        <x:f t="shared" si="39"/>
        <x:v>5.15934097257853E-2</x:v>
      </x:c>
      <x:c r="U72" s="114">
        <x:f t="shared" si="39"/>
        <x:v>0.15750934377463069</x:v>
      </x:c>
      <x:c r="V72" s="114">
        <x:f t="shared" si="39"/>
        <x:v>-0.20804775089646407</x:v>
      </x:c>
      <x:c r="W72" s="114">
        <x:f t="shared" si="39"/>
        <x:v>0.24536294204479814</x:v>
      </x:c>
      <x:c r="X72" s="126">
        <x:f t="shared" si="39"/>
        <x:v>2.3974874772318799E-2</x:v>
      </x:c>
      <x:c r="Y72" s="126">
        <x:f t="shared" si="39"/>
        <x:v>6.0326508264612784E-2</x:v>
      </x:c>
      <x:c r="Z72" s="126">
        <x:f t="shared" si="39"/>
        <x:v>3.5214712215847044E-2</x:v>
      </x:c>
      <x:c r="AA72" s="126">
        <x:f t="shared" si="39"/>
        <x:v>3.2582945041123815E-2</x:v>
      </x:c>
      <x:c r="AB72" s="126">
        <x:f t="shared" si="39"/>
        <x:v>-1.7075563138441722E-2</x:v>
      </x:c>
      <x:c r="AC72" s="126">
        <x:f t="shared" si="39"/>
        <x:v>3.4893733424889758E-2</x:v>
      </x:c>
      <x:c r="AD72" s="126">
        <x:f t="shared" si="39"/>
        <x:v>1.7725695868291091E-2</x:v>
      </x:c>
      <x:c r="AE72" s="126">
        <x:f t="shared" si="39"/>
        <x:v>1.0946646561516881E-2</x:v>
      </x:c>
      <x:c r="AF72" s="126">
        <x:f t="shared" si="39"/>
        <x:v>5.1737960168693892E-2</x:v>
      </x:c>
      <x:c r="AG72" s="126">
        <x:f t="shared" si="39"/>
        <x:v>4.7507028037235929E-2</x:v>
      </x:c>
      <x:c r="AH72" s="126">
        <x:f t="shared" si="39"/>
        <x:v>1.5605180867458846E-2</x:v>
      </x:c>
      <x:c r="AI72" s="126">
        <x:f t="shared" si="39"/>
        <x:v>4.3217997076592006E-3</x:v>
      </x:c>
      <x:c r="AK72" s="79"/>
    </x:row>
    <x:row r="73" ht="14.25" customHeight="1"/>
    <x:row r="74" ht="14.25" customHeight="1">
      <x:c r="B74" s="129" t="s">
        <x:v>306</x:v>
      </x:c>
      <x:c r="C74" s="46"/>
      <x:c r="D74" s="46"/>
      <x:c r="E74" s="46"/>
      <x:c r="F74" s="46"/>
      <x:c r="G74" s="46"/>
      <x:c r="H74" s="46"/>
      <x:c r="I74" s="46"/>
      <x:c r="J74" s="46"/>
      <x:c r="K74" s="46"/>
      <x:c r="L74" s="46"/>
      <x:c r="M74" s="46"/>
      <x:c r="N74" s="46"/>
      <x:c r="O74" s="46"/>
      <x:c r="P74" s="46"/>
      <x:c r="Q74" s="46"/>
      <x:c r="R74" s="46"/>
      <x:c r="S74" s="46"/>
      <x:c r="T74" s="46"/>
      <x:c r="U74" s="46"/>
      <x:c r="V74" s="46"/>
      <x:c r="W74" s="46"/>
      <x:c r="X74" s="81" t="n">
        <x:f t="shared" ref="X74:AI74" si="40">X63+X65-X68-X71</x:f>
        <x:v>25310.82121638303</x:v>
      </x:c>
      <x:c r="Y74" s="81">
        <x:f t="shared" si="40"/>
        <x:v>27078.924102236342</x:v>
      </x:c>
      <x:c r="Z74" s="81">
        <x:f t="shared" si="40"/>
        <x:v>31107.032411756507</x:v>
      </x:c>
      <x:c r="AA74" s="81">
        <x:f t="shared" si="40"/>
        <x:v>33431.892472088322</x:v>
      </x:c>
      <x:c r="AB74" s="81">
        <x:f t="shared" si="40"/>
        <x:v>36334.173025320822</x:v>
      </x:c>
      <x:c r="AC74" s="81">
        <x:f t="shared" si="40"/>
        <x:v>34960.07839087124</x:v>
      </x:c>
      <x:c r="AD74" s="81">
        <x:f t="shared" si="40"/>
        <x:v>37423.018453977573</x:v>
      </x:c>
      <x:c r="AE74" s="81">
        <x:f t="shared" si="40"/>
        <x:v>39160.666465131122</x:v>
      </x:c>
      <x:c r="AF74" s="81">
        <x:f t="shared" si="40"/>
        <x:v>39725.674963610742</x:v>
      </x:c>
      <x:c r="AG74" s="81">
        <x:f t="shared" si="40"/>
        <x:v>42760.918032002628</x:v>
      </x:c>
      <x:c r="AH74" s="81">
        <x:f t="shared" si="40"/>
        <x:v>179547.94325998571</x:v>
      </x:c>
      <x:c r="AI74" s="130">
        <x:f t="shared" si="40"/>
        <x:v>190330.7222930576</x:v>
      </x:c>
    </x:row>
    <x:row r="75" ht="14.25" customHeight="1">
      <x:c r="B75" s="101" t="s">
        <x:v>307</x:v>
      </x:c>
      <x:c r="C75" s="31"/>
      <x:c r="D75" s="31"/>
      <x:c r="E75" s="31"/>
      <x:c r="F75" s="31"/>
      <x:c r="G75" s="31"/>
      <x:c r="H75" s="31"/>
      <x:c r="I75" s="31"/>
      <x:c r="J75" s="31"/>
      <x:c r="K75" s="31"/>
      <x:c r="L75" s="31"/>
      <x:c r="M75" s="31"/>
      <x:c r="N75" s="31"/>
      <x:c r="O75" s="31"/>
      <x:c r="P75" s="31"/>
      <x:c r="X75" s="131" t="n">
        <x:f t="shared" ref="X75:AI75" si="41">0</x:f>
        <x:v>0</x:v>
      </x:c>
      <x:c r="Y75" s="131" t="n">
        <x:f t="shared" si="41">Y74*MAX(0,MIN(1,(Y76-$D$5)/(Y76-X76)))</x:f>
        <x:v>22020.22399522516</x:v>
      </x:c>
      <x:c r="Z75" s="131" t="n">
        <x:f t="shared" si="41">Z74</x:f>
        <x:v>31107.032411756507</x:v>
      </x:c>
      <x:c r="AA75" s="131" t="n">
        <x:f t="shared" si="41">AA74</x:f>
        <x:v>33431.89247208832</x:v>
      </x:c>
      <x:c r="AB75" s="131" t="n">
        <x:f t="shared" si="41">AB74</x:f>
        <x:v>36334.17302532082</x:v>
      </x:c>
      <x:c r="AC75" s="131" t="n">
        <x:f t="shared" si="41">AC74</x:f>
        <x:v>34960.07839087124</x:v>
      </x:c>
      <x:c r="AD75" s="131" t="n">
        <x:f t="shared" si="41">AD74</x:f>
        <x:v>37423.01845397757</x:v>
      </x:c>
      <x:c r="AE75" s="131" t="n">
        <x:f t="shared" si="41">AE74</x:f>
        <x:v>39160.66646513112</x:v>
      </x:c>
      <x:c r="AF75" s="131" t="n">
        <x:f t="shared" si="41">AF74</x:f>
        <x:v>39725.67496361074</x:v>
      </x:c>
      <x:c r="AG75" s="131" t="n">
        <x:f t="shared" si="41">AG74</x:f>
        <x:v>42760.91803200263</x:v>
      </x:c>
      <x:c r="AH75" s="131" t="n">
        <x:f t="shared" si="41">AH74</x:f>
        <x:v>179547.9432599857</x:v>
      </x:c>
      <x:c r="AI75" s="132" t="n">
        <x:f t="shared" si="41">AI74</x:f>
        <x:v>190330.7222930576</x:v>
      </x:c>
    </x:row>
    <x:row r="76" ht="14.25" customHeight="1">
      <x:c r="B76" t="s">
        <x:v>308</x:v>
      </x:c>
      <x:c r="Q76" s="46"/>
      <x:c r="R76" s="46"/>
      <x:c r="S76" s="46"/>
      <x:c r="T76" s="46"/>
      <x:c r="U76" s="46"/>
      <x:c r="V76" s="46"/>
      <x:c r="W76" s="46"/>
      <x:c r="X76" s="133">
        <x:v>45956</x:v>
      </x:c>
      <x:c r="Y76" s="133">
        <x:v>46047</x:v>
      </x:c>
      <x:c r="Z76" s="133">
        <x:v>46138</x:v>
      </x:c>
      <x:c r="AA76" s="133">
        <x:v>46229</x:v>
      </x:c>
      <x:c r="AB76" s="133">
        <x:v>46320</x:v>
      </x:c>
      <x:c r="AC76" s="133">
        <x:v>46418</x:v>
      </x:c>
      <x:c r="AD76" s="133">
        <x:v>46502</x:v>
      </x:c>
      <x:c r="AE76" s="133">
        <x:v>46593</x:v>
      </x:c>
      <x:c r="AF76" s="133">
        <x:v>46691</x:v>
      </x:c>
      <x:c r="AG76" s="133">
        <x:v>46782</x:v>
      </x:c>
      <x:c r="AH76" s="133">
        <x:v>47146</x:v>
      </x:c>
      <x:c r="AI76" s="133">
        <x:v>47510</x:v>
      </x:c>
    </x:row>
    <x:row r="77" ht="14.25" customHeight="1">
      <x:c r="B77" t="s">
        <x:v>309</x:v>
      </x:c>
      <x:c r="X77" s="134">
        <x:v>0</x:v>
      </x:c>
      <x:c r="Y77" s="134" t="n">
        <x:f t="shared" ref="Y77:AG77" si="42">MAX(0,(Y76-$D$5)/365/2)</x:f>
        <x:v>0.10136986301369863</x:v>
      </x:c>
      <x:c r="Z77" s="134">
        <x:f t="shared" si="42"/>
        <x:v>0.22602739726027396</x:v>
      </x:c>
      <x:c r="AA77" s="134">
        <x:f t="shared" si="42"/>
        <x:v>0.35068493150684932</x:v>
      </x:c>
      <x:c r="AB77" s="134">
        <x:f t="shared" si="42"/>
        <x:v>0.47534246575342465</x:v>
      </x:c>
      <x:c r="AC77" s="134">
        <x:f t="shared" si="42"/>
        <x:v>0.6095890410958904</x:v>
      </x:c>
      <x:c r="AD77" s="134">
        <x:f t="shared" si="42"/>
        <x:v>0.72465753424657531</x:v>
      </x:c>
      <x:c r="AE77" s="134">
        <x:f t="shared" si="42"/>
        <x:v>0.84931506849315064</x:v>
      </x:c>
      <x:c r="AF77" s="134">
        <x:f t="shared" si="42"/>
        <x:v>0.98356164383561639</x:v>
      </x:c>
      <x:c r="AG77" s="134">
        <x:f t="shared" si="42"/>
        <x:v>1.1082191780821917</x:v>
      </x:c>
      <x:c r="AH77" s="134" t="n">
        <x:f>(AH76-$D$5)/365-0.5</x:f>
        <x:v>2.713698630136986</x:v>
      </x:c>
      <x:c r="AI77" s="134" t="n">
        <x:f>(AI76-$D$5)/365-0.5</x:f>
        <x:v>3.7109589041095887</x:v>
      </x:c>
      <x:c r="AK77" s="79"/>
    </x:row>
    <x:row r="78" ht="14.25" customHeight="1">
      <x:c r="B78" t="s">
        <x:v>310</x:v>
      </x:c>
      <x:c r="X78" s="134" t="n">
        <x:f t="shared" ref="X78:AI78" si="43">1 / (1 + $D$42) ^ X77</x:f>
        <x:v>1</x:v>
      </x:c>
      <x:c r="Y78" s="134">
        <x:f t="shared" si="43"/>
        <x:v>0.98699915088944046</x:v>
      </x:c>
      <x:c r="Z78" s="134">
        <x:f t="shared" si="43"/>
        <x:v>0.97124311525390916</x:v>
      </x:c>
      <x:c r="AA78" s="134">
        <x:f t="shared" si="43"/>
        <x:v>0.95573860228556995</x:v>
      </x:c>
      <x:c r="AB78" s="134">
        <x:f t="shared" si="43"/>
        <x:v>0.94048159678329146</x:v>
      </x:c>
      <x:c r="AC78" s="134">
        <x:f t="shared" si="43"/>
        <x:v>0.92432324316878611</x:v>
      </x:c>
      <x:c r="AD78" s="134">
        <x:f t="shared" si="43"/>
        <x:v>0.91069436683400939</x:v>
      </x:c>
      <x:c r="AE78" s="134">
        <x:f t="shared" si="43"/>
        <x:v>0.89615642839304555</x:v>
      </x:c>
      <x:c r="AF78" s="134">
        <x:f t="shared" si="43"/>
        <x:v>0.8807596226358525</x:v>
      </x:c>
      <x:c r="AG78" s="134">
        <x:f t="shared" si="43"/>
        <x:v>0.86669954974918184</x:v>
      </x:c>
      <x:c r="AH78" s="134">
        <x:f t="shared" si="43"/>
        <x:v>0.7044637319008803</x:v>
      </x:c>
      <x:c r="AI78" s="134">
        <x:f t="shared" si="43"/>
        <x:v>0.61936695815952547</x:v>
      </x:c>
    </x:row>
    <x:row r="79" ht="14.25" customHeight="1"/>
    <x:row r="80" ht="14.25" customHeight="1">
      <x:c r="B80" t="s">
        <x:v>311</x:v>
      </x:c>
      <x:c r="E80" s="135" t="n">
        <x:f>(AI74*(1+D43))/(D42-D43)</x:f>
        <x:v>1916351.6225911647</x:v>
      </x:c>
    </x:row>
    <x:row r="81" ht="14.25" customHeight="1">
      <x:c r="B81" t="s">
        <x:v>312</x:v>
      </x:c>
      <x:c r="E81" s="135" t="n">
        <x:f>E80/(1+D42)^((AI76-$D$5)/365)</x:f>
        <x:v>1112733.4110598676</x:v>
      </x:c>
    </x:row>
    <x:row r="82" ht="14.25" customHeight="1">
      <x:c r="B82" t="s">
        <x:v>313</x:v>
      </x:c>
      <x:c r="E82" s="135" t="n">
        <x:f>E81+SUMPRODUCT(X75:AI75,X78:AI78)</x:f>
        <x:v>1648712.2574577853</x:v>
      </x:c>
      <x:c r="AK82" s="79"/>
    </x:row>
    <x:row r="83" ht="14.25" customHeight="1">
      <x:c r="B83" t="s">
        <x:v>314</x:v>
      </x:c>
      <x:c r="E83" s="135" t="n">
        <x:f>'Balance Sheet'!T11+'Balance Sheet'!T12</x:f>
        <x:v>56791</x:v>
      </x:c>
    </x:row>
    <x:row r="84" ht="14.25" customHeight="1">
      <x:c r="B84" t="s">
        <x:v>315</x:v>
      </x:c>
      <x:c r="E84" s="135" t="n">
        <x:f>Debt!U8</x:f>
        <x:v>8466</x:v>
      </x:c>
      <x:c r="U84" s="79"/>
    </x:row>
    <x:row r="85" ht="14.25" customHeight="1">
      <x:c r="B85" t="s">
        <x:v>316</x:v>
      </x:c>
      <x:c r="E85" s="135" t="n">
        <x:f>E82+E83-E84</x:f>
        <x:v>1697037.2574577853</x:v>
      </x:c>
    </x:row>
    <x:row r="86" ht="14.25" customHeight="1"/>
    <x:row r="87" ht="14.25" customHeight="1">
      <x:c r="B87" t="s">
        <x:v>317</x:v>
      </x:c>
      <x:c r="E87" s="25">
        <x:v>24532</x:v>
      </x:c>
      <x:c r="AK87" s="79"/>
    </x:row>
    <x:row r="88" ht="14.25" customHeight="1">
      <x:c r="B88" t="s">
        <x:v>318</x:v>
      </x:c>
      <x:c r="E88" s="136" t="n">
        <x:f>E85/E87</x:f>
        <x:v>69.1764738895233</x:v>
      </x:c>
    </x:row>
    <x:row r="89" ht="14.25" customHeight="1"/>
    <x:row r="90" ht="14.25" customHeight="1"/>
    <x:row r="91" ht="14.25" customHeight="1">
      <x:c r="B91" t="s">
        <x:v>319</x:v>
      </x:c>
    </x:row>
    <x:row r="92" ht="14.25" customHeight="1">
      <x:c r="B92" t="s">
        <x:v>320</x:v>
      </x:c>
      <x:c r="D92" s="91" t="n">
        <x:f>AVERAGE(T26:W26)</x:f>
        <x:v>0.013902563029566085</x:v>
      </x:c>
    </x:row>
    <x:row r="93" ht="14.25" customHeight="1">
      <x:c r="B93" t="s">
        <x:v>321</x:v>
      </x:c>
      <x:c r="D93" s="91" t="n">
        <x:f>AVERAGE(V29:W29)</x:f>
        <x:v>0.03419397707465928</x:v>
      </x:c>
    </x:row>
    <x:row r="94" ht="14.25" customHeight="1">
      <x:c r="B94" t="s">
        <x:v>322</x:v>
      </x:c>
      <x:c r="D94" s="91" t="n">
        <x:f>'Working Capital'!AF17/SUM(AD48:AG48)</x:f>
        <x:v>0.12780179135506514</x:v>
      </x:c>
    </x:row>
    <x:row r="95" ht="14.25" customHeight="1">
      <x:c r="B95" t="s">
        <x:v>323</x:v>
      </x:c>
      <x:c r="D95" s="20" t="n">
        <x:f>W25</x:f>
        <x:v>143</x:v>
      </x:c>
    </x:row>
    <x:row r="97" ht="14.25" customHeight="1">
      <x:c r="B97" t="s">
        <x:v>324</x:v>
      </x:c>
    </x:row>
    <x:row r="98" ht="14.25" customHeight="1">
      <x:c r="B98" t="s">
        <x:v>325</x:v>
      </x:c>
      <x:c r="X98" s="20" t="n">
        <x:f>'Balance Sheet'!T17</x:f>
        <x:v>9141</x:v>
      </x:c>
      <x:c r="Y98" t="n">
        <x:f t="shared" ref="Y98:AI98" si="44">X101</x:f>
        <x:v>10379.736358435033</x:v>
      </x:c>
      <x:c r="Z98">
        <x:f t="shared" si="44"/>
        <x:v>11707.095448804617</x:v>
      </x:c>
      <x:c r="AA98">
        <x:f t="shared" si="44"/>
        <x:v>13142.680456052802</x:v>
      </x:c>
      <x:c r="AB98">
        <x:f t="shared" si="44"/>
        <x:v>14669.293215610616</x:v>
      </x:c>
      <x:c r="AC98">
        <x:f t="shared" si="44"/>
        <x:v>16180.023765144317</x:v>
      </x:c>
      <x:c r="AD98">
        <x:f t="shared" si="44"/>
        <x:v>17798.859224242151</x:v>
      </x:c>
      <x:c r="AE98">
        <x:f t="shared" si="44"/>
        <x:v>19463.072426266022</x:v>
      </x:c>
      <x:c r="AF98">
        <x:f t="shared" si="44"/>
        <x:v>21172.663371215931</x:v>
      </x:c>
      <x:c r="AG98">
        <x:f t="shared" si="44"/>
        <x:v>23091.562976206733</x:v>
      </x:c>
      <x:c r="AH98">
        <x:f t="shared" si="44"/>
        <x:v>25232.89498051607</x:v>
      </x:c>
      <x:c r="AI98">
        <x:f t="shared" si="44"/>
        <x:v>33192.356263820082</x:v>
      </x:c>
    </x:row>
    <x:row r="99" ht="14.25" customHeight="1">
      <x:c r="B99" t="s">
        <x:v>326</x:v>
      </x:c>
      <x:c r="X99" s="105" t="n">
        <x:f t="shared" ref="X99:AI99" si="45">X28</x:f>
        <x:v>1846.4747620316011</x:v>
      </x:c>
      <x:c r="Y99" s="105">
        <x:f t="shared" si="45"/>
        <x:v>1995.8169250434748</x:v>
      </x:c>
      <x:c r="Z99" s="105">
        <x:f t="shared" si="45"/>
        <x:v>2178.1932992284819</x:v>
      </x:c>
      <x:c r="AA99" s="105">
        <x:f t="shared" si="45"/>
        <x:v>2331.5882705555782</x:v>
      </x:c>
      <x:c r="AB99" s="105">
        <x:f t="shared" si="45"/>
        <x:v>2304.8244420588267</x:v>
      </x:c>
      <x:c r="AC99" s="105">
        <x:f t="shared" si="45"/>
        <x:v>2486.9969013600489</x:v>
      </x:c>
      <x:c r="AD99" s="105">
        <x:f t="shared" si="45"/>
        <x:v>2563.4649827793392</x:v>
      </x:c>
      <x:c r="AE99" s="105">
        <x:f t="shared" si="45"/>
        <x:v>2639.9330641986289</x:v>
      </x:c>
      <x:c r="AF99" s="105">
        <x:f t="shared" si="45"/>
        <x:v>2992.6485283383322</x:v>
      </x:c>
      <x:c r="AG99" s="105">
        <x:f t="shared" si="45"/>
        <x:v>3367.479397495958</x:v>
      </x:c>
      <x:c r="AH99" s="27">
        <x:f t="shared" si="45"/>
        <x:v>13171.871478857884</x:v>
      </x:c>
      <x:c r="AI99" s="27">
        <x:f t="shared" si="45"/>
        <x:v>13632.886980617908</x:v>
      </x:c>
    </x:row>
    <x:row r="100" ht="14.25" customHeight="1">
      <x:c r="B100" t="s">
        <x:v>327</x:v>
      </x:c>
      <x:c r="X100" s="137" t="n">
        <x:f t="shared" ref="X100:AI100" si="46">X24</x:f>
        <x:v>607.7384035965686</x:v>
      </x:c>
      <x:c r="Y100" s="137">
        <x:f t="shared" si="46"/>
        <x:v>668.45783467389083</x:v>
      </x:c>
      <x:c r="Z100" s="137">
        <x:f t="shared" si="46"/>
        <x:v>742.60829198029796</x:v>
      </x:c>
      <x:c r="AA100" s="137">
        <x:f t="shared" si="46"/>
        <x:v>804.97551099776263</x:v>
      </x:c>
      <x:c r="AB100" s="137">
        <x:f t="shared" si="46"/>
        <x:v>794.09389252512415</x:v>
      </x:c>
      <x:c r="AC100" s="137">
        <x:f t="shared" si="46"/>
        <x:v>868.16144226221616</x:v>
      </x:c>
      <x:c r="AD100" s="137">
        <x:f t="shared" si="46"/>
        <x:v>899.25178075546864</x:v>
      </x:c>
      <x:c r="AE100" s="137">
        <x:f t="shared" si="46"/>
        <x:v>930.34211924872102</x:v>
      </x:c>
      <x:c r="AF100" s="137">
        <x:f t="shared" si="46"/>
        <x:v>1073.7489233475314</x:v>
      </x:c>
      <x:c r="AG100" s="137">
        <x:f t="shared" si="46"/>
        <x:v>1226.1473931866194</x:v>
      </x:c>
      <x:c r="AH100" s="137">
        <x:f t="shared" si="46"/>
        <x:v>5212.410195553869</x:v>
      </x:c>
      <x:c r="AI100" s="137">
        <x:f t="shared" si="46"/>
        <x:v>5399.8495523982538</x:v>
      </x:c>
    </x:row>
    <x:row r="101" ht="14.25" customHeight="1">
      <x:c r="B101" t="s">
        <x:v>328</x:v>
      </x:c>
      <x:c r="X101" t="n">
        <x:f t="shared" ref="X101:AI101" si="47">X98+X99-X100</x:f>
        <x:v>10379.736358435033</x:v>
      </x:c>
      <x:c r="Y101">
        <x:f t="shared" si="47"/>
        <x:v>11707.095448804617</x:v>
      </x:c>
      <x:c r="Z101">
        <x:f t="shared" si="47"/>
        <x:v>13142.680456052802</x:v>
      </x:c>
      <x:c r="AA101">
        <x:f t="shared" si="47"/>
        <x:v>14669.293215610616</x:v>
      </x:c>
      <x:c r="AB101">
        <x:f t="shared" si="47"/>
        <x:v>16180.023765144317</x:v>
      </x:c>
      <x:c r="AC101">
        <x:f t="shared" si="47"/>
        <x:v>17798.859224242151</x:v>
      </x:c>
      <x:c r="AD101">
        <x:f t="shared" si="47"/>
        <x:v>19463.072426266022</x:v>
      </x:c>
      <x:c r="AE101">
        <x:f t="shared" si="47"/>
        <x:v>21172.663371215931</x:v>
      </x:c>
      <x:c r="AF101">
        <x:f t="shared" si="47"/>
        <x:v>23091.562976206733</x:v>
      </x:c>
      <x:c r="AG101">
        <x:f t="shared" si="47"/>
        <x:v>25232.89498051607</x:v>
      </x:c>
      <x:c r="AH101">
        <x:f t="shared" si="47"/>
        <x:v>33192.356263820082</x:v>
      </x:c>
      <x:c r="AI101">
        <x:f t="shared" si="47"/>
        <x:v>41425.393692039732</x:v>
      </x:c>
    </x:row>
    <x:row r="104" ht="14.25" customHeight="1">
      <x:c r="B104" t="s">
        <x:v>329</x:v>
      </x:c>
    </x:row>
    <x:row r="105" ht="14.25" customHeight="1">
      <x:c r="C105" t="s">
        <x:v>330</x:v>
      </x:c>
      <x:c r="D105" s="91" t="n">
        <x:f>$D$43+(-0.01)</x:f>
        <x:v>0.025</x:v>
      </x:c>
      <x:c r="E105" s="91" t="n">
        <x:f>$D$43+(-0.005)</x:f>
        <x:v>0.030000000000000002</x:v>
      </x:c>
      <x:c r="F105" s="91" t="n">
        <x:f>$D$43+(0)</x:f>
        <x:v>0.035</x:v>
      </x:c>
      <x:c r="G105" s="91" t="n">
        <x:f>$D$43+(0.005)</x:f>
        <x:v>0.04</x:v>
      </x:c>
      <x:c r="H105" s="91" t="n">
        <x:f>$D$43+(0.01)</x:f>
        <x:v>0.045000000000000005</x:v>
      </x:c>
    </x:row>
    <x:row r="106" ht="14.25" customHeight="1">
      <x:c r="C106" s="91" t="n">
        <x:f>$D$42+(-0.01)</x:f>
        <x:v>0.1277954866168843</x:v>
      </x:c>
      <x:c r="D106" s="138" t="n">
        <x:f t="shared" ref="D106:H110" si="48">(SUMPRODUCT($X$75:$AI$75,1/(1+$C106)^$X$77:$AI$77)+($AI$74*(1+D$105)/($C106-D$105))/(1+$C106)^(($AI$76-$D$5)/365)+$E$83-$E$84)/$E$87</x:f>
        <x:v>70.79175066598263</x:v>
      </x:c>
      <x:c r="E106" s="138">
        <x:f t="shared" si="48"/>
        <x:v>51.214007947512542</x:v>
      </x:c>
      <x:c r="F106" s="138">
        <x:f t="shared" si="48"/>
        <x:v>54.119306474656874</x:v>
      </x:c>
      <x:c r="G106" s="138">
        <x:f t="shared" si="48"/>
        <x:v>57.355521617119059</x:v>
      </x:c>
      <x:c r="H106" s="138">
        <x:f t="shared" si="48"/>
        <x:v>60.982605305041595</x:v>
      </x:c>
    </x:row>
    <x:row r="107" ht="14.25" customHeight="1">
      <x:c r="C107" s="91" t="n">
        <x:f>$D$42+(-0.005)</x:f>
        <x:v>0.1327954866168843</x:v>
      </x:c>
      <x:c r="D107" s="138">
        <x:f t="shared" si="48"/>
        <x:v>45.608338953237649</x:v>
      </x:c>
      <x:c r="E107" s="138">
        <x:f t="shared" si="48"/>
        <x:v>47.954150105940656</x:v>
      </x:c>
      <x:c r="F107" s="138">
        <x:f t="shared" si="48"/>
        <x:v>50.539830319461629</x:v>
      </x:c>
      <x:c r="G107" s="138">
        <x:f t="shared" si="48"/>
        <x:v>53.404153418298399</x:v>
      </x:c>
      <x:c r="H107" s="138">
        <x:f t="shared" si="48"/>
        <x:v>56.594725987262912</x:v>
      </x:c>
    </x:row>
    <x:row r="108" ht="14.25" customHeight="1">
      <x:c r="C108" s="91" t="n">
        <x:f>$D$42+(0)</x:f>
        <x:v>0.13779548661688432</x:v>
      </x:c>
      <x:c r="D108" s="138">
        <x:f t="shared" si="48"/>
        <x:v>42.907630138822647</x:v>
      </x:c>
      <x:c r="E108" s="138">
        <x:f t="shared" si="48"/>
        <x:v>45.015451399880206</x:v>
      </x:c>
      <x:c r="F108" s="138">
        <x:f t="shared" si="48"/>
        <x:v>47.328322642257767</x:v>
      </x:c>
      <x:c r="G108" s="138">
        <x:f t="shared" si="48"/>
        <x:v>49.877694701021525</x:v>
      </x:c>
      <x:c r="H108" s="138">
        <x:f t="shared" si="48"/>
        <x:v>52.701796938127778</x:v>
      </x:c>
    </x:row>
    <x:row r="109" ht="14.25" customHeight="1">
      <x:c r="C109" s="91" t="n">
        <x:f>$D$42+(0.005)</x:f>
        <x:v>0.14279548661688432</x:v>
      </x:c>
      <x:c r="D109" s="138">
        <x:f t="shared" si="48"/>
        <x:v>40.45280457370967</x:v>
      </x:c>
      <x:c r="E109" s="138">
        <x:f t="shared" si="48"/>
        <x:v>42.354719325850049</x:v>
      </x:c>
      <x:c r="F109" s="138">
        <x:f t="shared" si="48"/>
        <x:v>44.433071404990933</x:v>
      </x:c>
      <x:c r="G109" s="138">
        <x:f t="shared" si="48"/>
        <x:v>46.713606687649978</x:v>
      </x:c>
      <x:c r="H109" s="138">
        <x:f t="shared" si="48"/>
        <x:v>49.227336298754174</x:v>
      </x:c>
    </x:row>
    <x:row r="110" ht="14.25" customHeight="1">
      <x:c r="C110" s="91" t="n">
        <x:f>$D$42+(0.01)</x:f>
        <x:v>0.14779548661688433</x:v>
      </x:c>
      <x:c r="D110" s="138">
        <x:f t="shared" si="48"/>
        <x:v>38.213398404711505</x:v>
      </x:c>
      <x:c r="E110" s="138">
        <x:f t="shared" si="48"/>
        <x:v>39.936109294200406</x:v>
      </x:c>
      <x:c r="F110" s="138">
        <x:f t="shared" si="48"/>
        <x:v>41.811548891296198</x:v>
      </x:c>
      <x:c r="G110" s="138">
        <x:f t="shared" si="48"/>
        <x:v>43.860969761259319</x:v>
      </x:c>
      <x:c r="H110" s="138">
        <x:f t="shared" si="48"/>
        <x:v>46.109759391214915</x:v>
      </x:c>
    </x:row>
    <x:row r="111" ht="14.25" customHeight="1">
      <x:c r="B111" t="s">
        <x:v>331</x:v>
      </x:c>
    </x:row>
    <x:row r="113" ht="14.25" customHeight="1">
      <x:c r="B113" t="s">
        <x:v>332</x:v>
      </x:c>
    </x:row>
    <x:row r="114" ht="14.25" customHeight="1">
      <x:c r="B114" t="s">
        <x:v>333</x:v>
      </x:c>
      <x:c r="D114" t="n">
        <x:f>AI54+AI65</x:f>
        <x:v>246679.99347388878</x:v>
      </x:c>
    </x:row>
    <x:row r="115" ht="14.25" customHeight="1">
      <x:c r="B115" t="s">
        <x:v>334</x:v>
      </x:c>
      <x:c r="D115" s="139" t="n">
        <x:f>E80/D114</x:f>
        <x:v>7.768573347209901</x:v>
      </x:c>
    </x:row>
    <x:row r="116" ht="14.25" customHeight="1">
      <x:c r="B116" t="s">
        <x:v>335</x:v>
      </x:c>
      <x:c r="D116">
        <x:v>20</x:v>
      </x:c>
    </x:row>
    <x:row r="117" ht="14.25" customHeight="1">
      <x:c r="B117" t="s">
        <x:v>336</x:v>
      </x:c>
      <x:c r="D117" t="n">
        <x:f>D116*D114</x:f>
        <x:v>4933599.869477776</x:v>
      </x:c>
    </x:row>
    <x:row r="118" ht="14.25" customHeight="1">
      <x:c r="B118" t="s">
        <x:v>337</x:v>
      </x:c>
      <x:c r="D118" t="n">
        <x:f>D117/(1+$D$42)^(($AI$76-$D$5)/365)</x:f>
        <x:v>2864704.6538075316</x:v>
      </x:c>
    </x:row>
    <x:row r="119" ht="14.25" customHeight="1">
      <x:c r="B119" t="s">
        <x:v>338</x:v>
      </x:c>
      <x:c r="D119" s="138" t="n">
        <x:f>(SUMPRODUCT($X$75:$AI$75,$X$78:$AI$78)+$E$81+$E$83-$E$84)/$E$87</x:f>
        <x:v>69.1764738895233</x:v>
      </x:c>
    </x:row>
    <x:row r="120" ht="14.25" customHeight="1">
      <x:c r="B120" t="s">
        <x:v>339</x:v>
      </x:c>
      <x:c r="D120" s="138" t="n">
        <x:f>J4</x:f>
        <x:v>69.1764738895233</x:v>
      </x:c>
    </x:row>
    <x:row r="121" ht="14.25" customHeight="1">
      <x:c r="A121" s="72"/>
      <x:c r="B121" s="72"/>
      <x:c r="C121" s="72"/>
      <x:c r="D121" s="72"/>
      <x:c r="E121" s="72"/>
      <x:c r="F121" s="72"/>
      <x:c r="G121" s="72"/>
      <x:c r="H121" s="72"/>
      <x:c r="I121" s="72"/>
      <x:c r="J121" s="72"/>
      <x:c r="K121" s="72"/>
      <x:c r="L121" s="72"/>
      <x:c r="M121" s="72"/>
      <x:c r="N121" s="72"/>
      <x:c r="O121" s="72"/>
      <x:c r="P121" s="72"/>
      <x:c r="Q121" s="72"/>
      <x:c r="R121" s="72"/>
      <x:c r="S121" s="72"/>
    </x:row>
    <x:row r="122" ht="14.25" customHeight="1">
      <x:c r="A122" s="72"/>
      <x:c r="B122" s="72"/>
      <x:c r="C122" s="72"/>
      <x:c r="D122" s="72"/>
      <x:c r="E122" s="72"/>
      <x:c r="F122" s="72"/>
      <x:c r="G122" s="72"/>
      <x:c r="H122" s="72"/>
      <x:c r="I122" s="72"/>
      <x:c r="J122" s="72"/>
      <x:c r="K122" s="72"/>
      <x:c r="L122" s="72"/>
      <x:c r="M122" s="72"/>
      <x:c r="N122" s="72"/>
      <x:c r="O122" s="72"/>
      <x:c r="P122" s="72"/>
      <x:c r="Q122" s="72"/>
      <x:c r="R122" s="72"/>
      <x:c r="S122" s="72"/>
    </x:row>
    <x:row r="123" ht="15" customHeight="1">
      <x:c r="A123" s="72"/>
      <x:c r="B123" s="73" t="s">
        <x:v>340</x:v>
      </x:c>
      <x:c r="C123" s="72"/>
      <x:c r="D123" s="72"/>
      <x:c r="E123" s="72"/>
      <x:c r="F123" s="72"/>
      <x:c r="G123" s="72"/>
      <x:c r="H123" s="72"/>
      <x:c r="I123" s="72"/>
      <x:c r="J123" s="72"/>
      <x:c r="K123" s="72"/>
      <x:c r="L123" s="72"/>
      <x:c r="M123" s="72"/>
      <x:c r="N123" s="72"/>
      <x:c r="O123" s="72"/>
      <x:c r="P123" s="72"/>
      <x:c r="Q123" s="72"/>
      <x:c r="R123" s="72"/>
      <x:c r="S123" s="72"/>
    </x:row>
    <x:row r="124" ht="14.25" customHeight="1">
      <x:c r="A124" s="72"/>
      <x:c r="B124" s="72"/>
      <x:c r="C124" s="72"/>
      <x:c r="D124" s="72"/>
      <x:c r="E124" s="72"/>
      <x:c r="F124" s="72"/>
      <x:c r="G124" s="72"/>
      <x:c r="H124" s="72"/>
      <x:c r="I124" s="72"/>
      <x:c r="J124" s="72"/>
      <x:c r="K124" s="72"/>
      <x:c r="L124" s="72"/>
      <x:c r="M124" s="72"/>
      <x:c r="N124" s="72"/>
      <x:c r="O124" s="72"/>
      <x:c r="P124" s="72"/>
      <x:c r="Q124" s="72"/>
      <x:c r="R124" s="72"/>
      <x:c r="S124" s="72"/>
    </x:row>
    <x:row r="125" ht="29" customHeight="1">
      <x:c r="A125" s="72"/>
      <x:c r="B125" s="158" t="s">
        <x:v>341</x:v>
      </x:c>
      <x:c r="C125" s="158"/>
      <x:c r="D125" s="158"/>
      <x:c r="E125" s="158"/>
      <x:c r="F125" s="158"/>
      <x:c r="G125" s="158"/>
      <x:c r="H125" s="158"/>
      <x:c r="I125" s="72"/>
      <x:c r="J125" s="72"/>
      <x:c r="K125" s="72"/>
      <x:c r="L125" s="72"/>
      <x:c r="M125" s="72"/>
      <x:c r="N125" s="72"/>
      <x:c r="O125" s="72"/>
      <x:c r="P125" s="72"/>
      <x:c r="Q125" s="72"/>
      <x:c r="R125" s="72"/>
      <x:c r="S125" s="72"/>
    </x:row>
    <x:row r="126" ht="29" customHeight="1">
      <x:c r="A126" s="72"/>
      <x:c r="B126" s="158"/>
      <x:c r="C126" s="158"/>
      <x:c r="D126" s="158"/>
      <x:c r="E126" s="158"/>
      <x:c r="F126" s="158"/>
      <x:c r="G126" s="158"/>
      <x:c r="H126" s="158"/>
      <x:c r="I126" s="72"/>
      <x:c r="J126" s="72"/>
      <x:c r="K126" s="72"/>
      <x:c r="L126" s="72"/>
      <x:c r="M126" s="72"/>
      <x:c r="N126" s="72"/>
      <x:c r="O126" s="72"/>
      <x:c r="P126" s="72"/>
      <x:c r="Q126" s="72"/>
      <x:c r="R126" s="72"/>
      <x:c r="S126" s="72"/>
    </x:row>
    <x:row r="127" ht="29" customHeight="1">
      <x:c r="A127" s="72"/>
      <x:c r="B127" s="158"/>
      <x:c r="C127" s="158"/>
      <x:c r="D127" s="158"/>
      <x:c r="E127" s="158"/>
      <x:c r="F127" s="158"/>
      <x:c r="G127" s="158"/>
      <x:c r="H127" s="158"/>
      <x:c r="I127" s="72"/>
      <x:c r="J127" s="72"/>
      <x:c r="K127" s="72"/>
      <x:c r="L127" s="72"/>
      <x:c r="M127" s="72"/>
      <x:c r="N127" s="72"/>
      <x:c r="O127" s="72"/>
      <x:c r="P127" s="72"/>
      <x:c r="Q127" s="72"/>
      <x:c r="R127" s="72"/>
      <x:c r="S127" s="72"/>
    </x:row>
    <x:row r="128" ht="14.25" customHeight="1">
      <x:c r="A128" s="72"/>
      <x:c r="B128" s="72"/>
      <x:c r="C128" s="72"/>
      <x:c r="D128" s="72"/>
      <x:c r="E128" s="72"/>
      <x:c r="F128" s="72"/>
      <x:c r="G128" s="72"/>
      <x:c r="H128" s="72"/>
      <x:c r="I128" s="72"/>
      <x:c r="J128" s="72"/>
      <x:c r="K128" s="72"/>
      <x:c r="L128" s="72"/>
      <x:c r="M128" s="72"/>
      <x:c r="N128" s="72"/>
      <x:c r="O128" s="72"/>
      <x:c r="P128" s="72"/>
      <x:c r="Q128" s="72"/>
      <x:c r="R128" s="72"/>
      <x:c r="S128" s="72"/>
    </x:row>
    <x:row r="129" ht="29" customHeight="1">
      <x:c r="A129" s="72"/>
      <x:c r="B129" s="158" t="s">
        <x:v>342</x:v>
      </x:c>
      <x:c r="C129" s="158"/>
      <x:c r="D129" s="158"/>
      <x:c r="E129" s="158"/>
      <x:c r="F129" s="158"/>
      <x:c r="G129" s="158"/>
      <x:c r="H129" s="158"/>
      <x:c r="I129" s="72"/>
      <x:c r="J129" s="72"/>
      <x:c r="K129" s="72"/>
      <x:c r="L129" s="72"/>
      <x:c r="M129" s="72"/>
      <x:c r="N129" s="72"/>
      <x:c r="O129" s="72"/>
      <x:c r="P129" s="72"/>
      <x:c r="Q129" s="72"/>
      <x:c r="R129" s="72"/>
      <x:c r="S129" s="72"/>
    </x:row>
    <x:row r="130" ht="29" customHeight="1">
      <x:c r="A130" s="72"/>
      <x:c r="B130" s="158"/>
      <x:c r="C130" s="158"/>
      <x:c r="D130" s="158"/>
      <x:c r="E130" s="158"/>
      <x:c r="F130" s="158"/>
      <x:c r="G130" s="158"/>
      <x:c r="H130" s="158"/>
      <x:c r="I130" s="72"/>
      <x:c r="J130" s="72"/>
      <x:c r="K130" s="72"/>
      <x:c r="L130" s="72"/>
      <x:c r="M130" s="72"/>
      <x:c r="N130" s="72"/>
      <x:c r="O130" s="72"/>
      <x:c r="P130" s="72"/>
      <x:c r="Q130" s="72"/>
      <x:c r="R130" s="72"/>
      <x:c r="S130" s="72"/>
    </x:row>
    <x:row r="131" ht="29" customHeight="1">
      <x:c r="A131" s="72"/>
      <x:c r="B131" s="158"/>
      <x:c r="C131" s="158"/>
      <x:c r="D131" s="158"/>
      <x:c r="E131" s="158"/>
      <x:c r="F131" s="158"/>
      <x:c r="G131" s="158"/>
      <x:c r="H131" s="158"/>
      <x:c r="I131" s="72"/>
      <x:c r="J131" s="72"/>
      <x:c r="K131" s="72"/>
      <x:c r="L131" s="72"/>
      <x:c r="M131" s="72"/>
      <x:c r="N131" s="72"/>
      <x:c r="O131" s="72"/>
      <x:c r="P131" s="72"/>
      <x:c r="Q131" s="72"/>
      <x:c r="R131" s="72"/>
      <x:c r="S131" s="72"/>
    </x:row>
    <x:row r="132" ht="14.25" customHeight="1">
      <x:c r="A132" s="72"/>
      <x:c r="B132" s="72"/>
      <x:c r="C132" s="72"/>
      <x:c r="D132" s="72"/>
      <x:c r="E132" s="72"/>
      <x:c r="F132" s="72"/>
      <x:c r="G132" s="72"/>
      <x:c r="H132" s="72"/>
      <x:c r="I132" s="72"/>
      <x:c r="J132" s="72"/>
      <x:c r="K132" s="72"/>
      <x:c r="L132" s="72"/>
      <x:c r="M132" s="72"/>
      <x:c r="N132" s="72"/>
      <x:c r="O132" s="72"/>
      <x:c r="P132" s="72"/>
      <x:c r="Q132" s="72"/>
      <x:c r="R132" s="72"/>
      <x:c r="S132" s="72"/>
    </x:row>
    <x:row r="133" ht="29" customHeight="1">
      <x:c r="A133" s="72"/>
      <x:c r="B133" s="158" t="s">
        <x:v>343</x:v>
      </x:c>
      <x:c r="C133" s="158"/>
      <x:c r="D133" s="158"/>
      <x:c r="E133" s="158"/>
      <x:c r="F133" s="158"/>
      <x:c r="G133" s="158"/>
      <x:c r="H133" s="158"/>
      <x:c r="I133" s="72"/>
      <x:c r="J133" s="72"/>
      <x:c r="K133" s="72"/>
      <x:c r="L133" s="72"/>
      <x:c r="M133" s="72"/>
      <x:c r="N133" s="72"/>
      <x:c r="O133" s="72"/>
      <x:c r="P133" s="72"/>
      <x:c r="Q133" s="72"/>
      <x:c r="R133" s="72"/>
      <x:c r="S133" s="72"/>
    </x:row>
    <x:row r="134" ht="29" customHeight="1">
      <x:c r="A134" s="72"/>
      <x:c r="B134" s="158"/>
      <x:c r="C134" s="158"/>
      <x:c r="D134" s="158"/>
      <x:c r="E134" s="158"/>
      <x:c r="F134" s="158"/>
      <x:c r="G134" s="158"/>
      <x:c r="H134" s="158"/>
      <x:c r="I134" s="72"/>
      <x:c r="J134" s="72"/>
      <x:c r="K134" s="72"/>
      <x:c r="L134" s="72"/>
      <x:c r="M134" s="72"/>
      <x:c r="N134" s="72"/>
      <x:c r="O134" s="72"/>
      <x:c r="P134" s="72"/>
      <x:c r="Q134" s="72"/>
      <x:c r="R134" s="72"/>
      <x:c r="S134" s="72"/>
    </x:row>
    <x:row r="135" ht="29" customHeight="1">
      <x:c r="A135" s="72"/>
      <x:c r="B135" s="158"/>
      <x:c r="C135" s="158"/>
      <x:c r="D135" s="158"/>
      <x:c r="E135" s="158"/>
      <x:c r="F135" s="158"/>
      <x:c r="G135" s="158"/>
      <x:c r="H135" s="158"/>
      <x:c r="I135" s="72"/>
      <x:c r="J135" s="72"/>
      <x:c r="K135" s="72"/>
      <x:c r="L135" s="72"/>
      <x:c r="M135" s="72"/>
      <x:c r="N135" s="72"/>
      <x:c r="O135" s="72"/>
      <x:c r="P135" s="72"/>
      <x:c r="Q135" s="72"/>
      <x:c r="R135" s="72"/>
      <x:c r="S135" s="72"/>
    </x:row>
    <x:row r="136" ht="14.25" customHeight="1">
      <x:c r="A136" s="72"/>
      <x:c r="B136" s="72"/>
      <x:c r="C136" s="72"/>
      <x:c r="D136" s="72"/>
      <x:c r="E136" s="72"/>
      <x:c r="F136" s="72"/>
      <x:c r="G136" s="72"/>
      <x:c r="H136" s="72"/>
      <x:c r="I136" s="72"/>
      <x:c r="J136" s="72"/>
      <x:c r="K136" s="72"/>
      <x:c r="L136" s="72"/>
      <x:c r="M136" s="72"/>
      <x:c r="N136" s="72"/>
      <x:c r="O136" s="72"/>
      <x:c r="P136" s="72"/>
      <x:c r="Q136" s="72"/>
      <x:c r="R136" s="72"/>
      <x:c r="S136" s="72"/>
    </x:row>
    <x:row r="137" ht="29" customHeight="1">
      <x:c r="A137" s="72"/>
      <x:c r="B137" s="158" t="s">
        <x:v>344</x:v>
      </x:c>
      <x:c r="C137" s="158"/>
      <x:c r="D137" s="158"/>
      <x:c r="E137" s="158"/>
      <x:c r="F137" s="158"/>
      <x:c r="G137" s="158"/>
      <x:c r="H137" s="158"/>
      <x:c r="I137" s="72"/>
      <x:c r="J137" s="72"/>
      <x:c r="K137" s="72"/>
      <x:c r="L137" s="72"/>
      <x:c r="M137" s="72"/>
      <x:c r="N137" s="72"/>
      <x:c r="O137" s="72"/>
      <x:c r="P137" s="72"/>
      <x:c r="Q137" s="72"/>
      <x:c r="R137" s="72"/>
      <x:c r="S137" s="72"/>
    </x:row>
    <x:row r="138" ht="29" customHeight="1">
      <x:c r="A138" s="72"/>
      <x:c r="B138" s="158"/>
      <x:c r="C138" s="158"/>
      <x:c r="D138" s="158"/>
      <x:c r="E138" s="158"/>
      <x:c r="F138" s="158"/>
      <x:c r="G138" s="158"/>
      <x:c r="H138" s="158"/>
      <x:c r="I138" s="72"/>
      <x:c r="J138" s="72"/>
      <x:c r="K138" s="72"/>
      <x:c r="L138" s="72"/>
      <x:c r="M138" s="72"/>
      <x:c r="N138" s="72"/>
      <x:c r="O138" s="72"/>
      <x:c r="P138" s="72"/>
      <x:c r="Q138" s="72"/>
      <x:c r="R138" s="72"/>
      <x:c r="S138" s="72"/>
    </x:row>
    <x:row r="139" ht="29" customHeight="1">
      <x:c r="A139" s="72"/>
      <x:c r="B139" s="158"/>
      <x:c r="C139" s="158"/>
      <x:c r="D139" s="158"/>
      <x:c r="E139" s="158"/>
      <x:c r="F139" s="158"/>
      <x:c r="G139" s="158"/>
      <x:c r="H139" s="158"/>
      <x:c r="I139" s="72"/>
      <x:c r="J139" s="72"/>
      <x:c r="K139" s="72"/>
      <x:c r="L139" s="72"/>
      <x:c r="M139" s="72"/>
      <x:c r="N139" s="72"/>
      <x:c r="O139" s="72"/>
      <x:c r="P139" s="72"/>
      <x:c r="Q139" s="72"/>
      <x:c r="R139" s="72"/>
      <x:c r="S139" s="72"/>
    </x:row>
    <x:row r="140" ht="14.25" customHeight="1">
      <x:c r="A140" s="72"/>
      <x:c r="B140" s="72"/>
      <x:c r="C140" s="72"/>
      <x:c r="D140" s="72"/>
      <x:c r="E140" s="72"/>
      <x:c r="F140" s="72"/>
      <x:c r="G140" s="72"/>
      <x:c r="H140" s="72"/>
      <x:c r="I140" s="72"/>
      <x:c r="J140" s="72"/>
      <x:c r="K140" s="72"/>
      <x:c r="L140" s="72"/>
      <x:c r="M140" s="72"/>
      <x:c r="N140" s="72"/>
      <x:c r="O140" s="72"/>
      <x:c r="P140" s="72"/>
      <x:c r="Q140" s="72"/>
      <x:c r="R140" s="72"/>
      <x:c r="S140" s="72"/>
    </x:row>
    <x:row r="141" ht="29" customHeight="1">
      <x:c r="A141" s="72"/>
      <x:c r="B141" s="158" t="s">
        <x:v>345</x:v>
      </x:c>
      <x:c r="C141" s="158"/>
      <x:c r="D141" s="158"/>
      <x:c r="E141" s="158"/>
      <x:c r="F141" s="158"/>
      <x:c r="G141" s="158"/>
      <x:c r="H141" s="158"/>
      <x:c r="I141" s="72"/>
      <x:c r="J141" s="72"/>
      <x:c r="K141" s="72"/>
      <x:c r="L141" s="72"/>
      <x:c r="M141" s="72"/>
      <x:c r="N141" s="72"/>
      <x:c r="O141" s="72"/>
      <x:c r="P141" s="72"/>
      <x:c r="Q141" s="72"/>
      <x:c r="R141" s="72"/>
      <x:c r="S141" s="72"/>
    </x:row>
    <x:row r="142" ht="29" customHeight="1">
      <x:c r="A142" s="72"/>
      <x:c r="B142" s="158"/>
      <x:c r="C142" s="158"/>
      <x:c r="D142" s="158"/>
      <x:c r="E142" s="158"/>
      <x:c r="F142" s="158"/>
      <x:c r="G142" s="158"/>
      <x:c r="H142" s="158"/>
      <x:c r="I142" s="72"/>
      <x:c r="J142" s="72"/>
      <x:c r="K142" s="72"/>
      <x:c r="L142" s="72"/>
      <x:c r="M142" s="72"/>
      <x:c r="N142" s="72"/>
      <x:c r="O142" s="72"/>
      <x:c r="P142" s="72"/>
      <x:c r="Q142" s="72"/>
      <x:c r="R142" s="72"/>
      <x:c r="S142" s="72"/>
    </x:row>
    <x:row r="143" ht="29" customHeight="1">
      <x:c r="A143" s="72"/>
      <x:c r="B143" s="158"/>
      <x:c r="C143" s="158"/>
      <x:c r="D143" s="158"/>
      <x:c r="E143" s="158"/>
      <x:c r="F143" s="158"/>
      <x:c r="G143" s="158"/>
      <x:c r="H143" s="158"/>
      <x:c r="I143" s="72"/>
      <x:c r="J143" s="72"/>
      <x:c r="K143" s="72"/>
      <x:c r="L143" s="72"/>
      <x:c r="M143" s="72"/>
      <x:c r="N143" s="72"/>
      <x:c r="O143" s="72"/>
      <x:c r="P143" s="72"/>
      <x:c r="Q143" s="72"/>
      <x:c r="R143" s="72"/>
      <x:c r="S143" s="72"/>
    </x:row>
    <x:row r="144" ht="14.25" customHeight="1">
      <x:c r="A144" s="72"/>
      <x:c r="B144" s="72"/>
      <x:c r="C144" s="72"/>
      <x:c r="D144" s="72"/>
      <x:c r="E144" s="72"/>
      <x:c r="F144" s="72"/>
      <x:c r="G144" s="72"/>
      <x:c r="H144" s="72"/>
      <x:c r="I144" s="72"/>
      <x:c r="J144" s="72"/>
      <x:c r="K144" s="72"/>
      <x:c r="L144" s="72"/>
      <x:c r="M144" s="72"/>
      <x:c r="N144" s="72"/>
      <x:c r="O144" s="72"/>
      <x:c r="P144" s="72"/>
      <x:c r="Q144" s="72"/>
      <x:c r="R144" s="72"/>
      <x:c r="S144" s="72"/>
    </x:row>
    <x:row r="145" ht="29" customHeight="1">
      <x:c r="A145" s="72"/>
      <x:c r="B145" s="158" t="s">
        <x:v>346</x:v>
      </x:c>
      <x:c r="C145" s="158"/>
      <x:c r="D145" s="158"/>
      <x:c r="E145" s="158"/>
      <x:c r="F145" s="158"/>
      <x:c r="G145" s="158"/>
      <x:c r="H145" s="158"/>
      <x:c r="I145" s="72"/>
      <x:c r="J145" s="72"/>
      <x:c r="K145" s="72"/>
      <x:c r="L145" s="72"/>
      <x:c r="M145" s="72"/>
      <x:c r="N145" s="72"/>
      <x:c r="O145" s="72"/>
      <x:c r="P145" s="72"/>
      <x:c r="Q145" s="72"/>
      <x:c r="R145" s="72"/>
      <x:c r="S145" s="72"/>
    </x:row>
    <x:row r="146" ht="29" customHeight="1">
      <x:c r="A146" s="72"/>
      <x:c r="B146" s="158"/>
      <x:c r="C146" s="158"/>
      <x:c r="D146" s="158"/>
      <x:c r="E146" s="158"/>
      <x:c r="F146" s="158"/>
      <x:c r="G146" s="158"/>
      <x:c r="H146" s="158"/>
      <x:c r="I146" s="72"/>
      <x:c r="J146" s="72"/>
      <x:c r="K146" s="72"/>
      <x:c r="L146" s="72"/>
      <x:c r="M146" s="72"/>
      <x:c r="N146" s="72"/>
      <x:c r="O146" s="72"/>
      <x:c r="P146" s="72"/>
      <x:c r="Q146" s="72"/>
      <x:c r="R146" s="72"/>
      <x:c r="S146" s="72"/>
    </x:row>
    <x:row r="147" ht="29" customHeight="1">
      <x:c r="A147" s="72"/>
      <x:c r="B147" s="158"/>
      <x:c r="C147" s="158"/>
      <x:c r="D147" s="158"/>
      <x:c r="E147" s="158"/>
      <x:c r="F147" s="158"/>
      <x:c r="G147" s="158"/>
      <x:c r="H147" s="158"/>
      <x:c r="I147" s="72"/>
      <x:c r="J147" s="72"/>
      <x:c r="K147" s="72"/>
      <x:c r="L147" s="72"/>
      <x:c r="M147" s="72"/>
      <x:c r="N147" s="72"/>
      <x:c r="O147" s="72"/>
      <x:c r="P147" s="72"/>
      <x:c r="Q147" s="72"/>
      <x:c r="R147" s="72"/>
      <x:c r="S147" s="72"/>
    </x:row>
    <x:row r="148" ht="14.25" customHeight="1">
      <x:c r="A148" s="72"/>
      <x:c r="B148" s="72"/>
      <x:c r="C148" s="72"/>
      <x:c r="D148" s="72"/>
      <x:c r="E148" s="72"/>
      <x:c r="F148" s="72"/>
      <x:c r="G148" s="72"/>
      <x:c r="H148" s="72"/>
      <x:c r="I148" s="72"/>
      <x:c r="J148" s="72"/>
      <x:c r="K148" s="72"/>
      <x:c r="L148" s="72"/>
      <x:c r="M148" s="72"/>
      <x:c r="N148" s="72"/>
      <x:c r="O148" s="72"/>
      <x:c r="P148" s="72"/>
      <x:c r="Q148" s="72"/>
      <x:c r="R148" s="72"/>
      <x:c r="S148" s="72"/>
    </x:row>
    <x:row r="149" ht="29" customHeight="1">
      <x:c r="A149" s="72"/>
      <x:c r="B149" s="158" t="s">
        <x:v>347</x:v>
      </x:c>
      <x:c r="C149" s="158"/>
      <x:c r="D149" s="158"/>
      <x:c r="E149" s="158"/>
      <x:c r="F149" s="158"/>
      <x:c r="G149" s="158"/>
      <x:c r="H149" s="158"/>
      <x:c r="I149" s="72"/>
      <x:c r="J149" s="72"/>
      <x:c r="K149" s="72"/>
      <x:c r="L149" s="72"/>
      <x:c r="M149" s="72"/>
      <x:c r="N149" s="72"/>
      <x:c r="O149" s="72"/>
      <x:c r="P149" s="72"/>
      <x:c r="Q149" s="72"/>
      <x:c r="R149" s="72"/>
      <x:c r="S149" s="72"/>
    </x:row>
    <x:row r="150" ht="29" customHeight="1">
      <x:c r="A150" s="72"/>
      <x:c r="B150" s="158"/>
      <x:c r="C150" s="158"/>
      <x:c r="D150" s="158"/>
      <x:c r="E150" s="158"/>
      <x:c r="F150" s="158"/>
      <x:c r="G150" s="158"/>
      <x:c r="H150" s="158"/>
      <x:c r="I150" s="72"/>
      <x:c r="J150" s="72"/>
      <x:c r="K150" s="72"/>
      <x:c r="L150" s="72"/>
      <x:c r="M150" s="72"/>
      <x:c r="N150" s="72"/>
      <x:c r="O150" s="72"/>
      <x:c r="P150" s="72"/>
      <x:c r="Q150" s="72"/>
      <x:c r="R150" s="72"/>
      <x:c r="S150" s="72"/>
    </x:row>
    <x:row r="151" ht="29" customHeight="1">
      <x:c r="A151" s="72"/>
      <x:c r="B151" s="158"/>
      <x:c r="C151" s="158"/>
      <x:c r="D151" s="158"/>
      <x:c r="E151" s="158"/>
      <x:c r="F151" s="158"/>
      <x:c r="G151" s="158"/>
      <x:c r="H151" s="158"/>
      <x:c r="I151" s="72"/>
      <x:c r="J151" s="72"/>
      <x:c r="K151" s="72"/>
      <x:c r="L151" s="72"/>
      <x:c r="M151" s="72"/>
      <x:c r="N151" s="72"/>
      <x:c r="O151" s="72"/>
      <x:c r="P151" s="72"/>
      <x:c r="Q151" s="72"/>
      <x:c r="R151" s="72"/>
      <x:c r="S151" s="72"/>
    </x:row>
    <x:row r="152" ht="14.25" customHeight="1">
      <x:c r="A152" s="72"/>
      <x:c r="B152" s="72"/>
      <x:c r="C152" s="72"/>
      <x:c r="D152" s="72"/>
      <x:c r="E152" s="72"/>
      <x:c r="F152" s="72"/>
      <x:c r="G152" s="72"/>
      <x:c r="H152" s="72"/>
      <x:c r="I152" s="72"/>
      <x:c r="J152" s="72"/>
      <x:c r="K152" s="72"/>
      <x:c r="L152" s="72"/>
      <x:c r="M152" s="72"/>
      <x:c r="N152" s="72"/>
      <x:c r="O152" s="72"/>
      <x:c r="P152" s="72"/>
      <x:c r="Q152" s="72"/>
      <x:c r="R152" s="72"/>
      <x:c r="S152" s="72"/>
    </x:row>
    <x:row r="153" ht="29" customHeight="1">
      <x:c r="A153" s="72"/>
      <x:c r="B153" s="158" t="s">
        <x:v>348</x:v>
      </x:c>
      <x:c r="C153" s="158"/>
      <x:c r="D153" s="158"/>
      <x:c r="E153" s="158"/>
      <x:c r="F153" s="158"/>
      <x:c r="G153" s="158"/>
      <x:c r="H153" s="158"/>
      <x:c r="I153" s="72"/>
      <x:c r="J153" s="72"/>
      <x:c r="K153" s="72"/>
      <x:c r="L153" s="72"/>
      <x:c r="M153" s="72"/>
      <x:c r="N153" s="72"/>
      <x:c r="O153" s="72"/>
      <x:c r="P153" s="72"/>
      <x:c r="Q153" s="72"/>
      <x:c r="R153" s="72"/>
      <x:c r="S153" s="72"/>
    </x:row>
    <x:row r="154" ht="29" customHeight="1">
      <x:c r="A154" s="72"/>
      <x:c r="B154" s="158"/>
      <x:c r="C154" s="158"/>
      <x:c r="D154" s="158"/>
      <x:c r="E154" s="158"/>
      <x:c r="F154" s="158"/>
      <x:c r="G154" s="158"/>
      <x:c r="H154" s="158"/>
      <x:c r="I154" s="72"/>
      <x:c r="J154" s="72"/>
      <x:c r="K154" s="72"/>
      <x:c r="L154" s="72"/>
      <x:c r="M154" s="72"/>
      <x:c r="N154" s="72"/>
      <x:c r="O154" s="72"/>
      <x:c r="P154" s="72"/>
      <x:c r="Q154" s="72"/>
      <x:c r="R154" s="72"/>
      <x:c r="S154" s="72"/>
    </x:row>
    <x:row r="155" ht="29" customHeight="1">
      <x:c r="A155" s="72"/>
      <x:c r="B155" s="158"/>
      <x:c r="C155" s="158"/>
      <x:c r="D155" s="158"/>
      <x:c r="E155" s="158"/>
      <x:c r="F155" s="158"/>
      <x:c r="G155" s="158"/>
      <x:c r="H155" s="158"/>
      <x:c r="I155" s="72"/>
      <x:c r="J155" s="72"/>
      <x:c r="K155" s="72"/>
      <x:c r="L155" s="72"/>
      <x:c r="M155" s="72"/>
      <x:c r="N155" s="72"/>
      <x:c r="O155" s="72"/>
      <x:c r="P155" s="72"/>
      <x:c r="Q155" s="72"/>
      <x:c r="R155" s="72"/>
      <x:c r="S155" s="72"/>
    </x:row>
    <x:row r="156" ht="14.25" customHeight="1">
      <x:c r="A156" s="72"/>
      <x:c r="B156" s="72"/>
      <x:c r="C156" s="72"/>
      <x:c r="D156" s="72"/>
      <x:c r="E156" s="72"/>
      <x:c r="F156" s="72"/>
      <x:c r="G156" s="72"/>
      <x:c r="H156" s="72"/>
      <x:c r="I156" s="72"/>
      <x:c r="J156" s="72"/>
      <x:c r="K156" s="72"/>
      <x:c r="L156" s="72"/>
      <x:c r="M156" s="72"/>
      <x:c r="N156" s="72"/>
      <x:c r="O156" s="72"/>
      <x:c r="P156" s="72"/>
      <x:c r="Q156" s="72"/>
      <x:c r="R156" s="72"/>
      <x:c r="S156" s="72"/>
    </x:row>
    <x:row r="157" ht="29" customHeight="1">
      <x:c r="A157" s="72"/>
      <x:c r="B157" s="158" t="s">
        <x:v>349</x:v>
      </x:c>
      <x:c r="C157" s="158"/>
      <x:c r="D157" s="158"/>
      <x:c r="E157" s="158"/>
      <x:c r="F157" s="158"/>
      <x:c r="G157" s="158"/>
      <x:c r="H157" s="158"/>
      <x:c r="I157" s="72"/>
      <x:c r="J157" s="72"/>
      <x:c r="K157" s="72"/>
      <x:c r="L157" s="72"/>
      <x:c r="M157" s="72"/>
      <x:c r="N157" s="72"/>
      <x:c r="O157" s="72"/>
      <x:c r="P157" s="72"/>
      <x:c r="Q157" s="72"/>
      <x:c r="R157" s="72"/>
      <x:c r="S157" s="72"/>
    </x:row>
    <x:row r="158" ht="29" customHeight="1">
      <x:c r="A158" s="72"/>
      <x:c r="B158" s="158"/>
      <x:c r="C158" s="158"/>
      <x:c r="D158" s="158"/>
      <x:c r="E158" s="158"/>
      <x:c r="F158" s="158"/>
      <x:c r="G158" s="158"/>
      <x:c r="H158" s="158"/>
      <x:c r="I158" s="72"/>
      <x:c r="J158" s="72"/>
      <x:c r="K158" s="72"/>
      <x:c r="L158" s="72"/>
      <x:c r="M158" s="72"/>
      <x:c r="N158" s="72"/>
      <x:c r="O158" s="72"/>
      <x:c r="P158" s="72"/>
      <x:c r="Q158" s="72"/>
      <x:c r="R158" s="72"/>
      <x:c r="S158" s="72"/>
    </x:row>
    <x:row r="159" ht="29" customHeight="1">
      <x:c r="A159" s="72"/>
      <x:c r="B159" s="158"/>
      <x:c r="C159" s="158"/>
      <x:c r="D159" s="158"/>
      <x:c r="E159" s="158"/>
      <x:c r="F159" s="158"/>
      <x:c r="G159" s="158"/>
      <x:c r="H159" s="158"/>
      <x:c r="I159" s="72"/>
      <x:c r="J159" s="72"/>
      <x:c r="K159" s="72"/>
      <x:c r="L159" s="72"/>
      <x:c r="M159" s="72"/>
      <x:c r="N159" s="72"/>
      <x:c r="O159" s="72"/>
      <x:c r="P159" s="72"/>
      <x:c r="Q159" s="72"/>
      <x:c r="R159" s="72"/>
      <x:c r="S159" s="72"/>
    </x:row>
    <x:row r="160" ht="14.25" customHeight="1">
      <x:c r="A160" s="72"/>
      <x:c r="B160" s="72"/>
      <x:c r="C160" s="72"/>
      <x:c r="D160" s="72"/>
      <x:c r="E160" s="72"/>
      <x:c r="F160" s="72"/>
      <x:c r="G160" s="72"/>
      <x:c r="H160" s="72"/>
      <x:c r="I160" s="72"/>
      <x:c r="J160" s="72"/>
      <x:c r="K160" s="72"/>
      <x:c r="L160" s="72"/>
      <x:c r="M160" s="72"/>
      <x:c r="N160" s="72"/>
      <x:c r="O160" s="72"/>
      <x:c r="P160" s="72"/>
      <x:c r="Q160" s="72"/>
      <x:c r="R160" s="72"/>
      <x:c r="S160" s="72"/>
    </x:row>
    <x:row r="161" ht="29" customHeight="1">
      <x:c r="A161" s="72"/>
      <x:c r="B161" s="158" t="s">
        <x:v>350</x:v>
      </x:c>
      <x:c r="C161" s="158"/>
      <x:c r="D161" s="158"/>
      <x:c r="E161" s="158"/>
      <x:c r="F161" s="158"/>
      <x:c r="G161" s="158"/>
      <x:c r="H161" s="158"/>
      <x:c r="I161" s="72"/>
      <x:c r="J161" s="72"/>
      <x:c r="K161" s="72"/>
      <x:c r="L161" s="72"/>
      <x:c r="M161" s="72"/>
      <x:c r="N161" s="72"/>
      <x:c r="O161" s="72"/>
      <x:c r="P161" s="72"/>
      <x:c r="Q161" s="72"/>
      <x:c r="R161" s="72"/>
      <x:c r="S161" s="72"/>
    </x:row>
    <x:row r="162" ht="29" customHeight="1">
      <x:c r="A162" s="72"/>
      <x:c r="B162" s="158"/>
      <x:c r="C162" s="158"/>
      <x:c r="D162" s="158"/>
      <x:c r="E162" s="158"/>
      <x:c r="F162" s="158"/>
      <x:c r="G162" s="158"/>
      <x:c r="H162" s="158"/>
      <x:c r="I162" s="72"/>
      <x:c r="J162" s="72"/>
      <x:c r="K162" s="72"/>
      <x:c r="L162" s="72"/>
      <x:c r="M162" s="72"/>
      <x:c r="N162" s="72"/>
      <x:c r="O162" s="72"/>
      <x:c r="P162" s="72"/>
      <x:c r="Q162" s="72"/>
      <x:c r="R162" s="72"/>
      <x:c r="S162" s="72"/>
    </x:row>
    <x:row r="163" ht="29" customHeight="1">
      <x:c r="A163" s="72"/>
      <x:c r="B163" s="158"/>
      <x:c r="C163" s="158"/>
      <x:c r="D163" s="158"/>
      <x:c r="E163" s="158"/>
      <x:c r="F163" s="158"/>
      <x:c r="G163" s="158"/>
      <x:c r="H163" s="158"/>
      <x:c r="I163" s="72"/>
      <x:c r="J163" s="72"/>
      <x:c r="K163" s="72"/>
      <x:c r="L163" s="72"/>
      <x:c r="M163" s="72"/>
      <x:c r="N163" s="72"/>
      <x:c r="O163" s="72"/>
      <x:c r="P163" s="72"/>
      <x:c r="Q163" s="72"/>
      <x:c r="R163" s="72"/>
      <x:c r="S163" s="72"/>
    </x:row>
    <x:row r="164" ht="14.25" customHeight="1">
      <x:c r="A164" s="72"/>
      <x:c r="B164" s="72"/>
      <x:c r="C164" s="72"/>
      <x:c r="D164" s="72"/>
      <x:c r="E164" s="72"/>
      <x:c r="F164" s="72"/>
      <x:c r="G164" s="72"/>
      <x:c r="H164" s="72"/>
      <x:c r="I164" s="72"/>
      <x:c r="J164" s="72"/>
      <x:c r="K164" s="72"/>
      <x:c r="L164" s="72"/>
      <x:c r="M164" s="72"/>
      <x:c r="N164" s="72"/>
      <x:c r="O164" s="72"/>
      <x:c r="P164" s="72"/>
      <x:c r="Q164" s="72"/>
      <x:c r="R164" s="72"/>
      <x:c r="S164" s="72"/>
    </x:row>
    <x:row r="165" ht="29" customHeight="1">
      <x:c r="A165" s="72"/>
      <x:c r="B165" s="158" t="s">
        <x:v>351</x:v>
      </x:c>
      <x:c r="C165" s="158"/>
      <x:c r="D165" s="158"/>
      <x:c r="E165" s="158"/>
      <x:c r="F165" s="158"/>
      <x:c r="G165" s="158"/>
      <x:c r="H165" s="158"/>
      <x:c r="I165" s="72"/>
      <x:c r="J165" s="72"/>
      <x:c r="K165" s="72"/>
      <x:c r="L165" s="72"/>
      <x:c r="M165" s="72"/>
      <x:c r="N165" s="72"/>
      <x:c r="O165" s="72"/>
      <x:c r="P165" s="72"/>
      <x:c r="Q165" s="72"/>
      <x:c r="R165" s="72"/>
      <x:c r="S165" s="72"/>
    </x:row>
    <x:row r="166" ht="29" customHeight="1">
      <x:c r="A166" s="72"/>
      <x:c r="B166" s="158"/>
      <x:c r="C166" s="158"/>
      <x:c r="D166" s="158"/>
      <x:c r="E166" s="158"/>
      <x:c r="F166" s="158"/>
      <x:c r="G166" s="158"/>
      <x:c r="H166" s="158"/>
      <x:c r="I166" s="72"/>
      <x:c r="J166" s="72"/>
      <x:c r="K166" s="72"/>
      <x:c r="L166" s="72"/>
      <x:c r="M166" s="72"/>
      <x:c r="N166" s="72"/>
      <x:c r="O166" s="72"/>
      <x:c r="P166" s="72"/>
      <x:c r="Q166" s="72"/>
      <x:c r="R166" s="72"/>
      <x:c r="S166" s="72"/>
    </x:row>
    <x:row r="167" ht="29" customHeight="1">
      <x:c r="A167" s="72"/>
      <x:c r="B167" s="158"/>
      <x:c r="C167" s="158"/>
      <x:c r="D167" s="158"/>
      <x:c r="E167" s="158"/>
      <x:c r="F167" s="158"/>
      <x:c r="G167" s="158"/>
      <x:c r="H167" s="158"/>
      <x:c r="I167" s="72"/>
      <x:c r="J167" s="72"/>
      <x:c r="K167" s="72"/>
      <x:c r="L167" s="72"/>
      <x:c r="M167" s="72"/>
      <x:c r="N167" s="72"/>
      <x:c r="O167" s="72"/>
      <x:c r="P167" s="72"/>
      <x:c r="Q167" s="72"/>
      <x:c r="R167" s="72"/>
      <x:c r="S167" s="72"/>
    </x:row>
  </x:sheetData>
  <x:mergeCells>
    <x:mergeCell ref="B125:H127"/>
    <x:mergeCell ref="B129:H131"/>
    <x:mergeCell ref="B133:H135"/>
    <x:mergeCell ref="B137:H139"/>
    <x:mergeCell ref="B141:H143"/>
    <x:mergeCell ref="B165:H167"/>
    <x:mergeCell ref="B145:H147"/>
    <x:mergeCell ref="B149:H151"/>
    <x:mergeCell ref="B153:H155"/>
    <x:mergeCell ref="B157:H159"/>
    <x:mergeCell ref="B161:H163"/>
  </x:mergeCells>
  <x:dataValidations count="1">
    <x:dataValidation type="list" error="Enter 1 (Conservative), 2 (Base), or 3 (Optimistic)." prompt="1=Conservative, 2=Base, 3=Optimistic" sqref="D37:D40">
      <x:formula1>"1,2,3"</x:formula1>
      <x:formula2>0</x:formula2>
    </x:dataValidation>
  </x:dataValidations>
  <x:pageMargins left="0.7" right="0.7" top="0.75" bottom="0.75" header="0.3" footer="0.3"/>
</x:worksheet>
</file>

<file path=xl/worksheets/sheet11.xml><?xml version="1.0" encoding="utf-8"?>
<x:worksheet xmlns:x="http://schemas.openxmlformats.org/spreadsheetml/2006/main">
  <x:sheetFormatPr defaultRowHeight="14.25"/>
  <x:cols>
    <x:col min="1" max="1" width="43" customWidth="1"/>
    <x:col min="2" max="2" width="100" customWidth="1"/>
    <x:col min="3" max="4" width="22" customWidth="1"/>
  </x:cols>
  <x:sheetData>
    <x:row r="1">
      <x:c r="A1" s="151" t="s">
        <x:v>352</x:v>
      </x:c>
      <x:c r="B1" s="151" t="s">
        <x:v>353</x:v>
      </x:c>
      <x:c r="C1" s="151"/>
      <x:c r="D1" s="151"/>
    </x:row>
    <x:row r="2">
      <x:c r="A2" s="152" t="s">
        <x:v>354</x:v>
      </x:c>
      <x:c r="B2" s="152" t="s">
        <x:v>355</x:v>
      </x:c>
    </x:row>
    <x:row r="3">
      <x:c r="A3" t="s">
        <x:v>356</x:v>
      </x:c>
      <x:c r="B3" s="138" t="n">
        <x:f>'DCF Valuation'!E88</x:f>
        <x:v>69.1764738895233</x:v>
      </x:c>
    </x:row>
    <x:row r="4">
      <x:c r="A4" t="s">
        <x:v>357</x:v>
      </x:c>
      <x:c r="B4" s="138" t="n">
        <x:f>SUMPRODUCT('DCF Valuation'!X75:AI75,1/(1+'DCF Valuation'!D42)^'DCF Valuation'!X77:AI77)+('DCF Valuation'!AI74*(1+'DCF Valuation'!D43)/('DCF Valuation'!D42-'DCF Valuation'!D43))/(1+'DCF Valuation'!D42)^(('DCF Valuation'!AI76-'DCF Valuation'!D5)/365)+'DCF Valuation'!E83-'DCF Valuation'!E84</x:f>
        <x:v>1697037.2574577853</x:v>
      </x:c>
    </x:row>
    <x:row r="5">
      <x:c r="A5" t="s">
        <x:v>358</x:v>
      </x:c>
      <x:c r="B5" s="138" t="n">
        <x:f>B4/'DCF Valuation'!E87</x:f>
        <x:v>69.1764738895233</x:v>
      </x:c>
    </x:row>
    <x:row r="6">
      <x:c r="A6" t="s">
        <x:v>359</x:v>
      </x:c>
      <x:c r="B6" s="138" t="n">
        <x:f>B5-B3</x:f>
        <x:v>0</x:v>
      </x:c>
    </x:row>
    <x:row r="7">
      <x:c r="A7" s="152" t="s">
        <x:v>360</x:v>
      </x:c>
      <x:c r="B7" s="152" t="s">
        <x:v>361</x:v>
      </x:c>
    </x:row>
    <x:row r="8">
      <x:c r="A8" t="s">
        <x:v>14</x:v>
      </x:c>
      <x:c r="B8" t="n">
        <x:f>'DCF Valuation'!D42</x:f>
        <x:v>0.13779548661688432</x:v>
      </x:c>
    </x:row>
    <x:row r="9">
      <x:c r="A9" t="s">
        <x:v>362</x:v>
      </x:c>
      <x:c r="B9" t="n">
        <x:f>'DCF Valuation'!D43</x:f>
        <x:v>0.035</x:v>
      </x:c>
    </x:row>
    <x:row r="10">
      <x:c r="A10" t="s">
        <x:v>19</x:v>
      </x:c>
      <x:c r="B10" t="n">
        <x:f>WACC!F13</x:f>
        <x:v>2</x:v>
      </x:c>
    </x:row>
    <x:row r="11">
      <x:c r="A11" t="s">
        <x:v>363</x:v>
      </x:c>
      <x:c r="B11" t="n">
        <x:f>WACC!F12</x:f>
        <x:v>0.0408</x:v>
      </x:c>
    </x:row>
    <x:row r="12">
      <x:c r="A12" t="s">
        <x:v>364</x:v>
      </x:c>
      <x:c r="B12" t="n">
        <x:f>'DCF Valuation'!AI48</x:f>
        <x:v>398692.63966726663</x:v>
      </x:c>
    </x:row>
    <x:row r="13">
      <x:c r="A13" t="s">
        <x:v>365</x:v>
      </x:c>
      <x:c r="B13" t="n">
        <x:f>'DCF Valuation'!AI74</x:f>
        <x:v>190330.7222930576</x:v>
      </x:c>
    </x:row>
    <x:row r="14">
      <x:c r="A14" t="s">
        <x:v>366</x:v>
      </x:c>
      <x:c r="B14" t="s">
        <x:v>367</x:v>
      </x:c>
    </x:row>
    <x:row r="15">
      <x:c r="A15" t="s">
        <x:v>368</x:v>
      </x:c>
      <x:c r="B15" t="s">
        <x:v>369</x:v>
      </x:c>
    </x:row>
    <x:row r="16">
      <x:c r="A16" t="s">
        <x:v>368</x:v>
      </x:c>
      <x:c r="B16" t="s">
        <x:v>370</x:v>
      </x:c>
    </x:row>
    <x:row r="17">
      <x:c r="A17" t="s">
        <x:v>371</x:v>
      </x:c>
      <x:c r="B17" t="s">
        <x:v>372</x:v>
      </x:c>
    </x:row>
    <x:row r="18">
      <x:c r="A18" t="s">
        <x:v>371</x:v>
      </x:c>
      <x:c r="B18" t="s">
        <x:v>373</x:v>
      </x:c>
    </x:row>
    <x:row r="19">
      <x:c r="A19" t="s">
        <x:v>371</x:v>
      </x:c>
      <x:c r="B19" t="s">
        <x:v>374</x:v>
      </x:c>
    </x:row>
    <x:row r="20">
      <x:c r="A20" t="s">
        <x:v>371</x:v>
      </x:c>
      <x:c r="B20" t="s">
        <x:v>375</x:v>
      </x:c>
    </x:row>
    <x:row r="22">
      <x:c r="A22" s="152" t="s">
        <x:v>376</x:v>
      </x:c>
      <x:c r="B22" s="153">
        <x:v>2.5000000000000001E-2</x:v>
      </x:c>
      <x:c r="C22" s="153">
        <x:v>3.5000000000000003E-2</x:v>
      </x:c>
      <x:c r="D22" s="153">
        <x:v>4.4999999999999998E-2</x:v>
      </x:c>
    </x:row>
    <x:row r="23">
      <x:c r="A23" s="91">
        <x:v>0.1</x:v>
      </x:c>
      <x:c r="B23" s="138" t="n">
        <x:f>(SUMPRODUCT('DCF Valuation'!$X$75:$AI$75,1/(1+$A23)^'DCF Valuation'!$X$77:$AI$77)+('DCF Valuation'!$AI$74*(1+B$22)/($A23-B$22))/(1+$A23)^(('DCF Valuation'!$AI$76-'DCF Valuation'!$D$5)/365)+'DCF Valuation'!$E$83-'DCF Valuation'!$E$84)/'DCF Valuation'!$E$87</x:f>
        <x:v>96.19463999874534</x:v>
      </x:c>
      <x:c r="C23" s="138" t="n">
        <x:f>(SUMPRODUCT('DCF Valuation'!$X$75:$AI$75,1/(1+$A23)^'DCF Valuation'!$X$77:$AI$77)+('DCF Valuation'!$AI$74*(1+C$22)/($A23-C$22))/(1+$A23)^(('DCF Valuation'!$AI$76-'DCF Valuation'!$D$5)/365)+'DCF Valuation'!$E$83-'DCF Valuation'!$E$84)/'DCF Valuation'!$E$87</x:f>
        <x:v>107.91365495984813</x:v>
      </x:c>
      <x:c r="D23" s="138" t="n">
        <x:f>(SUMPRODUCT('DCF Valuation'!$X$75:$AI$75,1/(1+$A23)^'DCF Valuation'!$X$77:$AI$77)+('DCF Valuation'!$AI$74*(1+D$22)/($A23-D$22))/(1+$A23)^(('DCF Valuation'!$AI$76-'DCF Valuation'!$D$5)/365)+'DCF Valuation'!$E$83-'DCF Valuation'!$E$84)/'DCF Valuation'!$E$87</x:f>
        <x:v>123.89412990680641</x:v>
      </x:c>
    </x:row>
    <x:row r="24">
      <x:c r="A24" s="91">
        <x:v>0.12</x:v>
      </x:c>
      <x:c r="B24" s="138" t="n">
        <x:f>(SUMPRODUCT('DCF Valuation'!$X$75:$AI$75,1/(1+$A24)^'DCF Valuation'!$X$77:$AI$77)+('DCF Valuation'!$AI$74*(1+B$22)/($A24-B$22))/(1+$A24)^(('DCF Valuation'!$AI$76-'DCF Valuation'!$D$5)/365)+'DCF Valuation'!$E$83-'DCF Valuation'!$E$84)/'DCF Valuation'!$E$87</x:f>
        <x:v>76.39554522151096</x:v>
      </x:c>
      <x:c r="C24" s="138" t="n">
        <x:f>(SUMPRODUCT('DCF Valuation'!$X$75:$AI$75,1/(1+$A24)^'DCF Valuation'!$X$77:$AI$77)+('DCF Valuation'!$AI$74*(1+C$22)/($A24-C$22))/(1+$A24)^(('DCF Valuation'!$AI$76-'DCF Valuation'!$D$5)/365)+'DCF Valuation'!$E$83-'DCF Valuation'!$E$84)/'DCF Valuation'!$E$87</x:f>
        <x:v>83.07277560009311</x:v>
      </x:c>
      <x:c r="D24" s="138" t="n">
        <x:f>(SUMPRODUCT('DCF Valuation'!$X$75:$AI$75,1/(1+$A24)^'DCF Valuation'!$X$77:$AI$77)+('DCF Valuation'!$AI$74*(1+D$22)/($A24-D$22))/(1+$A24)^(('DCF Valuation'!$AI$76-'DCF Valuation'!$D$5)/365)+'DCF Valuation'!$E$83-'DCF Valuation'!$E$84)/'DCF Valuation'!$E$87</x:f>
        <x:v>91.53060074629714</x:v>
      </x:c>
    </x:row>
    <x:row r="25">
      <x:c r="A25" s="91">
        <x:v>0.13779548661688432</x:v>
      </x:c>
      <x:c r="B25" s="138" t="n">
        <x:f>(SUMPRODUCT('DCF Valuation'!$X$75:$AI$75,1/(1+$A25)^'DCF Valuation'!$X$77:$AI$77)+('DCF Valuation'!$AI$74*(1+B$22)/($A25-B$22))/(1+$A25)^(('DCF Valuation'!$AI$76-'DCF Valuation'!$D$5)/365)+'DCF Valuation'!$E$83-'DCF Valuation'!$E$84)/'DCF Valuation'!$E$87</x:f>
        <x:v>64.75578138608816</x:v>
      </x:c>
      <x:c r="C25" s="138" t="n">
        <x:f>(SUMPRODUCT('DCF Valuation'!$X$75:$AI$75,1/(1+$A25)^'DCF Valuation'!$X$77:$AI$77)+('DCF Valuation'!$AI$74*(1+C$22)/($A25-C$22))/(1+$A25)^(('DCF Valuation'!$AI$76-'DCF Valuation'!$D$5)/365)+'DCF Valuation'!$E$83-'DCF Valuation'!$E$84)/'DCF Valuation'!$E$87</x:f>
        <x:v>69.1764738895233</x:v>
      </x:c>
      <x:c r="D25" s="138" t="n">
        <x:f>(SUMPRODUCT('DCF Valuation'!$X$75:$AI$75,1/(1+$A25)^'DCF Valuation'!$X$77:$AI$77)+('DCF Valuation'!$AI$74*(1+D$22)/($A25-D$22))/(1+$A25)^(('DCF Valuation'!$AI$76-'DCF Valuation'!$D$5)/365)+'DCF Valuation'!$E$83-'DCF Valuation'!$E$84)/'DCF Valuation'!$E$87</x:f>
        <x:v>74.5499481853933</x:v>
      </x:c>
    </x:row>
    <x:row r="26">
      <x:c r="A26" s="91">
        <x:v>0.15</x:v>
      </x:c>
      <x:c r="B26" s="138" t="n">
        <x:f>(SUMPRODUCT('DCF Valuation'!$X$75:$AI$75,1/(1+$A26)^'DCF Valuation'!$X$77:$AI$77)+('DCF Valuation'!$AI$74*(1+B$22)/($A26-B$22))/(1+$A26)^(('DCF Valuation'!$AI$76-'DCF Valuation'!$D$5)/365)+'DCF Valuation'!$E$83-'DCF Valuation'!$E$84)/'DCF Valuation'!$E$87</x:f>
        <x:v>58.72152237372146</x:v>
      </x:c>
      <x:c r="C26" s="138" t="n">
        <x:f>(SUMPRODUCT('DCF Valuation'!$X$75:$AI$75,1/(1+$A26)^'DCF Valuation'!$X$77:$AI$77)+('DCF Valuation'!$AI$74*(1+C$22)/($A26-C$22))/(1+$A26)^(('DCF Valuation'!$AI$76-'DCF Valuation'!$D$5)/365)+'DCF Valuation'!$E$83-'DCF Valuation'!$E$84)/'DCF Valuation'!$E$87</x:f>
        <x:v>62.16716169894954</x:v>
      </x:c>
      <x:c r="D26" s="138" t="n">
        <x:f>(SUMPRODUCT('DCF Valuation'!$X$75:$AI$75,1/(1+$A26)^'DCF Valuation'!$X$77:$AI$77)+('DCF Valuation'!$AI$74*(1+D$22)/($A26-D$22))/(1+$A26)^(('DCF Valuation'!$AI$76-'DCF Valuation'!$D$5)/365)+'DCF Valuation'!$E$83-'DCF Valuation'!$E$84)/'DCF Valuation'!$E$87</x:f>
        <x:v>66.269113276602</x:v>
      </x:c>
    </x:row>
    <x:row r="27">
      <x:c r="A27" s="91">
        <x:v>0.16</x:v>
      </x:c>
      <x:c r="B27" s="138" t="n">
        <x:f>(SUMPRODUCT('DCF Valuation'!$X$75:$AI$75,1/(1+$A27)^'DCF Valuation'!$X$77:$AI$77)+('DCF Valuation'!$AI$74*(1+B$22)/($A27-B$22))/(1+$A27)^(('DCF Valuation'!$AI$76-'DCF Valuation'!$D$5)/365)+'DCF Valuation'!$E$83-'DCF Valuation'!$E$84)/'DCF Valuation'!$E$87</x:f>
        <x:v>54.60732042390948</x:v>
      </x:c>
      <x:c r="C27" s="138" t="n">
        <x:f>(SUMPRODUCT('DCF Valuation'!$X$75:$AI$75,1/(1+$A27)^'DCF Valuation'!$X$77:$AI$77)+('DCF Valuation'!$AI$74*(1+C$22)/($A27-C$22))/(1+$A27)^(('DCF Valuation'!$AI$76-'DCF Valuation'!$D$5)/365)+'DCF Valuation'!$E$83-'DCF Valuation'!$E$84)/'DCF Valuation'!$E$87</x:f>
        <x:v>57.462018640736446</x:v>
      </x:c>
      <x:c r="D27" s="138" t="n">
        <x:f>(SUMPRODUCT('DCF Valuation'!$X$75:$AI$75,1/(1+$A27)^'DCF Valuation'!$X$77:$AI$77)+('DCF Valuation'!$AI$74*(1+D$22)/($A27-D$22))/(1+$A27)^(('DCF Valuation'!$AI$76-'DCF Valuation'!$D$5)/365)+'DCF Valuation'!$E$83-'DCF Valuation'!$E$84)/'DCF Valuation'!$E$87</x:f>
        <x:v>60.81318611266375</x:v>
      </x:c>
    </x:row>
    <x:row r="29">
      <x:c r="A29" s="152" t="s">
        <x:v>377</x:v>
      </x:c>
      <x:c r="B29" s="152" t="s">
        <x:v>378</x:v>
      </x:c>
    </x:row>
    <x:row r="30">
      <x:c r="A30" t="s">
        <x:v>379</x:v>
      </x:c>
      <x:c r="B30" t="s">
        <x:v>380</x:v>
      </x:c>
    </x:row>
    <x:row r="31">
      <x:c r="A31" t="s">
        <x:v>381</x:v>
      </x:c>
      <x:c r="B31" t="s">
        <x:v>382</x:v>
      </x:c>
    </x:row>
    <x:row r="32">
      <x:c r="A32" t="s">
        <x:v>383</x:v>
      </x:c>
      <x:c r="B32" t="s">
        <x:v>384</x:v>
      </x:c>
    </x:row>
    <x:row r="33">
      <x:c r="A33" t="s">
        <x:v>385</x:v>
      </x:c>
      <x:c r="B33" s="160" t="s">
        <x:v>386</x:v>
      </x:c>
    </x:row>
    <x:row r="34">
      <x:c r="A34" t="s">
        <x:v>387</x:v>
      </x:c>
      <x:c r="B34" s="14" t="s">
        <x:v>388</x:v>
      </x:c>
    </x:row>
    <x:row r="35">
      <x:c r="A35" t="s">
        <x:v>389</x:v>
      </x:c>
      <x:c r="B35" s="14" t="s">
        <x:v>390</x:v>
      </x:c>
    </x:row>
    <x:row r="36">
      <x:c r="A36" t="s">
        <x:v>391</x:v>
      </x:c>
      <x:c r="B36" s="154">
        <x:v>193.8</x:v>
      </x:c>
    </x:row>
    <x:row r="37">
      <x:c r="A37" t="s">
        <x:v>392</x:v>
      </x:c>
      <x:c r="B37" s="154" t="n">
        <x:f>B3/'DCF Valuation'!J5-1</x:f>
        <x:v>-0.6430522503120573</x:v>
      </x:c>
    </x:row>
    <x:row r="38">
      <x:c r="A38" t="s">
        <x:v>393</x:v>
      </x:c>
      <x:c r="B38" s="154" t="n">
        <x:f>'DCF Valuation'!E81/'DCF Valuation'!E82</x:f>
        <x:v>0.6749106195010858</x:v>
      </x:c>
    </x:row>
    <x:row r="39">
      <x:c r="A39" t="s">
        <x:v>394</x:v>
      </x:c>
      <x:c r="B39" s="154" t="n">
        <x:f>'DCF Valuation'!AI74/'DCF Valuation'!AI48</x:f>
        <x:v>0.47738709812125</x:v>
      </x:c>
    </x:row>
    <x:row r="40">
      <x:c r="A40" t="s">
        <x:v>395</x:v>
      </x:c>
      <x:c r="B40" s="14" t="s">
        <x:v>396</x:v>
      </x:c>
    </x:row>
    <x:row r="41">
      <x:c r="A41" t="s">
        <x:v>397</x:v>
      </x:c>
      <x:c r="B41" s="14" t="s">
        <x:v>398</x:v>
      </x:c>
    </x:row>
    <x:row r="42" ht="28.5">
      <x:c r="A42" t="s">
        <x:v>399</x:v>
      </x:c>
      <x:c r="B42" s="14" t="s">
        <x:v>400</x:v>
      </x:c>
    </x:row>
    <x:row r="43" ht="28.5">
      <x:c r="A43" t="s">
        <x:v>401</x:v>
      </x:c>
      <x:c r="B43" s="14" t="s">
        <x:v>402</x:v>
      </x:c>
    </x:row>
    <x:row r="44">
      <x:c r="A44" t="s">
        <x:v>403</x:v>
      </x:c>
      <x:c r="B44" s="14" t="s">
        <x:v>404</x:v>
      </x:c>
    </x:row>
    <x:row r="45">
      <x:c r="A45" t="s">
        <x:v>405</x:v>
      </x:c>
      <x:c r="B45" s="14" t="str">
        <x:v>FY2030 revenue is linked to the current model (see row 12); long-run growth remains a scenario, not management guidance.</x:v>
      </x:c>
    </x:row>
    <x:row r="46">
      <x:c r="A46" t="s">
        <x:v>406</x:v>
      </x:c>
      <x:c r="B46" s="14" t="s">
        <x:v>407</x:v>
      </x:c>
    </x:row>
    <x:row r="47">
      <x:c r="A47" t="s">
        <x:v>408</x:v>
      </x:c>
      <x:c r="B47" s="14" t="str">
        <x:v>Revenue and several source inputs have been spot-checked; a complete filing-by-filing audit is not represented.</x:v>
      </x:c>
    </x:row>
    <x:row r="48">
      <x:c r="A48" t="s">
        <x:v>409</x:v>
      </x:c>
      <x:c r="B48" s="14" t="s">
        <x:v>410</x:v>
      </x:c>
    </x:row>
    <x:row r="49">
      <x:c r="A49" t="s">
        <x:v>411</x:v>
      </x:c>
      <x:c r="B49" s="14" t="s">
        <x:v>412</x:v>
      </x:c>
    </x:row>
    <x:row r="50">
      <x:c r="A50" t="s">
        <x:v>413</x:v>
      </x:c>
      <x:c r="B50" s="14" t="s">
        <x:v>414</x:v>
      </x:c>
    </x:row>
  </x:sheetData>
  <x:hyperlinks>
    <x:hyperlink xmlns:r="http://schemas.openxmlformats.org/officeDocument/2006/relationships" ref="B33" r:id="R66ad250b4ff64ca7"/>
  </x:hyperlinks>
  <x:pageMargins left="0.7" right="0.7" top="0.75" bottom="0.75" header="0.3" footer="0.3"/>
</x:worksheet>
</file>

<file path=xl/worksheets/sheet12.xml><?xml version="1.0" encoding="utf-8"?>
<x:worksheet xmlns:x="http://schemas.openxmlformats.org/spreadsheetml/2006/main">
  <x:sheetFormatPr defaultRowHeight="15"/>
  <x:cols>
    <x:col min="1" max="1" width="45" hidden="0" customWidth="1"/>
    <x:col min="2" max="2" width="35" hidden="0" customWidth="1"/>
    <x:col min="3" max="3" width="35" hidden="0" customWidth="1"/>
  </x:cols>
  <x:sheetData>
    <x:row r="1">
      <x:c r="A1" s="318" t="str">
        <x:v>NVIDIA | Growth and Valuation Comparison</x:v>
      </x:c>
      <x:c r="B1" s="318" t="str"/>
      <x:c r="C1" s="318"/>
    </x:row>
    <x:row r="2">
      <x:c r="A2" t="str">
        <x:v>Valuation date</x:v>
      </x:c>
      <x:c r="B2" t="str">
        <x:v>2025-11-12</x:v>
      </x:c>
    </x:row>
    <x:row r="3">
      <x:c r="A3" t="str">
        <x:v>Purpose</x:v>
      </x:c>
      <x:c r="B3" t="str">
        <x:v>Illustrative comparison; original DCF assumptions remain unchanged</x:v>
      </x:c>
    </x:row>
    <x:row r="4">
      <x:c r="A4" s="320" t="str">
        <x:v>Metric</x:v>
      </x:c>
      <x:c r="B4" s="320" t="str">
        <x:v>Original DCF</x:v>
      </x:c>
      <x:c r="C4" s="320" t="str">
        <x:v>Higher FCF scenario</x:v>
      </x:c>
    </x:row>
    <x:row r="5">
      <x:c r="A5" t="str">
        <x:v>FY2030 free cash flow ($ millions)</x:v>
      </x:c>
      <x:c r="B5" s="321" t="n">
        <x:f>'DCF Valuation'!AH74</x:f>
        <x:v>179547.9432599857</x:v>
      </x:c>
      <x:c r="C5" s="321" t="n">
        <x:v>249210</x:v>
      </x:c>
    </x:row>
    <x:row r="6">
      <x:c r="A6" t="str">
        <x:v>FY2030 FCF scaling factor</x:v>
      </x:c>
      <x:c r="B6" s="321" t="n">
        <x:f>B5/B5</x:f>
        <x:v>1</x:v>
      </x:c>
      <x:c r="C6" s="321" t="n">
        <x:f>C5/B5</x:f>
        <x:v>1.3879858241491718</x:v>
      </x:c>
    </x:row>
    <x:row r="7">
      <x:c r="A7" t="str">
        <x:v>WACC</x:v>
      </x:c>
      <x:c r="B7" s="322" t="n">
        <x:f>'DCF Valuation'!D42</x:f>
        <x:v>0.13779548661688432</x:v>
      </x:c>
      <x:c r="C7" s="322" t="n">
        <x:f>B7</x:f>
        <x:v>0.13779548661688432</x:v>
      </x:c>
    </x:row>
    <x:row r="8">
      <x:c r="A8" t="str">
        <x:v>Terminal growth</x:v>
      </x:c>
      <x:c r="B8" s="322" t="n">
        <x:f>'DCF Valuation'!D43</x:f>
        <x:v>0.035</x:v>
      </x:c>
      <x:c r="C8" s="322" t="n">
        <x:f>B8</x:f>
        <x:v>0.035</x:v>
      </x:c>
    </x:row>
    <x:row r="9">
      <x:c r="A9" t="str">
        <x:v>Shares outstanding (millions)</x:v>
      </x:c>
      <x:c r="B9" s="321" t="n">
        <x:f>'DCF Valuation'!E87</x:f>
        <x:v>24532</x:v>
      </x:c>
      <x:c r="C9" s="321" t="n">
        <x:f>B9</x:f>
        <x:v>24532</x:v>
      </x:c>
    </x:row>
    <x:row r="10">
      <x:c r="A10" t="str">
        <x:v>Cash ($ millions)</x:v>
      </x:c>
      <x:c r="B10" s="321" t="n">
        <x:f>'DCF Valuation'!E83</x:f>
        <x:v>56791</x:v>
      </x:c>
      <x:c r="C10" s="321" t="n">
        <x:f>B10</x:f>
        <x:v>56791</x:v>
      </x:c>
    </x:row>
    <x:row r="11">
      <x:c r="A11" t="str">
        <x:v>Debt ($ millions)</x:v>
      </x:c>
      <x:c r="B11" s="321" t="n">
        <x:f>'DCF Valuation'!E84</x:f>
        <x:v>8466</x:v>
      </x:c>
      <x:c r="C11" s="321" t="n">
        <x:f>B11</x:f>
        <x:v>8466</x:v>
      </x:c>
    </x:row>
    <x:row r="12">
      <x:c r="A12" t="str">
        <x:v>Present value of terminal value ($ millions)</x:v>
      </x:c>
      <x:c r="B12" s="321" t="n">
        <x:f>'DCF Valuation'!E81</x:f>
        <x:v>1112733.4110598676</x:v>
      </x:c>
      <x:c r="C12" s="321" t="n">
        <x:f>B12*C6</x:f>
        <x:v>1544458.2006082495</x:v>
      </x:c>
    </x:row>
    <x:row r="13">
      <x:c r="A13" t="str">
        <x:v>Present value of forecast FCF ($ millions)</x:v>
      </x:c>
      <x:c r="B13" s="321" t="n">
        <x:f>SUMPRODUCT('DCF Valuation'!X75:AI75,'DCF Valuation'!X78:AI78)</x:f>
        <x:v>535978.8463979176</x:v>
      </x:c>
      <x:c r="C13" s="321" t="n">
        <x:f>SUMPRODUCT('DCF Valuation'!X75:AI75,'DCF Valuation'!X78:AI78)*C6</x:f>
        <x:v>743931.040844136</x:v>
      </x:c>
    </x:row>
    <x:row r="14">
      <x:c r="A14" t="str">
        <x:v>Equity value ($ millions)</x:v>
      </x:c>
      <x:c r="B14" s="321" t="n">
        <x:f>B12+B13+B10-B11</x:f>
        <x:v>1697037.2574577853</x:v>
      </x:c>
      <x:c r="C14" s="321" t="n">
        <x:f>C12+C13+C10-C11</x:f>
        <x:v>2336714.2414523857</x:v>
      </x:c>
    </x:row>
    <x:row r="15">
      <x:c r="A15" s="320" t="str">
        <x:v>Implied share price ($/share)</x:v>
      </x:c>
      <x:c r="B15" s="323" t="n">
        <x:f>B14/B9</x:f>
        <x:v>69.1764738895233</x:v>
      </x:c>
      <x:c r="C15" s="323" t="n">
        <x:f>C14/C9</x:f>
        <x:v>95.25168112882707</x:v>
      </x:c>
    </x:row>
    <x:row r="16">
      <x:c r="A16" t="str">
        <x:v>Reference market price ($/share)</x:v>
      </x:c>
      <x:c r="B16" s="324" t="n">
        <x:v>193.8</x:v>
      </x:c>
      <x:c r="C16" s="324" t="n">
        <x:v>193.8</x:v>
      </x:c>
    </x:row>
    <x:row r="17">
      <x:c r="A17" t="str">
        <x:v>Upside/(downside)</x:v>
      </x:c>
      <x:c r="B17" s="188" t="n">
        <x:f>B15/B16-1</x:f>
        <x:v>-0.6430522503120573</x:v>
      </x:c>
      <x:c r="C17" s="188" t="n">
        <x:f>C15/C16-1</x:f>
        <x:v>-0.5085052573331936</x:v>
      </x:c>
    </x:row>
    <x:row r="18">
      <x:c r="A18" t="str"/>
      <x:c r="B18" t="str"/>
      <x:c r="C18" t="str"/>
    </x:row>
    <x:row r="19">
      <x:c r="A19" t="str">
        <x:v>Methodology</x:v>
      </x:c>
      <x:c r="B19" t="str"/>
    </x:row>
    <x:row r="20">
      <x:c r="A20" t="str">
        <x:v>Original case</x:v>
      </x:c>
      <x:c r="B20" t="str">
        <x:v>Existing forecast and WACC from your workbook.</x:v>
      </x:c>
    </x:row>
    <x:row r="21">
      <x:c r="A21" t="str">
        <x:v>Higher FCF case</x:v>
      </x:c>
      <x:c r="B21" t="str">
        <x:v>Illustrative proportional increase in forecast FCF and terminal FCF to match published FY2030 $249.21B benchmark; not a reconstructed analyst forecast.</x:v>
      </x:c>
    </x:row>
    <x:row r="22">
      <x:c r="A22" t="str">
        <x:v>Comparability warning</x:v>
      </x:c>
      <x:c r="B22" t="str">
        <x:v>Simply Wall St uses a different FCFE approach and longer projection horizon; its $141.12 cannot be directly reproduced by scaling your FCFF DCF.</x:v>
      </x:c>
    </x:row>
    <x:row r="23">
      <x:c r="A23" t="str">
        <x:v>Source (published October 8, 2025)</x:v>
      </x:c>
      <x:c r="B23" t="str">
        <x:v>https://www.sahmcapital.com/news/content/is-there-still-room-for-nvidia-shares-after-xais-massive-18b-chip-deal-2025-10-08</x:v>
      </x:c>
    </x:row>
    <x:row r="24">
      <x:c r="A24" t="str">
        <x:v>NVIDIA August 2025 earnings</x:v>
      </x:c>
      <x:c r="B24" t="str">
        <x:v>https://investor.nvidia.com/news/press-release-details/2025/NVIDIA-Announces-Financial-Results-for-Second-Quarter-Fiscal-2026/default.aspx</x:v>
      </x:c>
    </x:row>
    <x:row r="25">
      <x:c r="A25" t="str">
        <x:v>Valuation discipline</x:v>
      </x:c>
      <x:c r="B25" t="str">
        <x:v>Do not calibrate assumptions merely to hit a published price target.</x:v>
      </x:c>
    </x:row>
  </x:sheetData>
  <x:pageMargins left="0.7" right="0.7" top="0.75" bottom="0.75" header="0.3" footer="0.3"/>
</x:worksheet>
</file>