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sharedStrings.xml" ContentType="application/vnd.openxmlformats-officedocument.spreadsheetml.sharedString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xl/comments1.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media/image1.png" ContentType="image/png"/>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Cover Page" sheetId="1" state="visible" r:id="rId3"/>
    <sheet name="Revenue Streams" sheetId="2" state="visible" r:id="rId4"/>
    <sheet name="Income Statement" sheetId="3" state="visible" r:id="rId5"/>
    <sheet name="Balance Sheet" sheetId="4" state="visible" r:id="rId6"/>
    <sheet name="Cash Flow Statement" sheetId="5" state="visible" r:id="rId7"/>
    <sheet name="Working Capital" sheetId="6" state="visible" r:id="rId8"/>
    <sheet name="Debt" sheetId="7" state="visible" r:id="rId9"/>
    <sheet name="Fixed Assets" sheetId="8" state="visible" r:id="rId10"/>
    <sheet name="WACC" sheetId="9" state="visible" r:id="rId11"/>
    <sheet name="DCF Valuation" sheetId="10" state="visible" r:id="rId12"/>
  </sheets>
  <definedNames>
    <definedName function="false" hidden="true" localSheetId="2" name="ExternalData_3" vbProcedure="false">'income statement'!#ref!</definedName>
    <definedName function="false" hidden="true" localSheetId="2" name="ExternalData_4" vbProcedure="false">'income statement'!#ref!</definedName>
    <definedName function="false" hidden="true" localSheetId="3" name="ExternalData_3" vbProcedure="false">'balance sheet'!#ref!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This model was reviewed end-to-end and 8 issues were found and corrected - a 10x error in diluted shares outstanding, a broken cash/debt bridge, wrong discount periods on the terminal years, a formula bug corrupting projected Depreciation/CapEx, an unlinked WACC Cost of Debt, a non-scaling Opex assumption, two contradictory revenue builds, and two stale Cover Page links. See the comment on each corrected cell (marked with a red triangle) in every tab for the specific before/after. Net effect: DCF Implied Share Price moved from $739.15 to $71.34 across all fixes.</t>
        </r>
      </text>
    </comment>
    <comment ref="C14" authorId="0">
      <text>
        <r>
          <rPr>
            <sz val="10"/>
            <rFont val="Arial"/>
            <family val="2"/>
          </rPr>
          <t xml:space="preserve">Corrected: was a static typed value (3.5%) instead of a live link. It happened to match DCF Valuation!D43, but had no formula tying it there, so a future change to the terminal growth assumption wouldn't have updated this page. Now linked directly, consistent with WACC and Upside Potential above it.</t>
        </r>
      </text>
    </comment>
    <comment ref="C19" authorId="0">
      <text>
        <r>
          <rPr>
            <sz val="10"/>
            <rFont val="Arial"/>
            <family val="2"/>
          </rPr>
          <t xml:space="preserve">Corrected: was a static typed value (1.2) instead of a live link to WACC!F13, the same issue as the Terminal Growth Rate cell above. Now linked so Beta can't drift out of sync between the two tabs.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 this tab is informational only (segment/product revenue detail) and isn't referenced by any calculation feeding the valuation, so nothing here changes the DCF output. No changes made.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90+ historical cells in this tab were stored as text (e.g. "5,661" or "(60)" instead of the number 5661 or -60) rather than numbers. Formulas that divided or multiplied these cells still worked, but a SUM() or AVERAGE() added later would have silently skipped them. Converted all to real numbers - no figures changed, just their format.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Same text-formatted-as-number issue as the Income Statement tab (a handful of cells, e.g. Q4 2022 and Q2 2023 columns) - converted to real numbers. Also confirmed this is the source of the corrected Cash figure in DCF Valuation!E83 (previously summed Cash from two different quarters and omitted Marketable securities - see that tab for detail).</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This tab itself is correct - the bug was in how DCF Valuation converted this tab's year-to-date cumulative Depreciation &amp; Amortization (row 14) and CapEx (row 31) figures into standalone quarterly figures. The conversion broke at two fiscal-Q1 columns (N and R), producing large negative Depreciation/CapEx for those quarters. Fixed in DCF Valuation!R23, V23, R28, V28 - see comments there.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 no direct formula errors found in this tab. Its forecasts do flow from DCF Valuation's Revenue (row 10) and Opex (row 16), both of which were corrected (row 10 previously ran an independent, diverging revenue path; row 16 used a flat, non-scaling Opex assumption) - so this tab's Working Capital projections shifted downstream as a result, but no changes were made to this tab's own formulas.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 confirmed correct, including the notional-weighted average interest rate schedule that WACC!F18 (Cost of Debt) is now linked to (previously WACC used an unlinked flat 3.9% assumption instead of this tab's own ~2.63% effective rate).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No errors originate in this tab, but its Depreciation rate and Fixed Asset Turnover Ratio (rows 14 and 20) were being distorted by the Cash Flow Statement conversion bug described on that tab and fixed in DCF Valuation (rows 23/28) - two historical quarters were feeding large negative Depreciation into this tab's trailing averages, which corrupted every projected quarter's rate. Now resolved; all projected figures here are positive and in a sane range.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and corrected - see the comment on F18 (Cost of Debt) for detail. In short: this tab already built a bond-by-bond schedule of NVIDIA's actual outstanding notes (rows 35-39) computing an effective rate of ~2.63%, but the WACC formula was using an unlinked flat 3.9% assumption instead. Now linked to the tab's own schedule.</t>
        </r>
      </text>
    </comment>
    <comment ref="F18" authorId="0">
      <text>
        <r>
          <rPr>
            <sz val="10"/>
            <rFont val="Arial"/>
            <family val="2"/>
          </rPr>
          <t xml:space="preserve">Corrected: was a hardcoded 0.039 (3.9%). This sheet already builds a bond-by-bond schedule of NVIDIA's actual outstanding notes (rows 35-39) and computes their notional-weighted average rate in P41 (~2.63%). The WACC calculation wasn't actually using it. Now linked directly so Cost of Debt reflects NVIDIA's real embedded borrowing rate.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Reviewed and corrected - this tab had the most issues since it's where everything else in the model converges. Fixed: diluted share count (10x error), the Cash/Debt bridge (E83), discount periods for the 2029/2030 columns (row 77), a Depreciation/CapEx formula bug (rows 23, 28), a flat non-scaling Opex assumption (row 16 + new D41), two contradictory revenue builds (row 10 vs row 48), and a mislabeled annual growth rate (row 51). Each corrected cell has its own comment with the specific before/after - look for the red triangles.</t>
        </r>
      </text>
    </comment>
    <comment ref="D41" authorId="0">
      <text>
        <r>
          <rPr>
            <sz val="10"/>
            <rFont val="Arial"/>
            <family val="2"/>
          </rPr>
          <t xml:space="preserve">New assumption: trailing 4-quarter (Q3 2024-Q2 2025) Total Operating Expenses / Revenue from the Income Statement, ~11.75%. Replaces the flat $3,500M/quarter Opex assumption previously hardcoded into row 16, which held Opex constant in dollar terms across the whole forecast even as modeled revenue grows roughly 5x through 2028 - unrealistic, and lower than the most recent actual quarter's Opex ($5,413M).</t>
        </r>
      </text>
    </comment>
    <comment ref="E83" authorId="0">
      <text>
        <r>
          <rPr>
            <sz val="10"/>
            <rFont val="Arial"/>
            <family val="2"/>
          </rPr>
          <t xml:space="preserve">Corrected: was ='Balance Sheet'!S11+'Balance Sheet'!T11, which added Cash from two different quarters (Q1 2025 + Q2 2025) and omitted Marketable securities entirely. Now = latest quarter's Cash (T11) + Marketable securities (T12), the standard cash/investments add-back.</t>
        </r>
      </text>
    </comment>
    <comment ref="E87" authorId="0">
      <text>
        <r>
          <rPr>
            <sz val="10"/>
            <rFont val="Arial"/>
            <family val="2"/>
          </rPr>
          <t xml:space="preserve">Corrected: NVIDIA diluted weighted-average shares outstanding, Q2 FY2026 (quarter ended July 27, 2025) ~24,540 million. Original value of 2,453 was off by 10x — the workbook's share-count data was never adjusted for NVIDIA's 10-for-1 stock split effective June 7, 2024. Source: NVIDIA 10-Q, Q2 FY2026.</t>
        </r>
      </text>
    </comment>
    <comment ref="R23" authorId="0">
      <text>
        <r>
          <rPr>
            <sz val="10"/>
            <rFont val="Arial"/>
            <family val="2"/>
          </rPr>
          <t xml:space="preserve">Corrected: was a 'delta of YTD cumulative' formula, but this column is a fiscal Q1 in the Cash Flow Statement (a YTD reset point), so it needs the direct value, not last quarter minus the prior fiscal year's full-year total. The old formula wrongly subtracted the prior fiscal Q4's full-year cumulative figure, producing a large negative number that then dragged down the trailing average used for Depreciation/CapEx in every projected quarter.</t>
        </r>
      </text>
    </comment>
    <comment ref="R28" authorId="0">
      <text>
        <r>
          <rPr>
            <sz val="10"/>
            <rFont val="Arial"/>
            <family val="2"/>
          </rPr>
          <t xml:space="preserve">Corrected: was a 'delta of YTD cumulative' formula, but this column is a fiscal Q1 in the Cash Flow Statement (a YTD reset point), so it needs the direct value, not last quarter minus the prior fiscal year's full-year total. The old formula wrongly subtracted the prior fiscal Q4's full-year cumulative figure, producing a large negative number that then dragged down the trailing average used for Depreciation/CapEx in every projected quarter.</t>
        </r>
      </text>
    </comment>
    <comment ref="V23" authorId="0">
      <text>
        <r>
          <rPr>
            <sz val="10"/>
            <rFont val="Arial"/>
            <family val="2"/>
          </rPr>
          <t xml:space="preserve">Corrected: was a 'delta of YTD cumulative' formula, but this column is a fiscal Q1 in the Cash Flow Statement (a YTD reset point), so it needs the direct value, not last quarter minus the prior fiscal year's full-year total. The old formula wrongly subtracted the prior fiscal Q4's full-year cumulative figure, producing a large negative number that then dragged down the trailing average used for Depreciation/CapEx in every projected quarter.</t>
        </r>
      </text>
    </comment>
    <comment ref="V28" authorId="0">
      <text>
        <r>
          <rPr>
            <sz val="10"/>
            <rFont val="Arial"/>
            <family val="2"/>
          </rPr>
          <t xml:space="preserve">Corrected: was a 'delta of YTD cumulative' formula, but this column is a fiscal Q1 in the Cash Flow Statement (a YTD reset point), so it needs the direct value, not last quarter minus the prior fiscal year's full-year total. The old formula wrongly subtracted the prior fiscal Q4's full-year cumulative figure, producing a large negative number that then dragged down the trailing average used for Depreciation/CapEx in every projected quarter.</t>
        </r>
      </text>
    </comment>
    <comment ref="X10" authorId="0">
      <text>
        <r>
          <rPr>
            <sz val="10"/>
            <rFont val="Arial"/>
            <family val="2"/>
          </rPr>
          <t xml:space="preserve">Corrected: this row previously ran an independent, static revenue build that diverged sharply from row 48 (Q4 2028: $211,317M here vs $93,130M in row 48). Row 48 is the scenario-aware build that actually drives Unlevered FCF and Enterprise Value, so this row now mirrors it for consistency - it only feeds the Opex/Working-Capital side calc (rows 13-20), which should use the same revenue as the valuation itself.</t>
        </r>
      </text>
    </comment>
    <comment ref="X16" authorId="0">
      <text>
        <r>
          <rPr>
            <sz val="10"/>
            <rFont val="Arial"/>
            <family val="2"/>
          </rPr>
          <t xml:space="preserve">Corrected: was =X13-3500 (flat $3,500M Opex subtracted every quarter through 2028, never scaling with revenue). Now =X13-(X10*$D$41), using the trailing Opex-%-of-Revenue assumption in D41 instead. Applied across X16:AI16.</t>
        </r>
      </text>
    </comment>
    <comment ref="AH51" authorId="0">
      <text>
        <r>
          <rPr>
            <sz val="10"/>
            <rFont val="Arial"/>
            <family val="2"/>
          </rPr>
          <t xml:space="preserve">Corrected: was hardcoded to 0.125250548338114, a copy of the QUARTERLY growth rate (AG51), mislabeled as this column's (full year 2029) growth. The actual annual revenue figure used in row 48 implies ~23% growth, not 12.5%. Now computed directly from the annual revenue figures so it can't drift out of sync again.</t>
        </r>
      </text>
    </comment>
    <comment ref="AH77" authorId="0">
      <text>
        <r>
          <rPr>
            <sz val="10"/>
            <rFont val="Arial"/>
            <family val="2"/>
          </rPr>
          <t xml:space="preserve">Corrected: was =AG77+0.25. AG77 is a quarterly period; AH is a full annual period (2029), so it should step forward by a full year, not a quarter. The old formula understated the discount period for 2029, 2030, and the terminal value (which discounts off AI77).</t>
        </r>
      </text>
    </comment>
    <comment ref="AI10" authorId="0">
      <text>
        <r>
          <rPr>
            <sz val="10"/>
            <rFont val="Arial"/>
            <family val="2"/>
          </rPr>
          <t xml:space="preserve">Same fix as X10 - this row now mirrors row 48 (the scenario-driven revenue that actually feeds Unlevered FCF) instead of running its own diverging projection. Applied across X10:AI10.</t>
        </r>
      </text>
    </comment>
    <comment ref="AI16" authorId="0">
      <text>
        <r>
          <rPr>
            <sz val="10"/>
            <rFont val="Arial"/>
            <family val="2"/>
          </rPr>
          <t xml:space="preserve">Same fix as X16 - Opex now scales with revenue via $D$41 instead of a flat $3,500M subtraction.</t>
        </r>
      </text>
    </comment>
    <comment ref="AI51" authorId="0">
      <text>
        <r>
          <rPr>
            <sz val="10"/>
            <rFont val="Arial"/>
            <family val="2"/>
          </rPr>
          <t xml:space="preserve">Same fix as AH51 - now computed from the annual revenue figures (row 48) instead of a hardcoded copy of the quarterly growth rate.</t>
        </r>
      </text>
    </comment>
    <comment ref="AI77" authorId="0">
      <text>
        <r>
          <rPr>
            <sz val="10"/>
            <rFont val="Arial"/>
            <family val="2"/>
          </rPr>
          <t xml:space="preserve">Corrected: was =AH77+0.25, same annual-period issue as AH77.</t>
        </r>
      </text>
    </comment>
  </commentList>
</comments>
</file>

<file path=xl/sharedStrings.xml><?xml version="1.0" encoding="utf-8"?>
<sst xmlns="http://schemas.openxmlformats.org/spreadsheetml/2006/main" count="617" uniqueCount="314">
  <si>
    <t xml:space="preserve">NVIDIA DCF Valuation Using Financial Statements</t>
  </si>
  <si>
    <t xml:space="preserve">Date</t>
  </si>
  <si>
    <t xml:space="preserve">November 12, 2025</t>
  </si>
  <si>
    <t xml:space="preserve">Prepared By</t>
  </si>
  <si>
    <t xml:space="preserve">Braeden Tuazon</t>
  </si>
  <si>
    <t xml:space="preserve">Purpose</t>
  </si>
  <si>
    <t xml:space="preserve">This model estimates the intrinsic value of NVIDIA using a Discounted Cash Flow (DCF) approach, based on real financial statement data (income statement, balance sheet, and cash flows) and market inputs such as WACC, beta, and risk-free rate.</t>
  </si>
  <si>
    <t xml:space="preserve">Data Sources</t>
  </si>
  <si>
    <t xml:space="preserve">NVIDIA 10-Q and 10-K reports, Yahoo Finance, AlphaSpread, Bloomberg, Morningstar, GuruFocus, Finbox, FactSet, Reuters, U.S. Treasury, and self-calculated estimates where applicable.</t>
  </si>
  <si>
    <t xml:space="preserve">Key Valuation Results</t>
  </si>
  <si>
    <t xml:space="preserve">Values</t>
  </si>
  <si>
    <t xml:space="preserve">Market Share Price</t>
  </si>
  <si>
    <t xml:space="preserve">DCF Implied Share Price</t>
  </si>
  <si>
    <t xml:space="preserve">Upside Potential</t>
  </si>
  <si>
    <t xml:space="preserve">WACC</t>
  </si>
  <si>
    <t xml:space="preserve">Terminal Growth Rate</t>
  </si>
  <si>
    <t xml:space="preserve">Valuation Date</t>
  </si>
  <si>
    <t xml:space="preserve">Key Assumptions Table</t>
  </si>
  <si>
    <t xml:space="preserve">Cost of Equity</t>
  </si>
  <si>
    <t xml:space="preserve">Beta</t>
  </si>
  <si>
    <t xml:space="preserve">Risk-Free Rate</t>
  </si>
  <si>
    <t xml:space="preserve">Market Risk Premium</t>
  </si>
  <si>
    <t xml:space="preserve">Cost of Debt</t>
  </si>
  <si>
    <t xml:space="preserve">Tax Rate</t>
  </si>
  <si>
    <t xml:space="preserve">Workbook Tabs Overview</t>
  </si>
  <si>
    <t xml:space="preserve">Description</t>
  </si>
  <si>
    <t xml:space="preserve">Revenue Streams</t>
  </si>
  <si>
    <t xml:space="preserve">Breakdown of NVIDIA's product/service revenue over time</t>
  </si>
  <si>
    <t xml:space="preserve">Income Statement</t>
  </si>
  <si>
    <t xml:space="preserve">Quarterly income performance including revenue, expenses, and net income</t>
  </si>
  <si>
    <t xml:space="preserve">Balance Sheet</t>
  </si>
  <si>
    <t xml:space="preserve">Snapshot of assets, liabilities, and equity over time</t>
  </si>
  <si>
    <t xml:space="preserve">Cash Flow Statement</t>
  </si>
  <si>
    <t xml:space="preserve">Cash inflows/outflows from operations, investing and financing activities</t>
  </si>
  <si>
    <t xml:space="preserve">Working Capital</t>
  </si>
  <si>
    <t xml:space="preserve">Detailed calculation of current assets and liabilities for forecasting purposes</t>
  </si>
  <si>
    <t xml:space="preserve">Debt</t>
  </si>
  <si>
    <t xml:space="preserve">NVIDIA's debt levels, interest expense, and cost of debt inputs</t>
  </si>
  <si>
    <t xml:space="preserve">Fixed Assets</t>
  </si>
  <si>
    <t xml:space="preserve">Capital expenditures, depreciation, and asset base tracking</t>
  </si>
  <si>
    <t xml:space="preserve">Weighted Average Cost of Capital calculation based on market inputs</t>
  </si>
  <si>
    <t xml:space="preserve">DCF Valuation</t>
  </si>
  <si>
    <t xml:space="preserve">Free Cash Flow forecast, terminal value, and intrinsic value estimation</t>
  </si>
  <si>
    <t xml:space="preserve">Disclaimer: For academic use only. Not intended as financial or investment advice.</t>
  </si>
  <si>
    <t xml:space="preserve">($ in millions)</t>
  </si>
  <si>
    <t xml:space="preserve">Q1 2020</t>
  </si>
  <si>
    <t xml:space="preserve">Q2 2020</t>
  </si>
  <si>
    <t xml:space="preserve">Q3 2020</t>
  </si>
  <si>
    <t xml:space="preserve">Q4 2020</t>
  </si>
  <si>
    <t xml:space="preserve">Q1 2021</t>
  </si>
  <si>
    <t xml:space="preserve">Q2 2021</t>
  </si>
  <si>
    <t xml:space="preserve">Q3 2021</t>
  </si>
  <si>
    <t xml:space="preserve">Q4 2021</t>
  </si>
  <si>
    <t xml:space="preserve">Q1 2022</t>
  </si>
  <si>
    <t xml:space="preserve">Q2 2022</t>
  </si>
  <si>
    <t xml:space="preserve">Q3 2022</t>
  </si>
  <si>
    <t xml:space="preserve">Q4 2022</t>
  </si>
  <si>
    <t xml:space="preserve">Q1 2023</t>
  </si>
  <si>
    <t xml:space="preserve">Q2 2023</t>
  </si>
  <si>
    <t xml:space="preserve">Q3 2023</t>
  </si>
  <si>
    <t xml:space="preserve">Q4 2023</t>
  </si>
  <si>
    <t xml:space="preserve">Q1 2024</t>
  </si>
  <si>
    <t xml:space="preserve">Q2 2024</t>
  </si>
  <si>
    <t xml:space="preserve">Q3 2024</t>
  </si>
  <si>
    <t xml:space="preserve">Q4 2024</t>
  </si>
  <si>
    <t xml:space="preserve">Data Center</t>
  </si>
  <si>
    <t xml:space="preserve">Gaming</t>
  </si>
  <si>
    <t xml:space="preserve">Professional Visualization</t>
  </si>
  <si>
    <t xml:space="preserve">Auto</t>
  </si>
  <si>
    <t xml:space="preserve">OEM &amp; Other</t>
  </si>
  <si>
    <t xml:space="preserve">Total</t>
  </si>
  <si>
    <t xml:space="preserve">Q1 2025</t>
  </si>
  <si>
    <t xml:space="preserve">Q2 2025</t>
  </si>
  <si>
    <t xml:space="preserve">Q3 2025</t>
  </si>
  <si>
    <t xml:space="preserve">% change</t>
  </si>
  <si>
    <t xml:space="preserve">% of total</t>
  </si>
  <si>
    <t xml:space="preserve">Original Equipment Manufacturers</t>
  </si>
  <si>
    <t xml:space="preserve">All figures in millions USD (except per-share amounts)</t>
  </si>
  <si>
    <t xml:space="preserve">Fiscal Year</t>
  </si>
  <si>
    <t xml:space="preserve">Quarterly Date</t>
  </si>
  <si>
    <t xml:space="preserve">Revenue</t>
  </si>
  <si>
    <t xml:space="preserve">Cost of revenue</t>
  </si>
  <si>
    <t xml:space="preserve">Gross profit</t>
  </si>
  <si>
    <t xml:space="preserve">Operating Expenses</t>
  </si>
  <si>
    <t xml:space="preserve">    Research and development</t>
  </si>
  <si>
    <t xml:space="preserve">    Sales, general and administrative</t>
  </si>
  <si>
    <t xml:space="preserve">520</t>
  </si>
  <si>
    <t xml:space="preserve">526</t>
  </si>
  <si>
    <t xml:space="preserve">557</t>
  </si>
  <si>
    <t xml:space="preserve">592</t>
  </si>
  <si>
    <t xml:space="preserve">631</t>
  </si>
  <si>
    <t xml:space="preserve">    Acquisition termination cost</t>
  </si>
  <si>
    <t xml:space="preserve">—</t>
  </si>
  <si>
    <t xml:space="preserve">        Total operating expenses</t>
  </si>
  <si>
    <t xml:space="preserve">Operating income</t>
  </si>
  <si>
    <t xml:space="preserve">499</t>
  </si>
  <si>
    <t xml:space="preserve">601</t>
  </si>
  <si>
    <t xml:space="preserve">    Interest income</t>
  </si>
  <si>
    <t xml:space="preserve">6</t>
  </si>
  <si>
    <t xml:space="preserve">7</t>
  </si>
  <si>
    <t xml:space="preserve">46</t>
  </si>
  <si>
    <t xml:space="preserve">88</t>
  </si>
  <si>
    <t xml:space="preserve">    Interest expense</t>
  </si>
  <si>
    <t xml:space="preserve">    Other income (expense), net</t>
  </si>
  <si>
    <t xml:space="preserve">135</t>
  </si>
  <si>
    <t xml:space="preserve">4</t>
  </si>
  <si>
    <t xml:space="preserve">22</t>
  </si>
  <si>
    <t xml:space="preserve">        Total other income (expense), net</t>
  </si>
  <si>
    <t xml:space="preserve">12</t>
  </si>
  <si>
    <t xml:space="preserve">Income before income tax</t>
  </si>
  <si>
    <t xml:space="preserve">475</t>
  </si>
  <si>
    <t xml:space="preserve">613</t>
  </si>
  <si>
    <t xml:space="preserve">Income tax expense</t>
  </si>
  <si>
    <t xml:space="preserve">132</t>
  </si>
  <si>
    <t xml:space="preserve">20</t>
  </si>
  <si>
    <t xml:space="preserve">174</t>
  </si>
  <si>
    <t xml:space="preserve">Net income</t>
  </si>
  <si>
    <t xml:space="preserve">656</t>
  </si>
  <si>
    <t xml:space="preserve">680</t>
  </si>
  <si>
    <t xml:space="preserve">Net income per share:</t>
  </si>
  <si>
    <t xml:space="preserve">Basic</t>
  </si>
  <si>
    <t xml:space="preserve">Diluted</t>
  </si>
  <si>
    <t xml:space="preserve">Weighted average shares used in per share:</t>
  </si>
  <si>
    <t xml:space="preserve">Assets</t>
  </si>
  <si>
    <t xml:space="preserve">Current assets:</t>
  </si>
  <si>
    <t xml:space="preserve">    Cash and cash equivalents</t>
  </si>
  <si>
    <t xml:space="preserve">    Marketable securities</t>
  </si>
  <si>
    <t xml:space="preserve">    Accounts receivable, net</t>
  </si>
  <si>
    <t xml:space="preserve">    Inventories</t>
  </si>
  <si>
    <t xml:space="preserve">    Prepaid expenses and other current assets</t>
  </si>
  <si>
    <t xml:space="preserve">791</t>
  </si>
  <si>
    <t xml:space="preserve">Total current assets</t>
  </si>
  <si>
    <t xml:space="preserve">    Property and equipment, net</t>
  </si>
  <si>
    <t xml:space="preserve">    Operating lease assets</t>
  </si>
  <si>
    <t xml:space="preserve">    Goodwill</t>
  </si>
  <si>
    <t xml:space="preserve">    Intangible assets, net</t>
  </si>
  <si>
    <t xml:space="preserve">    Deferred income tax assets</t>
  </si>
  <si>
    <t xml:space="preserve">    Other assets</t>
  </si>
  <si>
    <t xml:space="preserve">Total assets</t>
  </si>
  <si>
    <t xml:space="preserve">Liabilities and Shareholders' Equity</t>
  </si>
  <si>
    <t xml:space="preserve">    Current liabilities:</t>
  </si>
  <si>
    <t xml:space="preserve">    Accounts payable</t>
  </si>
  <si>
    <t xml:space="preserve">    Accrued and other current liabilities</t>
  </si>
  <si>
    <t xml:space="preserve">    Short-term debt</t>
  </si>
  <si>
    <t xml:space="preserve">Total current liabilities</t>
  </si>
  <si>
    <t xml:space="preserve">    Long-term debt</t>
  </si>
  <si>
    <t xml:space="preserve">    Long-term operating lease liabilities</t>
  </si>
  <si>
    <t xml:space="preserve">902</t>
  </si>
  <si>
    <t xml:space="preserve">    Other long-term liabilities</t>
  </si>
  <si>
    <t xml:space="preserve">Total liabilities</t>
  </si>
  <si>
    <t xml:space="preserve">Commitments and Contingencies</t>
  </si>
  <si>
    <t xml:space="preserve">Shareholders’ equity</t>
  </si>
  <si>
    <t xml:space="preserve">Preferred stock</t>
  </si>
  <si>
    <t xml:space="preserve">Common stock</t>
  </si>
  <si>
    <t xml:space="preserve">2</t>
  </si>
  <si>
    <t xml:space="preserve">Additional paid-in capital</t>
  </si>
  <si>
    <t xml:space="preserve">Accumulated other comprehensive loss</t>
  </si>
  <si>
    <t xml:space="preserve">Retained earnings</t>
  </si>
  <si>
    <t xml:space="preserve">Total shareholders' equity</t>
  </si>
  <si>
    <t xml:space="preserve">Total liabilities and shareholders' equity</t>
  </si>
  <si>
    <t xml:space="preserve">Cash flows from operating activities:</t>
  </si>
  <si>
    <t xml:space="preserve">Adjustments to reconcile net income to net cash provided by operating activities:</t>
  </si>
  <si>
    <t xml:space="preserve">    Stock-based compensation expense</t>
  </si>
  <si>
    <t xml:space="preserve">    Depreciation and amortization</t>
  </si>
  <si>
    <t xml:space="preserve">    Deferred income taxes</t>
  </si>
  <si>
    <t xml:space="preserve">    (Gains) losses on investments in non-affiliates, net</t>
  </si>
  <si>
    <t xml:space="preserve">    Other</t>
  </si>
  <si>
    <t xml:space="preserve">Changes in operating assets and liabilities, net of acquisitions:</t>
  </si>
  <si>
    <t xml:space="preserve">    Accounts receivable</t>
  </si>
  <si>
    <t xml:space="preserve">    Prepaid expenses and other assets</t>
  </si>
  <si>
    <t xml:space="preserve">Net cash provided by operating activities</t>
  </si>
  <si>
    <t xml:space="preserve">Cash flows from investing activities:</t>
  </si>
  <si>
    <t xml:space="preserve">    Proceeds from maturities of marketable securities</t>
  </si>
  <si>
    <t xml:space="preserve">    Proceeds from sales of marketable securities</t>
  </si>
  <si>
    <t xml:space="preserve">    Purchases of marketable securities</t>
  </si>
  <si>
    <t xml:space="preserve">    Purchases related to property and equipment and intangible assets</t>
  </si>
  <si>
    <t xml:space="preserve">    Investments and other, net</t>
  </si>
  <si>
    <t xml:space="preserve">    Acquisitions, net of cash acquired</t>
  </si>
  <si>
    <t xml:space="preserve">Net cash used in investing activities</t>
  </si>
  <si>
    <t xml:space="preserve">Cash flows from financing activities:</t>
  </si>
  <si>
    <t xml:space="preserve">    Issuance of debt, net of issuance costs</t>
  </si>
  <si>
    <t xml:space="preserve">    Proceeds related to employee stock plans</t>
  </si>
  <si>
    <t xml:space="preserve">    Payments related to repurchases of common stock</t>
  </si>
  <si>
    <t xml:space="preserve">    Payments related to tax on restricted stock units</t>
  </si>
  <si>
    <t xml:space="preserve">    Dividends paid</t>
  </si>
  <si>
    <t xml:space="preserve">    Principal payments on property and equipment</t>
  </si>
  <si>
    <t xml:space="preserve">    Repayment of debt</t>
  </si>
  <si>
    <t xml:space="preserve">Net cash provided by (used in) financing activities</t>
  </si>
  <si>
    <t xml:space="preserve">    Change in cash and cash equivalents</t>
  </si>
  <si>
    <t xml:space="preserve">    Cash and cash equivalents at beginning of period</t>
  </si>
  <si>
    <t xml:space="preserve">Cash and cash equivalents at end of period</t>
  </si>
  <si>
    <t xml:space="preserve">Supplemental disclosures of cash flow information:</t>
  </si>
  <si>
    <t xml:space="preserve">Cash paid for income taxes, net</t>
  </si>
  <si>
    <t xml:space="preserve">Cash paid for interest</t>
  </si>
  <si>
    <t xml:space="preserve">Accumulated Amortization of Intangible Assets</t>
  </si>
  <si>
    <t xml:space="preserve">Total Annual</t>
  </si>
  <si>
    <t xml:space="preserve">Working Capital Schedule</t>
  </si>
  <si>
    <t xml:space="preserve">Historical</t>
  </si>
  <si>
    <t xml:space="preserve">Projected</t>
  </si>
  <si>
    <t xml:space="preserve">$ in millions</t>
  </si>
  <si>
    <t xml:space="preserve">Current assets</t>
  </si>
  <si>
    <t xml:space="preserve">Accounts Receivables</t>
  </si>
  <si>
    <t xml:space="preserve">Inventories</t>
  </si>
  <si>
    <t xml:space="preserve">Prepaid expenses and other current assets</t>
  </si>
  <si>
    <t xml:space="preserve">Current liabilities</t>
  </si>
  <si>
    <t xml:space="preserve">Accounts Payables</t>
  </si>
  <si>
    <t xml:space="preserve">Accrued and other current liabilities</t>
  </si>
  <si>
    <t xml:space="preserve">Net Working capital</t>
  </si>
  <si>
    <t xml:space="preserve">Changes in working capital</t>
  </si>
  <si>
    <t xml:space="preserve">Days Sales Outstanding (DSO)</t>
  </si>
  <si>
    <t xml:space="preserve">Days Inventory Outstanding (DIO)</t>
  </si>
  <si>
    <t xml:space="preserve">Other current assets (% of revenue)</t>
  </si>
  <si>
    <t xml:space="preserve">Days Payable Outstanding (DPO)</t>
  </si>
  <si>
    <t xml:space="preserve">(% of operating expenses)</t>
  </si>
  <si>
    <t xml:space="preserve">Cash Conversion Cycle (CCC)</t>
  </si>
  <si>
    <t xml:space="preserve">Debt Schedule</t>
  </si>
  <si>
    <t xml:space="preserve">Opening balance</t>
  </si>
  <si>
    <t xml:space="preserve">Add/Less: Debt incurred (repaid)</t>
  </si>
  <si>
    <t xml:space="preserve">Closing Balance</t>
  </si>
  <si>
    <t xml:space="preserve">Interest Expenses</t>
  </si>
  <si>
    <t xml:space="preserve">Net Interest Expenses</t>
  </si>
  <si>
    <t xml:space="preserve">Interest rate (pre tax)</t>
  </si>
  <si>
    <t xml:space="preserve">Long-Term Asset Schedule</t>
  </si>
  <si>
    <t xml:space="preserve">Property and Equipment Schedule</t>
  </si>
  <si>
    <t xml:space="preserve">Add: Net Purchases</t>
  </si>
  <si>
    <t xml:space="preserve">Total Fixed Assets</t>
  </si>
  <si>
    <t xml:space="preserve">Less: Depreciation</t>
  </si>
  <si>
    <t xml:space="preserve">Rate of depreciation</t>
  </si>
  <si>
    <t xml:space="preserve">Fixed asset turnover ratio</t>
  </si>
  <si>
    <t xml:space="preserve">Other intangible asset schedule</t>
  </si>
  <si>
    <t xml:space="preserve">Total Fixed assets</t>
  </si>
  <si>
    <t xml:space="preserve">Less: Amortization</t>
  </si>
  <si>
    <t xml:space="preserve">Closing balance</t>
  </si>
  <si>
    <t xml:space="preserve">Rate of amortization</t>
  </si>
  <si>
    <t xml:space="preserve">WACC (Working Average Cost of Capital)</t>
  </si>
  <si>
    <t xml:space="preserve">WACC = (% Equity × Cost of Equity) + (% Debt × Cost of Debt × (1 – Tax Rate))</t>
  </si>
  <si>
    <t xml:space="preserve">Cost of Equity = Risk-Free Rate + Company Beta × (Market Return – Risk-Free Rate)</t>
  </si>
  <si>
    <t xml:space="preserve">WACC (November 12, 2025)</t>
  </si>
  <si>
    <t xml:space="preserve">Market cap</t>
  </si>
  <si>
    <t xml:space="preserve">% </t>
  </si>
  <si>
    <t xml:space="preserve">Cost of equity</t>
  </si>
  <si>
    <t xml:space="preserve">Risk Free rate </t>
  </si>
  <si>
    <t xml:space="preserve">%</t>
  </si>
  <si>
    <t xml:space="preserve">Cost of debt</t>
  </si>
  <si>
    <t xml:space="preserve">Risk-Free
Rate</t>
  </si>
  <si>
    <t xml:space="preserve">Cost of
Equity</t>
  </si>
  <si>
    <t xml:space="preserve">Cost of 
Debt (After tax)</t>
  </si>
  <si>
    <t xml:space="preserve">(Adjusted)
BETA</t>
  </si>
  <si>
    <t xml:space="preserve">Equity Risk
Premium</t>
  </si>
  <si>
    <t xml:space="preserve">Alphaspread</t>
  </si>
  <si>
    <t xml:space="preserve">ValueInvesting</t>
  </si>
  <si>
    <t xml:space="preserve">Loan</t>
  </si>
  <si>
    <t xml:space="preserve">Expected Remaining
Term (years)</t>
  </si>
  <si>
    <t xml:space="preserve">Effective
Interest Rate</t>
  </si>
  <si>
    <t xml:space="preserve">Notional
Value</t>
  </si>
  <si>
    <t xml:space="preserve">Annual Interest</t>
  </si>
  <si>
    <t xml:space="preserve">Note 2024</t>
  </si>
  <si>
    <t xml:space="preserve">Note 2026</t>
  </si>
  <si>
    <t xml:space="preserve">Note 2028</t>
  </si>
  <si>
    <t xml:space="preserve">Note 2030</t>
  </si>
  <si>
    <t xml:space="preserve">Note 2031</t>
  </si>
  <si>
    <t xml:space="preserve">Note 2040</t>
  </si>
  <si>
    <t xml:space="preserve">Note 2050</t>
  </si>
  <si>
    <t xml:space="preserve">Note 2060</t>
  </si>
  <si>
    <t xml:space="preserve">Discounted Cash Flow</t>
  </si>
  <si>
    <t xml:space="preserve">Ticker</t>
  </si>
  <si>
    <t xml:space="preserve">NVDA</t>
  </si>
  <si>
    <t xml:space="preserve">Implied share price (Nov 12, 2025)</t>
  </si>
  <si>
    <t xml:space="preserve">Current share price  (Nov 12, 2025)</t>
  </si>
  <si>
    <t xml:space="preserve">Year Start</t>
  </si>
  <si>
    <t xml:space="preserve">Implied Gain/Loss</t>
  </si>
  <si>
    <t xml:space="preserve">Year End</t>
  </si>
  <si>
    <t xml:space="preserve">x</t>
  </si>
  <si>
    <t xml:space="preserve">Income Statement (End of January YE)</t>
  </si>
  <si>
    <t xml:space="preserve">% growth</t>
  </si>
  <si>
    <t xml:space="preserve">Gross Profit</t>
  </si>
  <si>
    <t xml:space="preserve">% of revenue</t>
  </si>
  <si>
    <t xml:space="preserve">EBIT</t>
  </si>
  <si>
    <t xml:space="preserve">Taxes</t>
  </si>
  <si>
    <t xml:space="preserve">% of EBIT</t>
  </si>
  <si>
    <t xml:space="preserve">Cash Flow Items</t>
  </si>
  <si>
    <t xml:space="preserve">D&amp;A</t>
  </si>
  <si>
    <t xml:space="preserve">Depreciation</t>
  </si>
  <si>
    <t xml:space="preserve">Amortization</t>
  </si>
  <si>
    <t xml:space="preserve">CapEx</t>
  </si>
  <si>
    <t xml:space="preserve">Change in NWC</t>
  </si>
  <si>
    <t xml:space="preserve">% of change in revenue</t>
  </si>
  <si>
    <t xml:space="preserve">Assumptions</t>
  </si>
  <si>
    <t xml:space="preserve">Scenarios</t>
  </si>
  <si>
    <t xml:space="preserve">Scenario 1 - Conservative</t>
  </si>
  <si>
    <t xml:space="preserve">Scenario 2 - Base</t>
  </si>
  <si>
    <t xml:space="preserve">Scenario 3 - Optimistic</t>
  </si>
  <si>
    <t xml:space="preserve">Revenue Growth FY27</t>
  </si>
  <si>
    <t xml:space="preserve">Revenue Q4 '28</t>
  </si>
  <si>
    <t xml:space="preserve">EBIT Margin FY28</t>
  </si>
  <si>
    <t xml:space="preserve">g</t>
  </si>
  <si>
    <t xml:space="preserve">Opex % of Revenue</t>
  </si>
  <si>
    <t xml:space="preserve"> </t>
  </si>
  <si>
    <t xml:space="preserve">Conservative</t>
  </si>
  <si>
    <t xml:space="preserve">Base</t>
  </si>
  <si>
    <t xml:space="preserve">Optimistic</t>
  </si>
  <si>
    <t xml:space="preserve">EBIAT</t>
  </si>
  <si>
    <t xml:space="preserve">Unlevered FCF</t>
  </si>
  <si>
    <t xml:space="preserve">Present value of Unlevered FCF</t>
  </si>
  <si>
    <t xml:space="preserve">Period</t>
  </si>
  <si>
    <t xml:space="preserve">Discount factor</t>
  </si>
  <si>
    <t xml:space="preserve">Terminal Value</t>
  </si>
  <si>
    <t xml:space="preserve">PV of Terminal Value</t>
  </si>
  <si>
    <t xml:space="preserve">Enterprise Value</t>
  </si>
  <si>
    <t xml:space="preserve">(+) Cash</t>
  </si>
  <si>
    <t xml:space="preserve">(-) Debt</t>
  </si>
  <si>
    <t xml:space="preserve">Equity Value</t>
  </si>
  <si>
    <t xml:space="preserve">Diluted Shares</t>
  </si>
  <si>
    <t xml:space="preserve">Implied Stock Price</t>
  </si>
</sst>
</file>

<file path=xl/styles.xml><?xml version="1.0" encoding="utf-8"?>
<styleSheet xmlns="http://schemas.openxmlformats.org/spreadsheetml/2006/main">
  <numFmts count="22">
    <numFmt numFmtId="164" formatCode="General"/>
    <numFmt numFmtId="165" formatCode="_(* #,##0.00_);_(* \(#,##0.00\);_(* \-??_);_(@_)"/>
    <numFmt numFmtId="166" formatCode="_(\$* #,##0.00_);_(\$* \(#,##0.00\);_(\$* \-??_);_(@_)"/>
    <numFmt numFmtId="167" formatCode="d\-mmm\-yy"/>
    <numFmt numFmtId="168" formatCode="\$#,##0.00"/>
    <numFmt numFmtId="169" formatCode="0%"/>
    <numFmt numFmtId="170" formatCode="0.00%"/>
    <numFmt numFmtId="171" formatCode="0.0%"/>
    <numFmt numFmtId="172" formatCode="0.00"/>
    <numFmt numFmtId="173" formatCode="_ * #,##0_)_ ;_ * \(#,##0\)_ ;_ * \-??_)_ ;_ @_ "/>
    <numFmt numFmtId="174" formatCode="#,##0"/>
    <numFmt numFmtId="175" formatCode="m/d/yyyy"/>
    <numFmt numFmtId="176" formatCode="0_);\(0\)"/>
    <numFmt numFmtId="177" formatCode="_ * #,##0.00_)_ ;_ * \(#,##0.00\)_ ;_ * \-??_)_ ;_ @_ "/>
    <numFmt numFmtId="178" formatCode="#,##0_);\(#,##0\)"/>
    <numFmt numFmtId="179" formatCode="0.0"/>
    <numFmt numFmtId="180" formatCode="#,##0.0_);\(#,##0.0\)"/>
    <numFmt numFmtId="181" formatCode="0"/>
    <numFmt numFmtId="182" formatCode="0.0000%"/>
    <numFmt numFmtId="183" formatCode="[$$-409]#,##0.0_);\([$$-409]#,##0.0\)"/>
    <numFmt numFmtId="184" formatCode="d\ mmm\ yyyy;@"/>
    <numFmt numFmtId="185" formatCode="[$$-409]#,##0_);\([$$-409]#,##0\)"/>
  </numFmts>
  <fonts count="2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20"/>
      <color theme="1"/>
      <name val="Calibri"/>
      <family val="2"/>
      <charset val="1"/>
    </font>
    <font>
      <b val="true"/>
      <u val="single"/>
      <sz val="11"/>
      <color theme="1"/>
      <name val="Calibri"/>
      <family val="2"/>
      <charset val="1"/>
    </font>
    <font>
      <b val="true"/>
      <u val="single"/>
      <sz val="11"/>
      <color theme="10"/>
      <name val="Calibri"/>
      <family val="2"/>
      <charset val="1"/>
    </font>
    <font>
      <b val="true"/>
      <i val="true"/>
      <sz val="11"/>
      <color theme="1"/>
      <name val="Calibri"/>
      <family val="2"/>
      <charset val="1"/>
    </font>
    <font>
      <sz val="10"/>
      <name val="Arial"/>
      <family val="2"/>
    </font>
    <font>
      <sz val="20"/>
      <color theme="1"/>
      <name val="Calibri"/>
      <family val="2"/>
      <charset val="1"/>
    </font>
    <font>
      <b val="true"/>
      <sz val="11"/>
      <color theme="0"/>
      <name val="Calibri"/>
      <family val="2"/>
      <charset val="1"/>
    </font>
    <font>
      <i val="true"/>
      <sz val="11"/>
      <color theme="1"/>
      <name val="Calibri"/>
      <family val="2"/>
      <charset val="1"/>
    </font>
    <font>
      <b val="true"/>
      <sz val="11"/>
      <color theme="1"/>
      <name val="Calibri"/>
      <family val="2"/>
      <charset val="1"/>
    </font>
    <font>
      <sz val="11"/>
      <name val="Calibri"/>
      <family val="2"/>
      <charset val="1"/>
    </font>
    <font>
      <b val="true"/>
      <sz val="11"/>
      <name val="Calibri"/>
      <family val="2"/>
      <charset val="1"/>
    </font>
    <font>
      <b val="true"/>
      <sz val="19"/>
      <color theme="1"/>
      <name val="Calibri"/>
      <family val="2"/>
      <charset val="1"/>
    </font>
    <font>
      <sz val="11"/>
      <color theme="0"/>
      <name val="Calibri"/>
      <family val="2"/>
      <charset val="1"/>
    </font>
    <font>
      <b val="true"/>
      <sz val="14"/>
      <color theme="1"/>
      <name val="Calibri"/>
      <family val="2"/>
      <charset val="1"/>
    </font>
    <font>
      <sz val="11"/>
      <color rgb="FFFF0000"/>
      <name val="Calibri"/>
      <family val="2"/>
      <charset val="1"/>
    </font>
    <font>
      <b val="true"/>
      <sz val="12"/>
      <color theme="1"/>
      <name val="Calibri"/>
      <family val="2"/>
      <charset val="1"/>
    </font>
    <font>
      <sz val="10"/>
      <color theme="1"/>
      <name val="Calibri"/>
      <family val="2"/>
      <charset val="1"/>
    </font>
    <font>
      <sz val="11"/>
      <color rgb="FF7030A0"/>
      <name val="Calibri"/>
      <family val="2"/>
      <charset val="1"/>
    </font>
  </fonts>
  <fills count="7">
    <fill>
      <patternFill patternType="none"/>
    </fill>
    <fill>
      <patternFill patternType="gray125"/>
    </fill>
    <fill>
      <patternFill patternType="solid">
        <fgColor theme="3" tint="-0.25"/>
        <bgColor rgb="FF333399"/>
      </patternFill>
    </fill>
    <fill>
      <patternFill patternType="solid">
        <fgColor theme="5" tint="-0.25"/>
        <bgColor rgb="FF993300"/>
      </patternFill>
    </fill>
    <fill>
      <patternFill patternType="solid">
        <fgColor theme="5" tint="0.3999"/>
        <bgColor rgb="FFFF99CC"/>
      </patternFill>
    </fill>
    <fill>
      <patternFill patternType="solid">
        <fgColor theme="0"/>
        <bgColor rgb="FFFFF2CC"/>
      </patternFill>
    </fill>
    <fill>
      <patternFill patternType="solid">
        <fgColor theme="7" tint="0.7999"/>
        <bgColor rgb="FFFFFFFF"/>
      </patternFill>
    </fill>
  </fills>
  <borders count="11">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hair"/>
      <right style="hair"/>
      <top style="hair"/>
      <bottom style="hair"/>
      <diagonal/>
    </border>
    <border diagonalUp="false" diagonalDown="false">
      <left/>
      <right/>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top" textRotation="0" wrapText="false" indent="0" shrinkToFit="false"/>
      <protection locked="true" hidden="false"/>
    </xf>
  </cellStyleXfs>
  <cellXfs count="1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left" vertical="bottom" textRotation="0" wrapText="false" indent="0" shrinkToFit="false"/>
      <protection locked="true" hidden="false"/>
    </xf>
    <xf numFmtId="169" fontId="0" fillId="0" borderId="0" xfId="0" applyFont="false" applyBorder="false" applyAlignment="true" applyProtection="false">
      <alignment horizontal="left" vertical="bottom" textRotation="0" wrapText="false" indent="0" shrinkToFit="false"/>
      <protection locked="true" hidden="false"/>
    </xf>
    <xf numFmtId="170" fontId="0" fillId="0" borderId="0" xfId="0" applyFont="false" applyBorder="false" applyAlignment="true" applyProtection="false">
      <alignment horizontal="left" vertical="bottom" textRotation="0" wrapText="false" indent="0" shrinkToFit="false"/>
      <protection locked="true" hidden="false"/>
    </xf>
    <xf numFmtId="171"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0" fontId="6"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right"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3"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73" fontId="13" fillId="0" borderId="2" xfId="0" applyFont="true" applyBorder="true" applyAlignment="true" applyProtection="false">
      <alignment horizontal="right" vertical="bottom" textRotation="0" wrapText="false" indent="0" shrinkToFit="false"/>
      <protection locked="true" hidden="false"/>
    </xf>
    <xf numFmtId="173" fontId="13" fillId="0" borderId="2" xfId="0" applyFont="true" applyBorder="true" applyAlignment="true" applyProtection="false">
      <alignment horizontal="center" vertical="bottom" textRotation="0" wrapText="false" indent="0" shrinkToFit="false"/>
      <protection locked="true" hidden="false"/>
    </xf>
    <xf numFmtId="176" fontId="0" fillId="0" borderId="0" xfId="0" applyFont="false" applyBorder="false" applyAlignment="true" applyProtection="false">
      <alignment horizontal="center" vertical="bottom" textRotation="0" wrapText="false" indent="0" shrinkToFit="false"/>
      <protection locked="true" hidden="false"/>
    </xf>
    <xf numFmtId="177" fontId="0" fillId="0" borderId="0" xfId="0" applyFont="false" applyBorder="false" applyAlignment="true" applyProtection="false">
      <alignment horizontal="center" vertical="bottom" textRotation="0" wrapText="false" indent="0" shrinkToFit="false"/>
      <protection locked="true" hidden="false"/>
    </xf>
    <xf numFmtId="173" fontId="14" fillId="0" borderId="0" xfId="0" applyFont="true" applyBorder="false" applyAlignment="true" applyProtection="false">
      <alignment horizontal="general" vertical="top" textRotation="0" wrapText="false" indent="0" shrinkToFit="false"/>
      <protection locked="true" hidden="false"/>
    </xf>
    <xf numFmtId="173" fontId="14" fillId="0" borderId="0" xfId="0" applyFont="true" applyBorder="false" applyAlignment="true" applyProtection="false">
      <alignment horizontal="right"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73" fontId="15" fillId="0" borderId="2" xfId="0" applyFont="true" applyBorder="true" applyAlignment="true" applyProtection="false">
      <alignment horizontal="general" vertical="top" textRotation="0" wrapText="false" indent="0" shrinkToFit="false"/>
      <protection locked="true" hidden="false"/>
    </xf>
    <xf numFmtId="173" fontId="15" fillId="0" borderId="2" xfId="0" applyFont="true" applyBorder="true" applyAlignment="true" applyProtection="false">
      <alignment horizontal="right" vertical="top" textRotation="0" wrapText="false" indent="0" shrinkToFit="false"/>
      <protection locked="true" hidden="false"/>
    </xf>
    <xf numFmtId="173" fontId="13" fillId="0" borderId="2" xfId="0" applyFont="true" applyBorder="tru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right" vertical="top"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78" fontId="0"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73" fontId="0" fillId="4" borderId="0" xfId="0" applyFont="false" applyBorder="false" applyAlignment="true" applyProtection="false">
      <alignment horizontal="center" vertical="bottom" textRotation="0" wrapText="false" indent="0" shrinkToFit="false"/>
      <protection locked="true" hidden="false"/>
    </xf>
    <xf numFmtId="173" fontId="13" fillId="4" borderId="2" xfId="0" applyFont="true" applyBorder="true" applyAlignment="true" applyProtection="false">
      <alignment horizontal="center"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79" fontId="0" fillId="4" borderId="0" xfId="0" applyFont="fals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0" fillId="4"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center" vertical="bottom" textRotation="0" wrapText="false" indent="0" shrinkToFit="false"/>
      <protection locked="true" hidden="false"/>
    </xf>
    <xf numFmtId="178" fontId="0" fillId="4" borderId="0" xfId="0" applyFont="fals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78" fontId="13" fillId="0" borderId="2" xfId="0" applyFont="true" applyBorder="true" applyAlignment="true" applyProtection="false">
      <alignment horizontal="general" vertical="bottom" textRotation="0" wrapText="false" indent="0" shrinkToFit="false"/>
      <protection locked="true" hidden="false"/>
    </xf>
    <xf numFmtId="178" fontId="13" fillId="0" borderId="2" xfId="0" applyFont="true" applyBorder="true" applyAlignment="true" applyProtection="false">
      <alignment horizontal="center" vertical="bottom" textRotation="0" wrapText="false" indent="0" shrinkToFit="false"/>
      <protection locked="true" hidden="false"/>
    </xf>
    <xf numFmtId="178" fontId="13" fillId="4" borderId="2" xfId="0" applyFont="true" applyBorder="true" applyAlignment="true" applyProtection="false">
      <alignment horizontal="center" vertical="bottom" textRotation="0" wrapText="false" indent="0" shrinkToFit="false"/>
      <protection locked="true" hidden="false"/>
    </xf>
    <xf numFmtId="176" fontId="0" fillId="4"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4"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78" fontId="0" fillId="0" borderId="2" xfId="0" applyFont="false" applyBorder="true" applyAlignment="true" applyProtection="false">
      <alignment horizontal="center" vertical="bottom" textRotation="0" wrapText="false" indent="0" shrinkToFit="false"/>
      <protection locked="true" hidden="false"/>
    </xf>
    <xf numFmtId="178" fontId="0" fillId="4" borderId="2" xfId="0" applyFont="false" applyBorder="true" applyAlignment="true" applyProtection="false">
      <alignment horizontal="center" vertical="bottom" textRotation="0" wrapText="false" indent="0" shrinkToFit="false"/>
      <protection locked="true" hidden="false"/>
    </xf>
    <xf numFmtId="181" fontId="0" fillId="4" borderId="0" xfId="0" applyFont="false" applyBorder="false" applyAlignment="true" applyProtection="false">
      <alignment horizontal="center" vertical="bottom" textRotation="0" wrapText="false" indent="0" shrinkToFit="false"/>
      <protection locked="true" hidden="false"/>
    </xf>
    <xf numFmtId="180" fontId="0" fillId="0" borderId="0" xfId="0" applyFont="false" applyBorder="false" applyAlignment="true" applyProtection="false">
      <alignment horizontal="center" vertical="bottom" textRotation="0" wrapText="false" indent="0" shrinkToFit="false"/>
      <protection locked="true" hidden="false"/>
    </xf>
    <xf numFmtId="180" fontId="0" fillId="4" borderId="0" xfId="0" applyFont="fals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13" fillId="0" borderId="2" xfId="0" applyFont="true" applyBorder="true" applyAlignment="true" applyProtection="false">
      <alignment horizontal="center" vertical="bottom"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70" fontId="0" fillId="0" borderId="6" xfId="0" applyFont="fals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70"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71" fontId="0" fillId="0" borderId="8" xfId="0" applyFont="fals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79" fontId="0" fillId="0" borderId="0" xfId="0" applyFont="false" applyBorder="false" applyAlignment="true" applyProtection="false">
      <alignment horizontal="center"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84" fontId="0" fillId="0" borderId="0" xfId="0" applyFont="false" applyBorder="false" applyAlignment="true" applyProtection="false">
      <alignment horizontal="left" vertical="bottom" textRotation="0" wrapText="fals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78" fontId="19" fillId="0" borderId="0" xfId="0" applyFont="true" applyBorder="false" applyAlignment="true" applyProtection="false">
      <alignment horizontal="center" vertical="bottom" textRotation="0" wrapText="false" indent="0" shrinkToFit="false"/>
      <protection locked="true" hidden="false"/>
    </xf>
    <xf numFmtId="171" fontId="12" fillId="0" borderId="0" xfId="0" applyFont="true" applyBorder="false" applyAlignment="true" applyProtection="false">
      <alignment horizontal="center" vertical="bottom" textRotation="0" wrapText="false" indent="0" shrinkToFit="false"/>
      <protection locked="true" hidden="false"/>
    </xf>
    <xf numFmtId="164" fontId="17" fillId="3" borderId="0" xfId="0" applyFont="true" applyBorder="false" applyAlignment="true" applyProtection="false">
      <alignment horizontal="center" vertical="bottom" textRotation="0" wrapText="false" indent="0" shrinkToFit="false"/>
      <protection locked="true" hidden="false"/>
    </xf>
    <xf numFmtId="174" fontId="1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81" fontId="0" fillId="0" borderId="0" xfId="0" applyFont="fals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9" fontId="0" fillId="6" borderId="9" xfId="0" applyFont="false" applyBorder="true" applyAlignment="true" applyProtection="false">
      <alignment horizontal="center" vertical="bottom" textRotation="0" wrapText="false" indent="0" shrinkToFit="false"/>
      <protection locked="true" hidden="false"/>
    </xf>
    <xf numFmtId="171" fontId="0" fillId="6" borderId="9" xfId="0" applyFont="false" applyBorder="true" applyAlignment="true" applyProtection="false">
      <alignment horizontal="center" vertical="bottom" textRotation="0" wrapText="false" indent="0" shrinkToFit="false"/>
      <protection locked="true" hidden="false"/>
    </xf>
    <xf numFmtId="171" fontId="0" fillId="6" borderId="0" xfId="0" applyFont="fals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1" fontId="21" fillId="0" borderId="0" xfId="0" applyFont="true" applyBorder="false" applyAlignment="true" applyProtection="false">
      <alignment horizontal="center" vertical="bottom" textRotation="0" wrapText="false" indent="0" shrinkToFit="false"/>
      <protection locked="true" hidden="false"/>
    </xf>
    <xf numFmtId="178" fontId="22" fillId="0" borderId="0" xfId="0" applyFont="true" applyBorder="false" applyAlignment="true" applyProtection="false">
      <alignment horizontal="center" vertical="bottom" textRotation="0" wrapText="false" indent="0" shrinkToFit="false"/>
      <protection locked="true" hidden="false"/>
    </xf>
    <xf numFmtId="171" fontId="12" fillId="6" borderId="9"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78" fontId="0" fillId="0" borderId="10" xfId="0" applyFont="fals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78" fontId="0" fillId="0" borderId="4" xfId="0" applyFont="fals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false" indent="0" shrinkToFit="false"/>
      <protection locked="true" hidden="false"/>
    </xf>
    <xf numFmtId="178" fontId="0" fillId="0" borderId="1" xfId="0" applyFont="false" applyBorder="true" applyAlignment="true" applyProtection="false">
      <alignment horizontal="center" vertical="center" textRotation="0" wrapText="false" indent="0" shrinkToFit="false"/>
      <protection locked="true" hidden="false"/>
    </xf>
    <xf numFmtId="178" fontId="0" fillId="0" borderId="8" xfId="0" applyFont="fals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85" fontId="0" fillId="0" borderId="0" xfId="0" applyFont="false" applyBorder="false" applyAlignment="true" applyProtection="false">
      <alignment horizontal="center" vertical="bottom" textRotation="0" wrapText="false" indent="0" shrinkToFit="false"/>
      <protection locked="true" hidden="false"/>
    </xf>
    <xf numFmtId="183" fontId="0" fillId="0" borderId="0" xfId="0" applyFont="false" applyBorder="false" applyAlignment="true" applyProtection="fals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urrency 2" xfId="21"/>
    <cellStyle name="Normal 2" xfId="22"/>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142920</xdr:colOff>
      <xdr:row>1</xdr:row>
      <xdr:rowOff>15480</xdr:rowOff>
    </xdr:from>
    <xdr:to>
      <xdr:col>5</xdr:col>
      <xdr:colOff>141120</xdr:colOff>
      <xdr:row>2</xdr:row>
      <xdr:rowOff>23040</xdr:rowOff>
    </xdr:to>
    <xdr:pic>
      <xdr:nvPicPr>
        <xdr:cNvPr id="0" name="Picture 1" descr="Logos &amp; Brand Guidelines | NVIDIA"/>
        <xdr:cNvPicPr/>
      </xdr:nvPicPr>
      <xdr:blipFill>
        <a:blip r:embed="rId1"/>
        <a:stretch/>
      </xdr:blipFill>
      <xdr:spPr>
        <a:xfrm>
          <a:off x="5959440" y="82080"/>
          <a:ext cx="609840" cy="331560"/>
        </a:xfrm>
        <a:prstGeom prst="rect">
          <a:avLst/>
        </a:prstGeom>
        <a:ln w="0">
          <a:noFill/>
        </a:ln>
      </xdr:spPr>
    </xdr:pic>
    <xdr:clientData/>
  </xdr:twoCellAnchor>
</xdr:wsDr>
</file>

<file path=xl/tables/table1.xml><?xml version="1.0" encoding="utf-8"?>
<table xmlns="http://schemas.openxmlformats.org/spreadsheetml/2006/main" id="1" name="Table3" displayName="Table3" ref="A6:T35" headerRowCount="1" totalsRowCount="0" totalsRowShown="0">
  <tableColumns count="20">
    <tableColumn id="1" name="Fiscal Year"/>
    <tableColumn id="2" name="Q4 2020"/>
    <tableColumn id="3" name="Q1 2021"/>
    <tableColumn id="4" name="Q2 2021"/>
    <tableColumn id="5" name="Q3 2021"/>
    <tableColumn id="6" name="Q4 2021"/>
    <tableColumn id="7" name="Q1 2022"/>
    <tableColumn id="8" name="Q2 2022"/>
    <tableColumn id="9" name="Q3 2022"/>
    <tableColumn id="10" name="Q4 2022"/>
    <tableColumn id="11" name="Q1 2023"/>
    <tableColumn id="12" name="Q2 2023"/>
    <tableColumn id="13" name="Q3 2023"/>
    <tableColumn id="14" name="Q4 2023"/>
    <tableColumn id="15" name="Q1 2024"/>
    <tableColumn id="16" name="Q2 2024"/>
    <tableColumn id="17" name="Q3 2024"/>
    <tableColumn id="18" name="Q4 2024"/>
    <tableColumn id="19" name="Q1 2025"/>
    <tableColumn id="20" name="Q2 2025"/>
  </tableColumns>
</table>
</file>

<file path=xl/tables/table2.xml><?xml version="1.0" encoding="utf-8"?>
<table xmlns="http://schemas.openxmlformats.org/spreadsheetml/2006/main" id="2" name="Table4" displayName="Table4" ref="A6:T44" headerRowCount="1" totalsRowCount="0" totalsRowShown="0">
  <tableColumns count="20">
    <tableColumn id="1" name="Fiscal Year"/>
    <tableColumn id="2" name="Q4 2020"/>
    <tableColumn id="3" name="Q1 2021"/>
    <tableColumn id="4" name="Q2 2021"/>
    <tableColumn id="5" name="Q3 2021"/>
    <tableColumn id="6" name="Q4 2021"/>
    <tableColumn id="7" name="Q1 2022"/>
    <tableColumn id="8" name="Q2 2022"/>
    <tableColumn id="9" name="Q3 2022"/>
    <tableColumn id="10" name="Q4 2022"/>
    <tableColumn id="11" name="Q1 2023"/>
    <tableColumn id="12" name="Q2 2023"/>
    <tableColumn id="13" name="Q3 2023"/>
    <tableColumn id="14" name="Q4 2023"/>
    <tableColumn id="15" name="Q1 2024"/>
    <tableColumn id="16" name="Q2 2024"/>
    <tableColumn id="17" name="Q3 2024"/>
    <tableColumn id="18" name="Q4 2024"/>
    <tableColumn id="19" name="Q1 2025"/>
    <tableColumn id="20" name="Q2 2025"/>
  </tableColumns>
</table>
</file>

<file path=xl/tables/table3.xml><?xml version="1.0" encoding="utf-8"?>
<table xmlns="http://schemas.openxmlformats.org/spreadsheetml/2006/main" id="3" name="Table5" displayName="Table5" ref="A6:S55" headerRowCount="1" totalsRowCount="0" totalsRowShown="0">
  <tableColumns count="19">
    <tableColumn id="1" name="Fiscal Year"/>
    <tableColumn id="2" name="Q1 2021"/>
    <tableColumn id="3" name="Q2 2021"/>
    <tableColumn id="4" name="Q3 2021"/>
    <tableColumn id="5" name="Q4 2021"/>
    <tableColumn id="6" name="Q1 2022"/>
    <tableColumn id="7" name="Q2 2022"/>
    <tableColumn id="8" name="Q3 2022"/>
    <tableColumn id="9" name="Q4 2022"/>
    <tableColumn id="10" name="Q1 2023"/>
    <tableColumn id="11" name="Q2 2023"/>
    <tableColumn id="12" name="Q3 2023"/>
    <tableColumn id="13" name="Q4 2023"/>
    <tableColumn id="14" name="Q1 2024"/>
    <tableColumn id="15" name="Q2 2024"/>
    <tableColumn id="16" name="Q3 2024"/>
    <tableColumn id="17" name="Q4 2024"/>
    <tableColumn id="18" name="Q1 2025"/>
    <tableColumn id="19" name="Q2 2025"/>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 Id="rId3"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6"/>
  <sheetViews>
    <sheetView showFormulas="false" showGridLines="false" showRowColHeaders="true" showZeros="true" rightToLeft="false" tabSelected="false" showOutlineSymbols="true" defaultGridColor="true" view="normal" topLeftCell="A1" colorId="64" zoomScale="64" zoomScaleNormal="64" zoomScalePageLayoutView="100" workbookViewId="0">
      <selection pane="topLeft" activeCell="F34" activeCellId="0" sqref="F34"/>
    </sheetView>
  </sheetViews>
  <sheetFormatPr defaultColWidth="8.6796875" defaultRowHeight="14.25" zeroHeight="false" outlineLevelRow="0" outlineLevelCol="0"/>
  <cols>
    <col collapsed="false" customWidth="true" hidden="false" outlineLevel="0" max="1" min="1" style="1" width="1"/>
    <col collapsed="false" customWidth="true" hidden="false" outlineLevel="0" max="2" min="2" style="1" width="24.4"/>
    <col collapsed="false" customWidth="true" hidden="false" outlineLevel="0" max="3" min="3" style="1" width="48.13"/>
    <col collapsed="false" customWidth="true" hidden="false" outlineLevel="0" max="4" min="4" style="1" width="9"/>
  </cols>
  <sheetData>
    <row r="1" customFormat="false" ht="5.25" hidden="false" customHeight="true" outlineLevel="0" collapsed="false"/>
    <row r="2" customFormat="false" ht="25.5" hidden="false" customHeight="true" outlineLevel="0" collapsed="false">
      <c r="B2" s="2" t="s">
        <v>0</v>
      </c>
      <c r="C2" s="2"/>
      <c r="D2" s="2"/>
    </row>
    <row r="4" customFormat="false" ht="14.25" hidden="false" customHeight="true" outlineLevel="0" collapsed="false">
      <c r="B4" s="3" t="s">
        <v>1</v>
      </c>
      <c r="C4" s="4" t="s">
        <v>2</v>
      </c>
    </row>
    <row r="5" customFormat="false" ht="14.25" hidden="false" customHeight="true" outlineLevel="0" collapsed="false">
      <c r="B5" s="3" t="s">
        <v>3</v>
      </c>
      <c r="C5" s="1" t="s">
        <v>4</v>
      </c>
    </row>
    <row r="6" customFormat="false" ht="71.25" hidden="false" customHeight="true" outlineLevel="0" collapsed="false">
      <c r="B6" s="5" t="s">
        <v>5</v>
      </c>
      <c r="C6" s="6" t="s">
        <v>6</v>
      </c>
    </row>
    <row r="7" customFormat="false" ht="57" hidden="false" customHeight="true" outlineLevel="0" collapsed="false">
      <c r="B7" s="5" t="s">
        <v>7</v>
      </c>
      <c r="C7" s="6" t="s">
        <v>8</v>
      </c>
    </row>
    <row r="9" customFormat="false" ht="14.25" hidden="false" customHeight="true" outlineLevel="0" collapsed="false">
      <c r="B9" s="3" t="s">
        <v>9</v>
      </c>
      <c r="C9" s="3" t="s">
        <v>10</v>
      </c>
    </row>
    <row r="10" customFormat="false" ht="14.25" hidden="false" customHeight="true" outlineLevel="0" collapsed="false">
      <c r="B10" s="1" t="s">
        <v>11</v>
      </c>
      <c r="C10" s="7" t="n">
        <f aca="false">'DCF Valuation'!J5</f>
        <v>193.16</v>
      </c>
    </row>
    <row r="11" customFormat="false" ht="14.25" hidden="false" customHeight="true" outlineLevel="0" collapsed="false">
      <c r="B11" s="1" t="s">
        <v>12</v>
      </c>
      <c r="C11" s="7" t="n">
        <f aca="false">'DCF Valuation'!J4</f>
        <v>71.3350609006857</v>
      </c>
    </row>
    <row r="12" customFormat="false" ht="14.25" hidden="false" customHeight="true" outlineLevel="0" collapsed="false">
      <c r="B12" s="1" t="s">
        <v>13</v>
      </c>
      <c r="C12" s="8" t="n">
        <f aca="false">'DCF Valuation'!J6</f>
        <v>-0.630694445533828</v>
      </c>
    </row>
    <row r="13" customFormat="false" ht="14.25" hidden="false" customHeight="true" outlineLevel="0" collapsed="false">
      <c r="B13" s="1" t="s">
        <v>14</v>
      </c>
      <c r="C13" s="9" t="n">
        <f aca="false">WACC!F21</f>
        <v>0.102537677666938</v>
      </c>
    </row>
    <row r="14" customFormat="false" ht="14.25" hidden="false" customHeight="true" outlineLevel="0" collapsed="false">
      <c r="B14" s="1" t="s">
        <v>15</v>
      </c>
      <c r="C14" s="10" t="n">
        <f aca="false">'DCF Valuation'!D43</f>
        <v>0.035</v>
      </c>
    </row>
    <row r="15" customFormat="false" ht="14.25" hidden="false" customHeight="true" outlineLevel="0" collapsed="false">
      <c r="B15" s="1" t="s">
        <v>16</v>
      </c>
      <c r="C15" s="9" t="s">
        <v>2</v>
      </c>
    </row>
    <row r="16" customFormat="false" ht="14.25" hidden="false" customHeight="true" outlineLevel="0" collapsed="false">
      <c r="C16" s="11"/>
    </row>
    <row r="17" customFormat="false" ht="14.25" hidden="false" customHeight="true" outlineLevel="0" collapsed="false">
      <c r="B17" s="3" t="s">
        <v>17</v>
      </c>
      <c r="C17" s="12" t="s">
        <v>10</v>
      </c>
    </row>
    <row r="18" customFormat="false" ht="14.25" hidden="false" customHeight="true" outlineLevel="0" collapsed="false">
      <c r="B18" s="1" t="s">
        <v>18</v>
      </c>
      <c r="C18" s="9" t="n">
        <f aca="false">WACC!F11</f>
        <v>0.1027</v>
      </c>
    </row>
    <row r="19" customFormat="false" ht="14.25" hidden="false" customHeight="true" outlineLevel="0" collapsed="false">
      <c r="B19" s="1" t="s">
        <v>19</v>
      </c>
      <c r="C19" s="13" t="n">
        <f aca="false">WACC!F13</f>
        <v>1.2</v>
      </c>
    </row>
    <row r="20" customFormat="false" ht="14.25" hidden="false" customHeight="true" outlineLevel="0" collapsed="false">
      <c r="B20" s="1" t="s">
        <v>20</v>
      </c>
      <c r="C20" s="9" t="n">
        <f aca="false">WACC!F12</f>
        <v>0.0415</v>
      </c>
    </row>
    <row r="21" customFormat="false" ht="14.25" hidden="false" customHeight="true" outlineLevel="0" collapsed="false">
      <c r="B21" s="1" t="s">
        <v>21</v>
      </c>
      <c r="C21" s="9" t="n">
        <f aca="false">WACC!F14</f>
        <v>0.051</v>
      </c>
    </row>
    <row r="22" customFormat="false" ht="14.25" hidden="false" customHeight="true" outlineLevel="0" collapsed="false">
      <c r="B22" s="1" t="s">
        <v>22</v>
      </c>
      <c r="C22" s="9" t="n">
        <f aca="false">WACC!F18</f>
        <v>0.0263460088123783</v>
      </c>
    </row>
    <row r="23" customFormat="false" ht="14.25" hidden="false" customHeight="true" outlineLevel="0" collapsed="false">
      <c r="B23" s="1" t="s">
        <v>23</v>
      </c>
      <c r="C23" s="9" t="n">
        <f aca="false">WACC!F19</f>
        <v>0.17</v>
      </c>
    </row>
    <row r="25" customFormat="false" ht="14.25" hidden="false" customHeight="true" outlineLevel="0" collapsed="false">
      <c r="B25" s="3" t="s">
        <v>24</v>
      </c>
      <c r="C25" s="3" t="s">
        <v>25</v>
      </c>
    </row>
    <row r="26" customFormat="false" ht="27.75" hidden="false" customHeight="true" outlineLevel="0" collapsed="false">
      <c r="B26" s="14" t="s">
        <v>26</v>
      </c>
      <c r="C26" s="15" t="s">
        <v>27</v>
      </c>
    </row>
    <row r="27" customFormat="false" ht="28.5" hidden="false" customHeight="true" outlineLevel="0" collapsed="false">
      <c r="B27" s="14" t="s">
        <v>28</v>
      </c>
      <c r="C27" s="15" t="s">
        <v>29</v>
      </c>
    </row>
    <row r="28" customFormat="false" ht="14.25" hidden="false" customHeight="true" outlineLevel="0" collapsed="false">
      <c r="B28" s="14" t="s">
        <v>30</v>
      </c>
      <c r="C28" s="15" t="s">
        <v>31</v>
      </c>
    </row>
    <row r="29" customFormat="false" ht="28.5" hidden="false" customHeight="true" outlineLevel="0" collapsed="false">
      <c r="B29" s="14" t="s">
        <v>32</v>
      </c>
      <c r="C29" s="15" t="s">
        <v>33</v>
      </c>
    </row>
    <row r="30" customFormat="false" ht="28.5" hidden="false" customHeight="true" outlineLevel="0" collapsed="false">
      <c r="B30" s="14" t="s">
        <v>34</v>
      </c>
      <c r="C30" s="15" t="s">
        <v>35</v>
      </c>
    </row>
    <row r="31" customFormat="false" ht="28.5" hidden="false" customHeight="true" outlineLevel="0" collapsed="false">
      <c r="B31" s="14" t="s">
        <v>36</v>
      </c>
      <c r="C31" s="15" t="s">
        <v>37</v>
      </c>
    </row>
    <row r="32" customFormat="false" ht="27.75" hidden="false" customHeight="true" outlineLevel="0" collapsed="false">
      <c r="B32" s="14" t="s">
        <v>38</v>
      </c>
      <c r="C32" s="15" t="s">
        <v>39</v>
      </c>
    </row>
    <row r="33" customFormat="false" ht="28.5" hidden="false" customHeight="true" outlineLevel="0" collapsed="false">
      <c r="B33" s="14" t="s">
        <v>14</v>
      </c>
      <c r="C33" s="15" t="s">
        <v>40</v>
      </c>
    </row>
    <row r="34" customFormat="false" ht="28.5" hidden="false" customHeight="true" outlineLevel="0" collapsed="false">
      <c r="B34" s="14" t="s">
        <v>41</v>
      </c>
      <c r="C34" s="15" t="s">
        <v>42</v>
      </c>
    </row>
    <row r="36" customFormat="false" ht="14.25" hidden="false" customHeight="true" outlineLevel="0" collapsed="false">
      <c r="B36" s="16" t="s">
        <v>43</v>
      </c>
    </row>
  </sheetData>
  <mergeCells count="1">
    <mergeCell ref="B2:D2"/>
  </mergeCells>
  <hyperlinks>
    <hyperlink ref="B26" location="'Revenue Streams'!A1" display="Revenue Streams"/>
    <hyperlink ref="B27" location="'Income Statement'!A1" display="Income Statement"/>
    <hyperlink ref="B28" location="'Balance Sheet'!A1" display="Balance Sheet"/>
    <hyperlink ref="B29" location="'Cash Flow Statement'!A1" display="Cash Flow Statement"/>
    <hyperlink ref="B30" location="'Working Capital'!A1" display="Working Capital"/>
    <hyperlink ref="B31" location="Debt!A1" display="Debt"/>
    <hyperlink ref="B32" location="'Fixed Assets'!A1" display="Fixed Assets"/>
    <hyperlink ref="B33" location="WACC!A1" display="WACC"/>
    <hyperlink ref="B34" location="'DCF Valuation'!A1" display="DCF Valuat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8"/>
  <sheetViews>
    <sheetView showFormulas="false" showGridLines="false" showRowColHeaders="true" showZeros="true" rightToLeft="false" tabSelected="false" showOutlineSymbols="true" defaultGridColor="true" view="normal" topLeftCell="A1" colorId="64" zoomScale="64" zoomScaleNormal="64"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26.4"/>
    <col collapsed="false" customWidth="true" hidden="false" outlineLevel="0" max="2" min="2" style="1" width="9.6"/>
    <col collapsed="false" customWidth="true" hidden="false" outlineLevel="0" max="3" min="3" style="1" width="7.88"/>
    <col collapsed="false" customWidth="true" hidden="false" outlineLevel="0" max="22" min="16" style="1" width="8.87"/>
  </cols>
  <sheetData>
    <row r="1" customFormat="false" ht="7.5" hidden="false" customHeight="true" outlineLevel="0" collapsed="false"/>
    <row r="2" customFormat="false" ht="18.75" hidden="false" customHeight="true" outlineLevel="0" collapsed="false">
      <c r="A2" s="17" t="s">
        <v>26</v>
      </c>
      <c r="C2" s="18"/>
      <c r="D2" s="18"/>
      <c r="E2" s="18"/>
      <c r="L2" s="19"/>
      <c r="M2" s="19"/>
      <c r="N2" s="19"/>
      <c r="O2" s="20"/>
      <c r="P2" s="20"/>
      <c r="Q2" s="20"/>
      <c r="R2" s="20"/>
      <c r="S2" s="20"/>
    </row>
    <row r="4" customFormat="false" ht="14.25" hidden="false" customHeight="true" outlineLevel="0" collapsed="false">
      <c r="A4" s="21" t="s">
        <v>44</v>
      </c>
      <c r="B4" s="21" t="s">
        <v>45</v>
      </c>
      <c r="C4" s="21" t="s">
        <v>46</v>
      </c>
      <c r="D4" s="21" t="s">
        <v>47</v>
      </c>
      <c r="E4" s="21" t="s">
        <v>48</v>
      </c>
      <c r="F4" s="21" t="s">
        <v>49</v>
      </c>
      <c r="G4" s="21" t="s">
        <v>50</v>
      </c>
      <c r="H4" s="21" t="s">
        <v>51</v>
      </c>
      <c r="I4" s="21" t="s">
        <v>52</v>
      </c>
      <c r="J4" s="21" t="s">
        <v>53</v>
      </c>
      <c r="K4" s="21" t="s">
        <v>54</v>
      </c>
      <c r="L4" s="21" t="s">
        <v>55</v>
      </c>
      <c r="M4" s="21" t="s">
        <v>56</v>
      </c>
      <c r="N4" s="21" t="s">
        <v>57</v>
      </c>
      <c r="O4" s="21" t="s">
        <v>58</v>
      </c>
      <c r="P4" s="21" t="s">
        <v>59</v>
      </c>
      <c r="Q4" s="21" t="s">
        <v>60</v>
      </c>
      <c r="R4" s="21" t="s">
        <v>61</v>
      </c>
      <c r="S4" s="21" t="s">
        <v>62</v>
      </c>
      <c r="T4" s="21" t="s">
        <v>63</v>
      </c>
      <c r="U4" s="21" t="s">
        <v>64</v>
      </c>
    </row>
    <row r="5" customFormat="false" ht="14.25" hidden="false" customHeight="true" outlineLevel="0" collapsed="false">
      <c r="A5" s="22" t="s">
        <v>65</v>
      </c>
      <c r="B5" s="23" t="n">
        <f aca="false">1/3*B25+2/3*C25</f>
        <v>1083.33333333333</v>
      </c>
      <c r="C5" s="23" t="n">
        <f aca="false">1/3*C25+2/3*D25</f>
        <v>1548.33333333333</v>
      </c>
      <c r="D5" s="23" t="n">
        <f aca="false">1/3*D25+2/3*E25</f>
        <v>1850.66666666667</v>
      </c>
      <c r="E5" s="23" t="n">
        <f aca="false">1/3*E25+2/3*F25</f>
        <v>1902</v>
      </c>
      <c r="F5" s="23" t="n">
        <f aca="false">1/3*F25+2/3*G25</f>
        <v>1999.66666666667</v>
      </c>
      <c r="G5" s="23" t="n">
        <f aca="false">1/3*G25+2/3*H25</f>
        <v>2260</v>
      </c>
      <c r="H5" s="23" t="n">
        <f aca="false">1/3*H25+2/3*I25</f>
        <v>2746</v>
      </c>
      <c r="I5" s="23" t="n">
        <f aca="false">1/3*I25+2/3*J25</f>
        <v>3154</v>
      </c>
      <c r="J5" s="23" t="n">
        <f aca="false">1/3*J25+2/3*K25</f>
        <v>3587.66666666667</v>
      </c>
      <c r="K5" s="23" t="n">
        <f aca="false">1/3*K25+2/3*L25</f>
        <v>3787.33333333333</v>
      </c>
      <c r="L5" s="23" t="n">
        <f aca="false">1/3*L25+2/3*M25</f>
        <v>3824</v>
      </c>
      <c r="M5" s="23" t="n">
        <f aca="false">1/3*M25+2/3*N25</f>
        <v>3688.33333333333</v>
      </c>
      <c r="N5" s="23" t="n">
        <f aca="false">1/3*N25+2/3*O25</f>
        <v>4061.33333333333</v>
      </c>
      <c r="O5" s="23" t="n">
        <f aca="false">1/3*O25+2/3*P25</f>
        <v>8310</v>
      </c>
      <c r="P5" s="23" t="n">
        <f aca="false">1/3*P25+2/3*Q25</f>
        <v>13117</v>
      </c>
      <c r="Q5" s="23" t="n">
        <f aca="false">1/3*Q25+2/3*R25</f>
        <v>17107.3333333333</v>
      </c>
      <c r="R5" s="23" t="n">
        <f aca="false">1/3*R25+2/3*S25</f>
        <v>21176.6666666667</v>
      </c>
      <c r="S5" s="23" t="n">
        <f aca="false">1/3*S25+2/3*T25</f>
        <v>25061.6666666667</v>
      </c>
      <c r="T5" s="23" t="n">
        <f aca="false">1/3*T25+2/3*U25</f>
        <v>29303.6666666667</v>
      </c>
      <c r="U5" s="23" t="n">
        <f aca="false">1/3*U25+2/3*W22</f>
        <v>10266.6666666667</v>
      </c>
    </row>
    <row r="6" customFormat="false" ht="14.25" hidden="false" customHeight="true" outlineLevel="0" collapsed="false">
      <c r="A6" s="22" t="s">
        <v>65</v>
      </c>
      <c r="B6" s="24" t="n">
        <f aca="false">B5/B$20</f>
        <v>0.350782514840799</v>
      </c>
      <c r="C6" s="24" t="n">
        <f aca="false">C5/C$20</f>
        <v>0.429615242323344</v>
      </c>
      <c r="D6" s="24" t="n">
        <f aca="false">D5/D$20</f>
        <v>0.416879411323022</v>
      </c>
      <c r="E6" s="24" t="n">
        <f aca="false">E5/E$20</f>
        <v>0.387320119467825</v>
      </c>
      <c r="F6" s="24" t="n">
        <f aca="false">F5/F$20</f>
        <v>0.367473200612557</v>
      </c>
      <c r="G6" s="24" t="n">
        <f aca="false">G5/G$20</f>
        <v>0.363052208835341</v>
      </c>
      <c r="H6" s="24" t="n">
        <f aca="false">H5/H$20</f>
        <v>0.397721237869937</v>
      </c>
      <c r="I6" s="24" t="n">
        <f aca="false">I5/I$20</f>
        <v>0.422618250033499</v>
      </c>
      <c r="J6" s="24" t="n">
        <f aca="false">J5/J$20</f>
        <v>0.444403154548082</v>
      </c>
      <c r="K6" s="24" t="n">
        <f aca="false">K5/K$20</f>
        <v>0.523691002949853</v>
      </c>
      <c r="L6" s="24" t="n">
        <f aca="false">L5/L$20</f>
        <v>0.617903694926209</v>
      </c>
      <c r="M6" s="24" t="n">
        <f aca="false">M5/M$20</f>
        <v>0.613597293850164</v>
      </c>
      <c r="N6" s="24" t="n">
        <f aca="false">N5/N$20</f>
        <v>0.596231954979202</v>
      </c>
      <c r="O6" s="24" t="n">
        <f aca="false">O5/O$20</f>
        <v>0.728819505349939</v>
      </c>
      <c r="P6" s="24" t="n">
        <f aca="false">P5/P$20</f>
        <v>0.791022574225582</v>
      </c>
      <c r="Q6" s="24" t="n">
        <f aca="false">Q5/Q$20</f>
        <v>0.823444469402818</v>
      </c>
      <c r="R6" s="24" t="n">
        <f aca="false">R5/R$20</f>
        <v>0.85630332520117</v>
      </c>
      <c r="S6" s="24" t="n">
        <f aca="false">S5/S$20</f>
        <v>0.872985462821049</v>
      </c>
      <c r="T6" s="24" t="n">
        <f aca="false">T5/T$20</f>
        <v>0.877320266656022</v>
      </c>
      <c r="U6" s="24" t="n">
        <f aca="false">U5/U$20</f>
        <v>0.87794310472607</v>
      </c>
    </row>
    <row r="8" customFormat="false" ht="14.25" hidden="false" customHeight="true" outlineLevel="0" collapsed="false">
      <c r="A8" s="22" t="s">
        <v>66</v>
      </c>
      <c r="B8" s="23" t="n">
        <f aca="false">1/3*B29+2/3*C29</f>
        <v>1389.66666666667</v>
      </c>
      <c r="C8" s="23" t="n">
        <f aca="false">1/3*C29+2/3*D29</f>
        <v>1549</v>
      </c>
      <c r="D8" s="23" t="n">
        <f aca="false">1/3*D29+2/3*E29</f>
        <v>2065.33333333333</v>
      </c>
      <c r="E8" s="23" t="n">
        <f aca="false">1/3*E29+2/3*F29</f>
        <v>2420.33333333333</v>
      </c>
      <c r="F8" s="23" t="n">
        <f aca="false">1/3*F29+2/3*G29</f>
        <v>2671.66666666667</v>
      </c>
      <c r="G8" s="23" t="n">
        <f aca="false">1/3*G29+2/3*H29</f>
        <v>2960.66666666667</v>
      </c>
      <c r="H8" s="23" t="n">
        <f aca="false">1/3*H29+2/3*I29</f>
        <v>3167.66666666667</v>
      </c>
      <c r="I8" s="23" t="n">
        <f aca="false">1/3*I29+2/3*J29</f>
        <v>3353.66666666667</v>
      </c>
      <c r="J8" s="23" t="n">
        <f aca="false">1/3*J29+2/3*K29</f>
        <v>3553.33333333333</v>
      </c>
      <c r="K8" s="23" t="n">
        <f aca="false">1/3*K29+2/3*L29</f>
        <v>2568</v>
      </c>
      <c r="L8" s="23" t="n">
        <f aca="false">1/3*L29+2/3*M29</f>
        <v>1730</v>
      </c>
      <c r="M8" s="23" t="n">
        <f aca="false">1/3*M29+2/3*N29</f>
        <v>1745.33333333333</v>
      </c>
      <c r="N8" s="23" t="n">
        <f aca="false">1/3*N29+2/3*O29</f>
        <v>2103.66666666667</v>
      </c>
      <c r="O8" s="23" t="n">
        <f aca="false">1/3*O29+2/3*P29</f>
        <v>2404</v>
      </c>
      <c r="P8" s="23" t="n">
        <f aca="false">1/3*P29+2/3*Q29</f>
        <v>2732.66666666667</v>
      </c>
      <c r="Q8" s="23" t="n">
        <f aca="false">1/3*Q29+2/3*R29</f>
        <v>2862</v>
      </c>
      <c r="R8" s="23" t="n">
        <f aca="false">1/3*R29+2/3*S29</f>
        <v>2721</v>
      </c>
      <c r="S8" s="23" t="n">
        <f aca="false">1/3*S29+2/3*T29</f>
        <v>2813</v>
      </c>
      <c r="T8" s="23" t="n">
        <f aca="false">1/3*T29+2/3*U29</f>
        <v>3165</v>
      </c>
      <c r="U8" s="23" t="n">
        <f aca="false">1/3*U29+2/3*W26</f>
        <v>1100</v>
      </c>
    </row>
    <row r="9" customFormat="false" ht="14.25" hidden="false" customHeight="true" outlineLevel="0" collapsed="false">
      <c r="A9" s="22" t="s">
        <v>66</v>
      </c>
      <c r="B9" s="24" t="n">
        <f aca="false">B8/B$20</f>
        <v>0.449973016729628</v>
      </c>
      <c r="C9" s="24" t="n">
        <f aca="false">C8/C$20</f>
        <v>0.429800221975583</v>
      </c>
      <c r="D9" s="24" t="n">
        <f aca="false">D8/D$20</f>
        <v>0.465235020273314</v>
      </c>
      <c r="E9" s="24" t="n">
        <f aca="false">E8/E$20</f>
        <v>0.492872658159109</v>
      </c>
      <c r="F9" s="24" t="n">
        <f aca="false">F8/F$20</f>
        <v>0.490964777947933</v>
      </c>
      <c r="G9" s="24" t="n">
        <f aca="false">G8/G$20</f>
        <v>0.475609103078983</v>
      </c>
      <c r="H9" s="24" t="n">
        <f aca="false">H8/H$20</f>
        <v>0.458793994109979</v>
      </c>
      <c r="I9" s="24" t="n">
        <f aca="false">I8/I$20</f>
        <v>0.449372459690026</v>
      </c>
      <c r="J9" s="24" t="n">
        <f aca="false">J8/J$20</f>
        <v>0.440150295222759</v>
      </c>
      <c r="K9" s="24" t="n">
        <f aca="false">K8/K$20</f>
        <v>0.355088495575221</v>
      </c>
      <c r="L9" s="24" t="n">
        <f aca="false">L8/L$20</f>
        <v>0.279543251104169</v>
      </c>
      <c r="M9" s="24" t="n">
        <f aca="false">M8/M$20</f>
        <v>0.290356568513281</v>
      </c>
      <c r="N9" s="24" t="n">
        <f aca="false">N8/N$20</f>
        <v>0.308832884756545</v>
      </c>
      <c r="O9" s="24" t="n">
        <f aca="false">O8/O$20</f>
        <v>0.210840203473075</v>
      </c>
      <c r="P9" s="24" t="n">
        <f aca="false">P8/P$20</f>
        <v>0.164793856915995</v>
      </c>
      <c r="Q9" s="24" t="n">
        <f aca="false">Q8/Q$20</f>
        <v>0.13775952251067</v>
      </c>
      <c r="R9" s="24" t="n">
        <f aca="false">R8/R$20</f>
        <v>0.110026822660431</v>
      </c>
      <c r="S9" s="24" t="n">
        <f aca="false">S8/S$20</f>
        <v>0.0979866239375784</v>
      </c>
      <c r="T9" s="24" t="n">
        <f aca="false">T8/T$20</f>
        <v>0.0947566963394675</v>
      </c>
      <c r="U9" s="24" t="n">
        <f aca="false">U8/U$20</f>
        <v>0.0940653326492218</v>
      </c>
    </row>
    <row r="11" customFormat="false" ht="14.25" hidden="false" customHeight="true" outlineLevel="0" collapsed="false">
      <c r="A11" s="22" t="s">
        <v>67</v>
      </c>
      <c r="B11" s="23" t="n">
        <f aca="false">1/3*B33+2/3*C33</f>
        <v>315</v>
      </c>
      <c r="C11" s="23" t="n">
        <f aca="false">1/3*C33+2/3*D33</f>
        <v>237.666666666667</v>
      </c>
      <c r="D11" s="23" t="n">
        <f aca="false">1/3*D33+2/3*E33</f>
        <v>225</v>
      </c>
      <c r="E11" s="23" t="n">
        <f aca="false">1/3*E33+2/3*F33</f>
        <v>283.333333333333</v>
      </c>
      <c r="F11" s="23" t="n">
        <f aca="false">1/3*F33+2/3*G33</f>
        <v>350.333333333333</v>
      </c>
      <c r="G11" s="23" t="n">
        <f aca="false">1/3*G33+2/3*H33</f>
        <v>470</v>
      </c>
      <c r="H11" s="23" t="n">
        <f aca="false">1/3*H33+2/3*I33</f>
        <v>557.666666666667</v>
      </c>
      <c r="I11" s="23" t="n">
        <f aca="false">1/3*I33+2/3*J33</f>
        <v>621</v>
      </c>
      <c r="J11" s="23" t="n">
        <f aca="false">1/3*J33+2/3*K33</f>
        <v>629</v>
      </c>
      <c r="K11" s="23" t="n">
        <f aca="false">1/3*K33+2/3*L33</f>
        <v>538</v>
      </c>
      <c r="L11" s="23" t="n">
        <f aca="false">1/3*L33+2/3*M33</f>
        <v>298.666666666667</v>
      </c>
      <c r="M11" s="23" t="n">
        <f aca="false">1/3*M33+2/3*N33</f>
        <v>217.333333333333</v>
      </c>
      <c r="N11" s="23" t="n">
        <f aca="false">1/3*N33+2/3*O33</f>
        <v>272</v>
      </c>
      <c r="O11" s="23" t="n">
        <f aca="false">1/3*O33+2/3*P33</f>
        <v>351</v>
      </c>
      <c r="P11" s="23" t="n">
        <f aca="false">1/3*P33+2/3*Q33</f>
        <v>403.666666666667</v>
      </c>
      <c r="Q11" s="23" t="n">
        <f aca="false">1/3*Q33+2/3*R33</f>
        <v>447.333333333333</v>
      </c>
      <c r="R11" s="23" t="n">
        <f aca="false">1/3*R33+2/3*S33</f>
        <v>439</v>
      </c>
      <c r="S11" s="23" t="n">
        <f aca="false">1/3*S33+2/3*T33</f>
        <v>445</v>
      </c>
      <c r="T11" s="23" t="n">
        <f aca="false">1/3*T33+2/3*U33</f>
        <v>475.333333333333</v>
      </c>
      <c r="U11" s="23" t="n">
        <f aca="false">1/3*U33+2/3*W30</f>
        <v>162</v>
      </c>
    </row>
    <row r="12" customFormat="false" ht="14.25" hidden="false" customHeight="true" outlineLevel="0" collapsed="false">
      <c r="A12" s="22" t="s">
        <v>67</v>
      </c>
      <c r="B12" s="24" t="n">
        <f aca="false">B11/B$20</f>
        <v>0.101996762007555</v>
      </c>
      <c r="C12" s="24" t="n">
        <f aca="false">C11/C$20</f>
        <v>0.0659452460229375</v>
      </c>
      <c r="D12" s="24" t="n">
        <f aca="false">D11/D$20</f>
        <v>0.0506832857786454</v>
      </c>
      <c r="E12" s="24" t="n">
        <f aca="false">E11/E$20</f>
        <v>0.0576975291881618</v>
      </c>
      <c r="F12" s="24" t="n">
        <f aca="false">F11/F$20</f>
        <v>0.0643797856049005</v>
      </c>
      <c r="G12" s="24" t="n">
        <f aca="false">G11/G$20</f>
        <v>0.0755020080321285</v>
      </c>
      <c r="H12" s="24" t="n">
        <f aca="false">H11/H$20</f>
        <v>0.080770530584657</v>
      </c>
      <c r="I12" s="24" t="n">
        <f aca="false">I11/I$20</f>
        <v>0.0832105051587833</v>
      </c>
      <c r="J12" s="24" t="n">
        <f aca="false">J11/J$20</f>
        <v>0.0779140344357736</v>
      </c>
      <c r="K12" s="24" t="n">
        <f aca="false">K11/K$20</f>
        <v>0.074391592920354</v>
      </c>
      <c r="L12" s="24" t="n">
        <f aca="false">L11/L$20</f>
        <v>0.0482602606915868</v>
      </c>
      <c r="M12" s="24" t="n">
        <f aca="false">M11/M$20</f>
        <v>0.0361559363389342</v>
      </c>
      <c r="N12" s="24" t="n">
        <f aca="false">N11/N$20</f>
        <v>0.039931490090531</v>
      </c>
      <c r="O12" s="24" t="n">
        <f aca="false">O11/O$20</f>
        <v>0.0307840729696544</v>
      </c>
      <c r="P12" s="24" t="n">
        <f aca="false">P11/P$20</f>
        <v>0.0243431764729531</v>
      </c>
      <c r="Q12" s="24" t="n">
        <f aca="false">Q11/Q$20</f>
        <v>0.0215319449346982</v>
      </c>
      <c r="R12" s="24" t="n">
        <f aca="false">R11/R$20</f>
        <v>0.0177514792899408</v>
      </c>
      <c r="S12" s="24" t="n">
        <f aca="false">S11/S$20</f>
        <v>0.0155009056708931</v>
      </c>
      <c r="T12" s="24" t="n">
        <f aca="false">T11/T$20</f>
        <v>0.0142309688235999</v>
      </c>
      <c r="U12" s="24" t="n">
        <f aca="false">U11/U$20</f>
        <v>0.0138532580810672</v>
      </c>
    </row>
    <row r="14" customFormat="false" ht="14.25" hidden="false" customHeight="true" outlineLevel="0" collapsed="false">
      <c r="A14" s="22" t="s">
        <v>68</v>
      </c>
      <c r="B14" s="23" t="n">
        <f aca="false">1/3*B37+2/3*C37</f>
        <v>157.666666666667</v>
      </c>
      <c r="C14" s="23" t="n">
        <f aca="false">1/3*C37+2/3*D37</f>
        <v>125.666666666667</v>
      </c>
      <c r="D14" s="23" t="n">
        <f aca="false">1/3*D37+2/3*E37</f>
        <v>120.333333333333</v>
      </c>
      <c r="E14" s="23" t="n">
        <f aca="false">1/3*E37+2/3*F37</f>
        <v>138.333333333333</v>
      </c>
      <c r="F14" s="23" t="n">
        <f aca="false">1/3*F37+2/3*G37</f>
        <v>151</v>
      </c>
      <c r="G14" s="23" t="n">
        <f aca="false">1/3*G37+2/3*H37</f>
        <v>152.666666666667</v>
      </c>
      <c r="H14" s="23" t="n">
        <f aca="false">1/3*H37+2/3*I37</f>
        <v>140.666666666667</v>
      </c>
      <c r="I14" s="23" t="n">
        <f aca="false">1/3*I37+2/3*J37</f>
        <v>128.333333333333</v>
      </c>
      <c r="J14" s="23" t="n">
        <f aca="false">1/3*J37+2/3*K37</f>
        <v>133.666666666667</v>
      </c>
      <c r="K14" s="23" t="n">
        <f aca="false">1/3*K37+2/3*L37</f>
        <v>192.666666666667</v>
      </c>
      <c r="L14" s="23" t="n">
        <f aca="false">1/3*L37+2/3*M37</f>
        <v>240.666666666667</v>
      </c>
      <c r="M14" s="23" t="n">
        <f aca="false">1/3*M37+2/3*N37</f>
        <v>279.666666666667</v>
      </c>
      <c r="N14" s="23" t="n">
        <f aca="false">1/3*N37+2/3*O37</f>
        <v>295.333333333333</v>
      </c>
      <c r="O14" s="23" t="n">
        <f aca="false">1/3*O37+2/3*P37</f>
        <v>267.333333333333</v>
      </c>
      <c r="P14" s="23" t="n">
        <f aca="false">1/3*P37+2/3*Q37</f>
        <v>258.333333333333</v>
      </c>
      <c r="Q14" s="23" t="n">
        <f aca="false">1/3*Q37+2/3*R37</f>
        <v>274.333333333333</v>
      </c>
      <c r="R14" s="23" t="n">
        <f aca="false">1/3*R37+2/3*S37</f>
        <v>313</v>
      </c>
      <c r="S14" s="23" t="n">
        <f aca="false">1/3*S37+2/3*T37</f>
        <v>340.333333333333</v>
      </c>
      <c r="T14" s="23" t="n">
        <f aca="false">1/3*T37+2/3*U37</f>
        <v>414.666666666667</v>
      </c>
      <c r="U14" s="23" t="n">
        <f aca="false">1/3*U37+2/3*W34</f>
        <v>149.666666666667</v>
      </c>
    </row>
    <row r="15" customFormat="false" ht="14.25" hidden="false" customHeight="true" outlineLevel="0" collapsed="false">
      <c r="A15" s="22" t="s">
        <v>68</v>
      </c>
      <c r="B15" s="24" t="n">
        <f aca="false">B14/B$20</f>
        <v>0.0510523475445224</v>
      </c>
      <c r="C15" s="24" t="n">
        <f aca="false">C14/C$20</f>
        <v>0.0348686644469108</v>
      </c>
      <c r="D15" s="24" t="n">
        <f aca="false">D14/D$20</f>
        <v>0.0271061720979126</v>
      </c>
      <c r="E15" s="24" t="n">
        <f aca="false">E14/E$20</f>
        <v>0.0281699701330437</v>
      </c>
      <c r="F15" s="24" t="n">
        <f aca="false">F14/F$20</f>
        <v>0.0277488514548239</v>
      </c>
      <c r="G15" s="24" t="n">
        <f aca="false">G14/G$20</f>
        <v>0.024524765729585</v>
      </c>
      <c r="H15" s="24" t="n">
        <f aca="false">H14/H$20</f>
        <v>0.0203736783662434</v>
      </c>
      <c r="I15" s="24" t="n">
        <f aca="false">I14/I$20</f>
        <v>0.0171959444370003</v>
      </c>
      <c r="J15" s="24" t="n">
        <f aca="false">J14/J$20</f>
        <v>0.0165572484413064</v>
      </c>
      <c r="K15" s="24" t="n">
        <f aca="false">K14/K$20</f>
        <v>0.0266408554572271</v>
      </c>
      <c r="L15" s="24" t="n">
        <f aca="false">L14/L$20</f>
        <v>0.0388882904233545</v>
      </c>
      <c r="M15" s="24" t="n">
        <f aca="false">M14/M$20</f>
        <v>0.0465258137858371</v>
      </c>
      <c r="N15" s="24" t="n">
        <f aca="false">N14/N$20</f>
        <v>0.0433569855639834</v>
      </c>
      <c r="O15" s="24" t="n">
        <f aca="false">O14/O$20</f>
        <v>0.0234461790329182</v>
      </c>
      <c r="P15" s="24" t="n">
        <f aca="false">P14/P$20</f>
        <v>0.015578828874103</v>
      </c>
      <c r="Q15" s="24" t="n">
        <f aca="false">Q14/Q$20</f>
        <v>0.0132047620575683</v>
      </c>
      <c r="R15" s="24" t="n">
        <f aca="false">R14/R$20</f>
        <v>0.0126565216805273</v>
      </c>
      <c r="S15" s="24" t="n">
        <f aca="false">S14/S$20</f>
        <v>0.0118549997677767</v>
      </c>
      <c r="T15" s="24" t="n">
        <f aca="false">T14/T$20</f>
        <v>0.0124146740649076</v>
      </c>
      <c r="U15" s="24" t="n">
        <f aca="false">U14/U$20</f>
        <v>0.0127985861695456</v>
      </c>
    </row>
    <row r="17" customFormat="false" ht="14.25" hidden="false" customHeight="true" outlineLevel="0" collapsed="false">
      <c r="A17" s="22" t="s">
        <v>69</v>
      </c>
      <c r="B17" s="23" t="n">
        <f aca="false">1/3*B41+2/3*C41</f>
        <v>142.666666666667</v>
      </c>
      <c r="C17" s="23" t="n">
        <f aca="false">1/3*C41+2/3*D41</f>
        <v>143.333333333333</v>
      </c>
      <c r="D17" s="23" t="n">
        <f aca="false">1/3*D41+2/3*E41</f>
        <v>178</v>
      </c>
      <c r="E17" s="23" t="n">
        <f aca="false">1/3*E41+2/3*F41</f>
        <v>166.666666666667</v>
      </c>
      <c r="F17" s="23" t="n">
        <f aca="false">1/3*F41+2/3*G41</f>
        <v>269</v>
      </c>
      <c r="G17" s="23" t="n">
        <f aca="false">1/3*G41+2/3*H41</f>
        <v>381.666666666667</v>
      </c>
      <c r="H17" s="23" t="n">
        <f aca="false">1/3*H41+2/3*I41</f>
        <v>292.333333333333</v>
      </c>
      <c r="I17" s="23" t="n">
        <f aca="false">1/3*I41+2/3*J41</f>
        <v>206</v>
      </c>
      <c r="J17" s="23" t="n">
        <f aca="false">1/3*J41+2/3*K41</f>
        <v>169.333333333333</v>
      </c>
      <c r="K17" s="23" t="n">
        <f aca="false">1/3*K41+2/3*L41</f>
        <v>146</v>
      </c>
      <c r="L17" s="23" t="n">
        <f aca="false">1/3*L41+2/3*M41</f>
        <v>95.3333333333333</v>
      </c>
      <c r="M17" s="23" t="n">
        <f aca="false">1/3*M41+2/3*N41</f>
        <v>80.3333333333333</v>
      </c>
      <c r="N17" s="23" t="n">
        <f aca="false">1/3*N41+2/3*O41</f>
        <v>79.3333333333333</v>
      </c>
      <c r="O17" s="23" t="n">
        <f aca="false">1/3*O41+2/3*P41</f>
        <v>69.6666666666667</v>
      </c>
      <c r="P17" s="23" t="n">
        <f aca="false">1/3*P41+2/3*Q41</f>
        <v>70.6666666666667</v>
      </c>
      <c r="Q17" s="23" t="n">
        <f aca="false">1/3*Q41+2/3*R41</f>
        <v>84.3333333333333</v>
      </c>
      <c r="R17" s="23" t="n">
        <f aca="false">1/3*R41+2/3*S41</f>
        <v>80.6666666666667</v>
      </c>
      <c r="S17" s="23" t="n">
        <f aca="false">1/3*S41+2/3*T41</f>
        <v>48</v>
      </c>
      <c r="T17" s="23" t="n">
        <f aca="false">1/3*T41+2/3*U41</f>
        <v>42.6666666666667</v>
      </c>
      <c r="U17" s="23" t="n">
        <f aca="false">1/3*U41+2/3*W38</f>
        <v>15.6666666666667</v>
      </c>
    </row>
    <row r="18" customFormat="false" ht="14.25" hidden="false" customHeight="true" outlineLevel="0" collapsed="false">
      <c r="A18" s="22" t="s">
        <v>69</v>
      </c>
      <c r="B18" s="24" t="n">
        <f aca="false">B17/B$20</f>
        <v>0.046195358877496</v>
      </c>
      <c r="C18" s="24" t="n">
        <f aca="false">C17/C$20</f>
        <v>0.0397706252312246</v>
      </c>
      <c r="D18" s="24" t="n">
        <f aca="false">D17/D$20</f>
        <v>0.0400961105271062</v>
      </c>
      <c r="E18" s="24" t="n">
        <f aca="false">E17/E$20</f>
        <v>0.0339397230518599</v>
      </c>
      <c r="F18" s="24" t="n">
        <f aca="false">F17/F$20</f>
        <v>0.0494333843797856</v>
      </c>
      <c r="G18" s="24" t="n">
        <f aca="false">G17/G$20</f>
        <v>0.0613119143239625</v>
      </c>
      <c r="H18" s="24" t="n">
        <f aca="false">H17/H$20</f>
        <v>0.0423405590691836</v>
      </c>
      <c r="I18" s="24" t="n">
        <f aca="false">I17/I$20</f>
        <v>0.0276028406806914</v>
      </c>
      <c r="J18" s="24" t="n">
        <f aca="false">J17/J$20</f>
        <v>0.0209752673520789</v>
      </c>
      <c r="K18" s="24" t="n">
        <f aca="false">K17/K$20</f>
        <v>0.0201880530973451</v>
      </c>
      <c r="L18" s="24" t="n">
        <f aca="false">L17/L$20</f>
        <v>0.0154045028546806</v>
      </c>
      <c r="M18" s="24" t="n">
        <f aca="false">M17/M$20</f>
        <v>0.013364387511784</v>
      </c>
      <c r="N18" s="24" t="n">
        <f aca="false">N17/N$20</f>
        <v>0.0116466846097382</v>
      </c>
      <c r="O18" s="24" t="n">
        <f aca="false">O17/O$20</f>
        <v>0.00611003917441385</v>
      </c>
      <c r="P18" s="24" t="n">
        <f aca="false">P17/P$20</f>
        <v>0.00426156351136752</v>
      </c>
      <c r="Q18" s="24" t="n">
        <f aca="false">Q17/Q$20</f>
        <v>0.00405930109424638</v>
      </c>
      <c r="R18" s="24" t="n">
        <f aca="false">R17/R$20</f>
        <v>0.00326185116793142</v>
      </c>
      <c r="S18" s="24" t="n">
        <f aca="false">S17/S$20</f>
        <v>0.00167200780270308</v>
      </c>
      <c r="T18" s="24" t="n">
        <f aca="false">T17/T$20</f>
        <v>0.00127739411600335</v>
      </c>
      <c r="U18" s="24" t="n">
        <f aca="false">U17/U$20</f>
        <v>0.00133971837409498</v>
      </c>
    </row>
    <row r="20" customFormat="false" ht="14.25" hidden="false" customHeight="true" outlineLevel="0" collapsed="false">
      <c r="A20" s="25" t="s">
        <v>70</v>
      </c>
      <c r="B20" s="26" t="n">
        <f aca="false">SUM(B5,B8,B11,B14,B17)</f>
        <v>3088.33333333333</v>
      </c>
      <c r="C20" s="26" t="n">
        <f aca="false">SUM(C5,C8,C11,C14,C17)</f>
        <v>3604</v>
      </c>
      <c r="D20" s="26" t="n">
        <f aca="false">SUM(D5,D8,D11,D14,D17)</f>
        <v>4439.33333333333</v>
      </c>
      <c r="E20" s="26" t="n">
        <f aca="false">SUM(E5,E8,E11,E14,E17)</f>
        <v>4910.66666666667</v>
      </c>
      <c r="F20" s="26" t="n">
        <f aca="false">SUM(F5,F8,F11,F14,F17)</f>
        <v>5441.66666666667</v>
      </c>
      <c r="G20" s="26" t="n">
        <f aca="false">SUM(G5,G8,G11,G14,G17)</f>
        <v>6225</v>
      </c>
      <c r="H20" s="26" t="n">
        <f aca="false">SUM(H5,H8,H11,H14,H17)</f>
        <v>6904.33333333333</v>
      </c>
      <c r="I20" s="26" t="n">
        <f aca="false">SUM(I5,I8,I11,I14,I17)</f>
        <v>7463</v>
      </c>
      <c r="J20" s="26" t="n">
        <f aca="false">SUM(J5,J8,J11,J14,J17)</f>
        <v>8073</v>
      </c>
      <c r="K20" s="26" t="n">
        <f aca="false">SUM(K5,K8,K11,K14,K17)</f>
        <v>7232</v>
      </c>
      <c r="L20" s="26" t="n">
        <f aca="false">SUM(L5,L8,L11,L14,L17)</f>
        <v>6188.66666666667</v>
      </c>
      <c r="M20" s="26" t="n">
        <f aca="false">SUM(M5,M8,M11,M14,M17)</f>
        <v>6011</v>
      </c>
      <c r="N20" s="26" t="n">
        <f aca="false">SUM(N5,N8,N11,N14,N17)</f>
        <v>6811.66666666667</v>
      </c>
      <c r="O20" s="26" t="n">
        <f aca="false">SUM(O5,O8,O11,O14,O17)</f>
        <v>11402</v>
      </c>
      <c r="P20" s="26" t="n">
        <f aca="false">SUM(P5,P8,P11,P14,P17)</f>
        <v>16582.3333333333</v>
      </c>
      <c r="Q20" s="26" t="n">
        <f aca="false">SUM(Q5,Q8,Q11,Q14,Q17)</f>
        <v>20775.3333333333</v>
      </c>
      <c r="R20" s="26" t="n">
        <f aca="false">SUM(R5,R8,R11,R14,R17)</f>
        <v>24730.3333333333</v>
      </c>
      <c r="S20" s="26" t="n">
        <f aca="false">SUM(S5,S8,S11,S14,S17)</f>
        <v>28708</v>
      </c>
      <c r="T20" s="26" t="n">
        <f aca="false">SUM(T5,T8,T11,T14,T17)</f>
        <v>33401.3333333333</v>
      </c>
      <c r="U20" s="26" t="n">
        <f aca="false">SUM(U5,U8,U11,U14,U17)</f>
        <v>11694</v>
      </c>
    </row>
    <row r="21" customFormat="false" ht="14.25" hidden="false" customHeight="true" outlineLevel="0" collapsed="false">
      <c r="A21" s="25"/>
      <c r="B21" s="26"/>
      <c r="C21" s="26"/>
      <c r="D21" s="26"/>
      <c r="E21" s="26"/>
      <c r="F21" s="26"/>
      <c r="G21" s="26"/>
      <c r="H21" s="26"/>
      <c r="I21" s="26"/>
      <c r="J21" s="26"/>
      <c r="K21" s="26"/>
      <c r="L21" s="26"/>
      <c r="M21" s="26"/>
      <c r="N21" s="26"/>
      <c r="O21" s="26"/>
      <c r="P21" s="26"/>
      <c r="Q21" s="26"/>
      <c r="W21" s="27"/>
    </row>
    <row r="22" customFormat="false" ht="14.25" hidden="false" customHeight="true" outlineLevel="0" collapsed="false">
      <c r="A22" s="28" t="s">
        <v>26</v>
      </c>
    </row>
    <row r="23" customFormat="false" ht="14.25" hidden="false" customHeight="true" outlineLevel="0" collapsed="false">
      <c r="A23" s="28"/>
      <c r="B23" s="28"/>
    </row>
    <row r="24" customFormat="false" ht="14.25" hidden="false" customHeight="true" outlineLevel="0" collapsed="false">
      <c r="A24" s="21" t="s">
        <v>44</v>
      </c>
      <c r="B24" s="21" t="s">
        <v>48</v>
      </c>
      <c r="C24" s="21" t="s">
        <v>49</v>
      </c>
      <c r="D24" s="21" t="s">
        <v>50</v>
      </c>
      <c r="E24" s="21" t="s">
        <v>51</v>
      </c>
      <c r="F24" s="21" t="s">
        <v>52</v>
      </c>
      <c r="G24" s="21" t="s">
        <v>53</v>
      </c>
      <c r="H24" s="21" t="s">
        <v>54</v>
      </c>
      <c r="I24" s="21" t="s">
        <v>55</v>
      </c>
      <c r="J24" s="21" t="s">
        <v>56</v>
      </c>
      <c r="K24" s="21" t="s">
        <v>57</v>
      </c>
      <c r="L24" s="21" t="s">
        <v>58</v>
      </c>
      <c r="M24" s="21" t="s">
        <v>59</v>
      </c>
      <c r="N24" s="21" t="s">
        <v>60</v>
      </c>
      <c r="O24" s="21" t="s">
        <v>61</v>
      </c>
      <c r="P24" s="21" t="s">
        <v>62</v>
      </c>
      <c r="Q24" s="21" t="s">
        <v>63</v>
      </c>
      <c r="R24" s="21" t="s">
        <v>64</v>
      </c>
      <c r="S24" s="21" t="s">
        <v>71</v>
      </c>
      <c r="T24" s="21" t="s">
        <v>72</v>
      </c>
      <c r="U24" s="21" t="s">
        <v>73</v>
      </c>
    </row>
    <row r="25" customFormat="false" ht="14.25" hidden="false" customHeight="true" outlineLevel="0" collapsed="false">
      <c r="A25" s="22" t="s">
        <v>65</v>
      </c>
      <c r="B25" s="23" t="n">
        <v>968</v>
      </c>
      <c r="C25" s="23" t="n">
        <v>1141</v>
      </c>
      <c r="D25" s="23" t="n">
        <v>1752</v>
      </c>
      <c r="E25" s="23" t="n">
        <v>1900</v>
      </c>
      <c r="F25" s="23" t="n">
        <v>1903</v>
      </c>
      <c r="G25" s="23" t="n">
        <v>2048</v>
      </c>
      <c r="H25" s="23" t="n">
        <v>2366</v>
      </c>
      <c r="I25" s="23" t="n">
        <v>2936</v>
      </c>
      <c r="J25" s="23" t="n">
        <v>3263</v>
      </c>
      <c r="K25" s="23" t="n">
        <v>3750</v>
      </c>
      <c r="L25" s="23" t="n">
        <v>3806</v>
      </c>
      <c r="M25" s="23" t="n">
        <v>3833</v>
      </c>
      <c r="N25" s="23" t="n">
        <v>3616</v>
      </c>
      <c r="O25" s="23" t="n">
        <v>4284</v>
      </c>
      <c r="P25" s="23" t="n">
        <v>10323</v>
      </c>
      <c r="Q25" s="20" t="n">
        <v>14514</v>
      </c>
      <c r="R25" s="23" t="n">
        <v>18404</v>
      </c>
      <c r="S25" s="29" t="n">
        <v>22563</v>
      </c>
      <c r="T25" s="29" t="n">
        <v>26311</v>
      </c>
      <c r="U25" s="29" t="n">
        <v>30800</v>
      </c>
    </row>
    <row r="26" customFormat="false" ht="14.25" hidden="false" customHeight="true" outlineLevel="0" collapsed="false">
      <c r="A26" s="30" t="s">
        <v>74</v>
      </c>
      <c r="B26" s="23"/>
      <c r="C26" s="24" t="n">
        <f aca="false">C25/B25-1</f>
        <v>0.178719008264463</v>
      </c>
      <c r="D26" s="24" t="n">
        <f aca="false">D25/C25-1</f>
        <v>0.535495179666959</v>
      </c>
      <c r="E26" s="24" t="n">
        <f aca="false">E25/D25-1</f>
        <v>0.0844748858447488</v>
      </c>
      <c r="F26" s="24" t="n">
        <f aca="false">F25/E25-1</f>
        <v>0.00157894736842112</v>
      </c>
      <c r="G26" s="24" t="n">
        <f aca="false">G25/F25-1</f>
        <v>0.0761954808197582</v>
      </c>
      <c r="H26" s="24" t="n">
        <f aca="false">H25/G25-1</f>
        <v>0.1552734375</v>
      </c>
      <c r="I26" s="24" t="n">
        <f aca="false">I25/H25-1</f>
        <v>0.240912933220625</v>
      </c>
      <c r="J26" s="24" t="n">
        <f aca="false">J25/I25-1</f>
        <v>0.111376021798365</v>
      </c>
      <c r="K26" s="24" t="n">
        <f aca="false">K25/J25-1</f>
        <v>0.149249157217285</v>
      </c>
      <c r="L26" s="24" t="n">
        <f aca="false">L25/K25-1</f>
        <v>0.0149333333333332</v>
      </c>
      <c r="M26" s="24" t="n">
        <f aca="false">M25/L25-1</f>
        <v>0.00709406200735674</v>
      </c>
      <c r="N26" s="24" t="n">
        <f aca="false">N25/M25-1</f>
        <v>-0.0566136185755283</v>
      </c>
      <c r="O26" s="24" t="n">
        <f aca="false">O25/N25-1</f>
        <v>0.184734513274336</v>
      </c>
      <c r="P26" s="24" t="n">
        <f aca="false">P25/O25-1</f>
        <v>1.40966386554622</v>
      </c>
      <c r="Q26" s="24" t="n">
        <f aca="false">Q25/P25-1</f>
        <v>0.405986631793083</v>
      </c>
      <c r="R26" s="24" t="n">
        <f aca="false">R25/Q25-1</f>
        <v>0.268017086950531</v>
      </c>
      <c r="S26" s="24" t="n">
        <f aca="false">S25/R25-1</f>
        <v>0.225983481851771</v>
      </c>
      <c r="T26" s="24" t="n">
        <f aca="false">T25/S25-1</f>
        <v>0.166112662323273</v>
      </c>
      <c r="U26" s="24" t="n">
        <f aca="false">U25/T25-1</f>
        <v>0.170613051575387</v>
      </c>
    </row>
    <row r="27" customFormat="false" ht="14.25" hidden="false" customHeight="true" outlineLevel="0" collapsed="false">
      <c r="A27" s="30" t="s">
        <v>75</v>
      </c>
      <c r="B27" s="24" t="n">
        <f aca="false">B25/B$45</f>
        <v>0.311755233494364</v>
      </c>
      <c r="C27" s="24" t="n">
        <f aca="false">C25/C$45</f>
        <v>0.370454545454546</v>
      </c>
      <c r="D27" s="24" t="n">
        <f aca="false">D25/D$45</f>
        <v>0.453181583031557</v>
      </c>
      <c r="E27" s="24" t="n">
        <f aca="false">E25/E$45</f>
        <v>0.402031316123572</v>
      </c>
      <c r="F27" s="24" t="n">
        <f aca="false">F25/F$45</f>
        <v>0.38037177693384</v>
      </c>
      <c r="G27" s="24" t="n">
        <f aca="false">G25/G$45</f>
        <v>0.361773538244127</v>
      </c>
      <c r="H27" s="24" t="n">
        <f aca="false">H25/H$45</f>
        <v>0.363608421699708</v>
      </c>
      <c r="I27" s="24" t="n">
        <f aca="false">I25/I$45</f>
        <v>0.413346473321132</v>
      </c>
      <c r="J27" s="24" t="n">
        <f aca="false">J25/J$45</f>
        <v>0.426926599502813</v>
      </c>
      <c r="K27" s="24" t="n">
        <f aca="false">K25/K$45</f>
        <v>0.45246138996139</v>
      </c>
      <c r="L27" s="24" t="n">
        <f aca="false">L25/L$45</f>
        <v>0.56772076372315</v>
      </c>
      <c r="M27" s="24" t="n">
        <f aca="false">M25/M$45</f>
        <v>0.646265385263868</v>
      </c>
      <c r="N27" s="24" t="n">
        <f aca="false">N25/N$45</f>
        <v>0.597587175673442</v>
      </c>
      <c r="O27" s="24" t="n">
        <f aca="false">O25/O$45</f>
        <v>0.595661846496107</v>
      </c>
      <c r="P27" s="24" t="n">
        <f aca="false">P25/P$45</f>
        <v>0.764270378322351</v>
      </c>
      <c r="Q27" s="24" t="n">
        <f aca="false">Q25/Q$45</f>
        <v>0.800993377483444</v>
      </c>
      <c r="R27" s="24" t="n">
        <f aca="false">R25/R$45</f>
        <v>0.832647151970321</v>
      </c>
      <c r="S27" s="24" t="n">
        <f aca="false">S25/S$45</f>
        <v>0.866341575794809</v>
      </c>
      <c r="T27" s="24" t="n">
        <f aca="false">T25/T$45</f>
        <v>0.8758655126498</v>
      </c>
      <c r="U27" s="24" t="n">
        <f aca="false">U25/U$45</f>
        <v>0.87794310472607</v>
      </c>
    </row>
    <row r="29" customFormat="false" ht="14.25" hidden="false" customHeight="true" outlineLevel="0" collapsed="false">
      <c r="A29" s="22" t="s">
        <v>66</v>
      </c>
      <c r="B29" s="23" t="n">
        <v>1491</v>
      </c>
      <c r="C29" s="23" t="n">
        <v>1339</v>
      </c>
      <c r="D29" s="23" t="n">
        <v>1654</v>
      </c>
      <c r="E29" s="23" t="n">
        <v>2271</v>
      </c>
      <c r="F29" s="23" t="n">
        <v>2495</v>
      </c>
      <c r="G29" s="23" t="n">
        <v>2760</v>
      </c>
      <c r="H29" s="23" t="n">
        <v>3061</v>
      </c>
      <c r="I29" s="23" t="n">
        <v>3221</v>
      </c>
      <c r="J29" s="23" t="n">
        <v>3420</v>
      </c>
      <c r="K29" s="23" t="n">
        <v>3620</v>
      </c>
      <c r="L29" s="23" t="n">
        <v>2042</v>
      </c>
      <c r="M29" s="23" t="n">
        <v>1574</v>
      </c>
      <c r="N29" s="23" t="n">
        <v>1831</v>
      </c>
      <c r="O29" s="23" t="n">
        <v>2240</v>
      </c>
      <c r="P29" s="23" t="n">
        <v>2486</v>
      </c>
      <c r="Q29" s="23" t="n">
        <v>2856</v>
      </c>
      <c r="R29" s="23" t="n">
        <v>2865</v>
      </c>
      <c r="S29" s="29" t="n">
        <v>2649</v>
      </c>
      <c r="T29" s="31" t="n">
        <v>2895</v>
      </c>
      <c r="U29" s="23" t="n">
        <v>3300</v>
      </c>
    </row>
    <row r="30" customFormat="false" ht="14.25" hidden="false" customHeight="true" outlineLevel="0" collapsed="false">
      <c r="A30" s="30" t="s">
        <v>74</v>
      </c>
      <c r="B30" s="23"/>
      <c r="C30" s="24" t="n">
        <f aca="false">C29/B29-1</f>
        <v>-0.101945003353454</v>
      </c>
      <c r="D30" s="24" t="n">
        <f aca="false">D29/C29-1</f>
        <v>0.235250186706497</v>
      </c>
      <c r="E30" s="24" t="n">
        <f aca="false">E29/D29-1</f>
        <v>0.373035066505441</v>
      </c>
      <c r="F30" s="24" t="n">
        <f aca="false">F29/E29-1</f>
        <v>0.0986349625715544</v>
      </c>
      <c r="G30" s="24" t="n">
        <f aca="false">G29/F29-1</f>
        <v>0.106212424849699</v>
      </c>
      <c r="H30" s="24" t="n">
        <f aca="false">H29/G29-1</f>
        <v>0.109057971014493</v>
      </c>
      <c r="I30" s="24" t="n">
        <f aca="false">I29/H29-1</f>
        <v>0.0522704998366548</v>
      </c>
      <c r="J30" s="24" t="n">
        <f aca="false">J29/I29-1</f>
        <v>0.0617820552623409</v>
      </c>
      <c r="K30" s="24" t="n">
        <f aca="false">K29/J29-1</f>
        <v>0.0584795321637428</v>
      </c>
      <c r="L30" s="24" t="n">
        <f aca="false">L29/K29-1</f>
        <v>-0.435911602209945</v>
      </c>
      <c r="M30" s="24" t="n">
        <f aca="false">M29/L29-1</f>
        <v>-0.229187071498531</v>
      </c>
      <c r="N30" s="24" t="n">
        <f aca="false">N29/M29-1</f>
        <v>0.163278271918679</v>
      </c>
      <c r="O30" s="24" t="n">
        <f aca="false">O29/N29-1</f>
        <v>0.223375204806117</v>
      </c>
      <c r="P30" s="24" t="n">
        <f aca="false">P29/O29-1</f>
        <v>0.109821428571429</v>
      </c>
      <c r="Q30" s="24" t="n">
        <f aca="false">Q29/P29-1</f>
        <v>0.148833467417538</v>
      </c>
      <c r="R30" s="24" t="n">
        <f aca="false">R29/Q29-1</f>
        <v>0.00315126050420167</v>
      </c>
      <c r="S30" s="24" t="n">
        <f aca="false">S29/R29-1</f>
        <v>-0.0753926701570681</v>
      </c>
      <c r="T30" s="24" t="n">
        <f aca="false">T29/S29-1</f>
        <v>0.0928652321630805</v>
      </c>
      <c r="U30" s="24" t="n">
        <f aca="false">U29/T29-1</f>
        <v>0.139896373056995</v>
      </c>
      <c r="X30" s="23"/>
    </row>
    <row r="31" customFormat="false" ht="14.25" hidden="false" customHeight="true" outlineLevel="0" collapsed="false">
      <c r="A31" s="30" t="s">
        <v>75</v>
      </c>
      <c r="B31" s="24" t="n">
        <f aca="false">B29/B$45</f>
        <v>0.480193236714976</v>
      </c>
      <c r="C31" s="24" t="n">
        <f aca="false">C29/C$45</f>
        <v>0.43474025974026</v>
      </c>
      <c r="D31" s="24" t="n">
        <f aca="false">D29/D$45</f>
        <v>0.427832384893947</v>
      </c>
      <c r="E31" s="24" t="n">
        <f aca="false">E29/E$45</f>
        <v>0.480533220482438</v>
      </c>
      <c r="F31" s="24" t="n">
        <f aca="false">F29/F$45</f>
        <v>0.498700779532281</v>
      </c>
      <c r="G31" s="24" t="n">
        <f aca="false">G29/G$45</f>
        <v>0.487546369899311</v>
      </c>
      <c r="H31" s="24" t="n">
        <f aca="false">H29/H$45</f>
        <v>0.470416474565852</v>
      </c>
      <c r="I31" s="24" t="n">
        <f aca="false">I29/I$45</f>
        <v>0.453470364634661</v>
      </c>
      <c r="J31" s="24" t="n">
        <f aca="false">J29/J$45</f>
        <v>0.447468271621091</v>
      </c>
      <c r="K31" s="24" t="n">
        <f aca="false">K29/K$45</f>
        <v>0.436776061776062</v>
      </c>
      <c r="L31" s="24" t="n">
        <f aca="false">L29/L$45</f>
        <v>0.304594272076372</v>
      </c>
      <c r="M31" s="24" t="n">
        <f aca="false">M29/M$45</f>
        <v>0.265385263867813</v>
      </c>
      <c r="N31" s="24" t="n">
        <f aca="false">N29/N$45</f>
        <v>0.30259461246075</v>
      </c>
      <c r="O31" s="24" t="n">
        <f aca="false">O29/O$45</f>
        <v>0.311457174638487</v>
      </c>
      <c r="P31" s="24" t="n">
        <f aca="false">P29/P$45</f>
        <v>0.184052713407863</v>
      </c>
      <c r="Q31" s="24" t="n">
        <f aca="false">Q29/Q$45</f>
        <v>0.157615894039735</v>
      </c>
      <c r="R31" s="24" t="n">
        <f aca="false">R29/R$45</f>
        <v>0.129620413518527</v>
      </c>
      <c r="S31" s="24" t="n">
        <f aca="false">S29/S$45</f>
        <v>0.101712486561204</v>
      </c>
      <c r="T31" s="24" t="n">
        <f aca="false">T29/T$45</f>
        <v>0.0963715046604527</v>
      </c>
      <c r="U31" s="24" t="n">
        <f aca="false">U29/U$45</f>
        <v>0.0940653326492218</v>
      </c>
    </row>
    <row r="33" customFormat="false" ht="14.25" hidden="false" customHeight="true" outlineLevel="0" collapsed="false">
      <c r="A33" s="22" t="s">
        <v>67</v>
      </c>
      <c r="B33" s="23" t="n">
        <v>331</v>
      </c>
      <c r="C33" s="23" t="n">
        <v>307</v>
      </c>
      <c r="D33" s="23" t="n">
        <v>203</v>
      </c>
      <c r="E33" s="23" t="n">
        <v>236</v>
      </c>
      <c r="F33" s="23" t="n">
        <v>307</v>
      </c>
      <c r="G33" s="23" t="n">
        <v>372</v>
      </c>
      <c r="H33" s="23" t="n">
        <v>519</v>
      </c>
      <c r="I33" s="23" t="n">
        <v>577</v>
      </c>
      <c r="J33" s="23" t="n">
        <v>643</v>
      </c>
      <c r="K33" s="23" t="n">
        <v>622</v>
      </c>
      <c r="L33" s="23" t="n">
        <v>496</v>
      </c>
      <c r="M33" s="23" t="n">
        <v>200</v>
      </c>
      <c r="N33" s="23" t="n">
        <v>226</v>
      </c>
      <c r="O33" s="23" t="n">
        <v>295</v>
      </c>
      <c r="P33" s="23" t="n">
        <v>379</v>
      </c>
      <c r="Q33" s="23" t="n">
        <v>416</v>
      </c>
      <c r="R33" s="23" t="n">
        <v>463</v>
      </c>
      <c r="S33" s="23" t="n">
        <v>427</v>
      </c>
      <c r="T33" s="23" t="n">
        <v>454</v>
      </c>
      <c r="U33" s="23" t="n">
        <v>486</v>
      </c>
    </row>
    <row r="34" customFormat="false" ht="14.25" hidden="false" customHeight="true" outlineLevel="0" collapsed="false">
      <c r="A34" s="30" t="s">
        <v>74</v>
      </c>
      <c r="B34" s="23"/>
      <c r="C34" s="24" t="n">
        <f aca="false">C33/B33-1</f>
        <v>-0.0725075528700906</v>
      </c>
      <c r="D34" s="24" t="n">
        <f aca="false">D33/C33-1</f>
        <v>-0.338762214983713</v>
      </c>
      <c r="E34" s="24" t="n">
        <f aca="false">E33/D33-1</f>
        <v>0.16256157635468</v>
      </c>
      <c r="F34" s="24" t="n">
        <f aca="false">F33/E33-1</f>
        <v>0.300847457627119</v>
      </c>
      <c r="G34" s="24" t="n">
        <f aca="false">G33/F33-1</f>
        <v>0.211726384364821</v>
      </c>
      <c r="H34" s="24" t="n">
        <f aca="false">H33/G33-1</f>
        <v>0.395161290322581</v>
      </c>
      <c r="I34" s="24" t="n">
        <f aca="false">I33/H33-1</f>
        <v>0.111753371868979</v>
      </c>
      <c r="J34" s="24" t="n">
        <f aca="false">J33/I33-1</f>
        <v>0.114384748700173</v>
      </c>
      <c r="K34" s="24" t="n">
        <f aca="false">K33/J33-1</f>
        <v>-0.0326594090202177</v>
      </c>
      <c r="L34" s="24" t="n">
        <f aca="false">L33/K33-1</f>
        <v>-0.202572347266881</v>
      </c>
      <c r="M34" s="24" t="n">
        <f aca="false">M33/L33-1</f>
        <v>-0.596774193548387</v>
      </c>
      <c r="N34" s="24" t="n">
        <f aca="false">N33/M33-1</f>
        <v>0.13</v>
      </c>
      <c r="O34" s="24" t="n">
        <f aca="false">O33/N33-1</f>
        <v>0.305309734513274</v>
      </c>
      <c r="P34" s="24" t="n">
        <f aca="false">P33/O33-1</f>
        <v>0.284745762711864</v>
      </c>
      <c r="Q34" s="24" t="n">
        <f aca="false">Q33/P33-1</f>
        <v>0.0976253298153034</v>
      </c>
      <c r="R34" s="24" t="n">
        <f aca="false">R33/Q33-1</f>
        <v>0.112980769230769</v>
      </c>
      <c r="S34" s="24" t="n">
        <f aca="false">S33/R33-1</f>
        <v>-0.0777537796976242</v>
      </c>
      <c r="T34" s="24" t="n">
        <f aca="false">T33/S33-1</f>
        <v>0.0632318501170961</v>
      </c>
      <c r="U34" s="24" t="n">
        <f aca="false">U33/T33-1</f>
        <v>0.0704845814977975</v>
      </c>
    </row>
    <row r="35" customFormat="false" ht="14.25" hidden="false" customHeight="true" outlineLevel="0" collapsed="false">
      <c r="A35" s="30" t="s">
        <v>75</v>
      </c>
      <c r="B35" s="24" t="n">
        <f aca="false">B33/B$45</f>
        <v>0.106602254428341</v>
      </c>
      <c r="C35" s="24" t="n">
        <f aca="false">C33/C$45</f>
        <v>0.0996753246753247</v>
      </c>
      <c r="D35" s="24" t="n">
        <f aca="false">D33/D$45</f>
        <v>0.0525090532850491</v>
      </c>
      <c r="E35" s="24" t="n">
        <f aca="false">E33/E$45</f>
        <v>0.0499365213711384</v>
      </c>
      <c r="F35" s="24" t="n">
        <f aca="false">F33/F$45</f>
        <v>0.0613631820907456</v>
      </c>
      <c r="G35" s="24" t="n">
        <f aca="false">G33/G$45</f>
        <v>0.0657127715951245</v>
      </c>
      <c r="H35" s="24" t="n">
        <f aca="false">H33/H$45</f>
        <v>0.0797602581834947</v>
      </c>
      <c r="I35" s="24" t="n">
        <f aca="false">I33/I$45</f>
        <v>0.0812332817119527</v>
      </c>
      <c r="J35" s="24" t="n">
        <f aca="false">J33/J$45</f>
        <v>0.0841292686118016</v>
      </c>
      <c r="K35" s="24" t="n">
        <f aca="false">K33/K$45</f>
        <v>0.0750482625482626</v>
      </c>
      <c r="L35" s="24" t="n">
        <f aca="false">L33/L$45</f>
        <v>0.0739856801909308</v>
      </c>
      <c r="M35" s="24" t="n">
        <f aca="false">M33/M$45</f>
        <v>0.0337211262856179</v>
      </c>
      <c r="N35" s="24" t="n">
        <f aca="false">N33/N$45</f>
        <v>0.0373491984795902</v>
      </c>
      <c r="O35" s="24" t="n">
        <f aca="false">O33/O$45</f>
        <v>0.0410177975528365</v>
      </c>
      <c r="P35" s="24" t="n">
        <f aca="false">P33/P$45</f>
        <v>0.028059524690901</v>
      </c>
      <c r="Q35" s="24" t="n">
        <f aca="false">Q33/Q$45</f>
        <v>0.0229580573951435</v>
      </c>
      <c r="R35" s="24" t="n">
        <f aca="false">R33/R$45</f>
        <v>0.0209473827082297</v>
      </c>
      <c r="S35" s="24" t="n">
        <f aca="false">S33/S$45</f>
        <v>0.0163953309783443</v>
      </c>
      <c r="T35" s="24" t="n">
        <f aca="false">T33/T$45</f>
        <v>0.0151131824234354</v>
      </c>
      <c r="U35" s="24" t="n">
        <f aca="false">U33/U$45</f>
        <v>0.0138532580810672</v>
      </c>
    </row>
    <row r="37" customFormat="false" ht="14.25" hidden="false" customHeight="true" outlineLevel="0" collapsed="false">
      <c r="A37" s="22" t="s">
        <v>68</v>
      </c>
      <c r="B37" s="23" t="n">
        <v>163</v>
      </c>
      <c r="C37" s="23" t="n">
        <v>155</v>
      </c>
      <c r="D37" s="23" t="n">
        <v>111</v>
      </c>
      <c r="E37" s="23" t="n">
        <v>125</v>
      </c>
      <c r="F37" s="23" t="n">
        <v>145</v>
      </c>
      <c r="G37" s="23" t="n">
        <v>154</v>
      </c>
      <c r="H37" s="23" t="n">
        <v>152</v>
      </c>
      <c r="I37" s="23" t="n">
        <v>135</v>
      </c>
      <c r="J37" s="23" t="n">
        <v>125</v>
      </c>
      <c r="K37" s="23" t="n">
        <v>138</v>
      </c>
      <c r="L37" s="23" t="n">
        <v>220</v>
      </c>
      <c r="M37" s="23" t="n">
        <v>251</v>
      </c>
      <c r="N37" s="23" t="n">
        <v>294</v>
      </c>
      <c r="O37" s="23" t="n">
        <v>296</v>
      </c>
      <c r="P37" s="23" t="n">
        <v>253</v>
      </c>
      <c r="Q37" s="23" t="n">
        <v>261</v>
      </c>
      <c r="R37" s="23" t="n">
        <v>281</v>
      </c>
      <c r="S37" s="20" t="n">
        <v>329</v>
      </c>
      <c r="T37" s="23" t="n">
        <v>346</v>
      </c>
      <c r="U37" s="23" t="n">
        <v>449</v>
      </c>
    </row>
    <row r="38" customFormat="false" ht="14.25" hidden="false" customHeight="true" outlineLevel="0" collapsed="false">
      <c r="A38" s="30" t="s">
        <v>74</v>
      </c>
      <c r="B38" s="23"/>
      <c r="C38" s="24" t="n">
        <f aca="false">C37/B37-1</f>
        <v>-0.049079754601227</v>
      </c>
      <c r="D38" s="24" t="n">
        <f aca="false">D37/C37-1</f>
        <v>-0.283870967741935</v>
      </c>
      <c r="E38" s="24" t="n">
        <f aca="false">E37/D37-1</f>
        <v>0.126126126126126</v>
      </c>
      <c r="F38" s="24" t="n">
        <f aca="false">F37/E37-1</f>
        <v>0.16</v>
      </c>
      <c r="G38" s="24" t="n">
        <f aca="false">G37/F37-1</f>
        <v>0.0620689655172413</v>
      </c>
      <c r="H38" s="24" t="n">
        <f aca="false">H37/G37-1</f>
        <v>-0.012987012987013</v>
      </c>
      <c r="I38" s="24" t="n">
        <f aca="false">I37/H37-1</f>
        <v>-0.111842105263158</v>
      </c>
      <c r="J38" s="24" t="n">
        <f aca="false">J37/I37-1</f>
        <v>-0.0740740740740741</v>
      </c>
      <c r="K38" s="24" t="n">
        <f aca="false">K37/J37-1</f>
        <v>0.104</v>
      </c>
      <c r="L38" s="24" t="n">
        <f aca="false">L37/K37-1</f>
        <v>0.594202898550725</v>
      </c>
      <c r="M38" s="24" t="n">
        <f aca="false">M37/L37-1</f>
        <v>0.140909090909091</v>
      </c>
      <c r="N38" s="24" t="n">
        <f aca="false">N37/M37-1</f>
        <v>0.171314741035857</v>
      </c>
      <c r="O38" s="24" t="n">
        <f aca="false">O37/N37-1</f>
        <v>0.00680272108843538</v>
      </c>
      <c r="P38" s="24" t="n">
        <f aca="false">P37/O37-1</f>
        <v>-0.14527027027027</v>
      </c>
      <c r="Q38" s="24" t="n">
        <f aca="false">Q37/P37-1</f>
        <v>0.0316205533596838</v>
      </c>
      <c r="R38" s="24" t="n">
        <f aca="false">R37/Q37-1</f>
        <v>0.0766283524904214</v>
      </c>
      <c r="S38" s="24" t="n">
        <f aca="false">S37/R37-1</f>
        <v>0.170818505338078</v>
      </c>
      <c r="T38" s="24" t="n">
        <f aca="false">T37/S37-1</f>
        <v>0.0516717325227964</v>
      </c>
      <c r="U38" s="24" t="n">
        <f aca="false">U37/T37-1</f>
        <v>0.297687861271676</v>
      </c>
    </row>
    <row r="39" customFormat="false" ht="14.25" hidden="false" customHeight="true" outlineLevel="0" collapsed="false">
      <c r="A39" s="30" t="s">
        <v>75</v>
      </c>
      <c r="B39" s="24" t="n">
        <f aca="false">B37/B$45</f>
        <v>0.0524959742351047</v>
      </c>
      <c r="C39" s="24" t="n">
        <f aca="false">C37/C$45</f>
        <v>0.0503246753246753</v>
      </c>
      <c r="D39" s="24" t="n">
        <f aca="false">D37/D$45</f>
        <v>0.02871184687015</v>
      </c>
      <c r="E39" s="24" t="n">
        <f aca="false">E37/E$45</f>
        <v>0.0264494286923402</v>
      </c>
      <c r="F39" s="24" t="n">
        <f aca="false">F37/F$45</f>
        <v>0.0289826104337398</v>
      </c>
      <c r="G39" s="24" t="n">
        <f aca="false">G37/G$45</f>
        <v>0.0272036742624978</v>
      </c>
      <c r="H39" s="24" t="n">
        <f aca="false">H37/H$45</f>
        <v>0.0233594590441063</v>
      </c>
      <c r="I39" s="24" t="n">
        <f aca="false">I37/I$45</f>
        <v>0.0190060537800929</v>
      </c>
      <c r="J39" s="24" t="n">
        <f aca="false">J37/J$45</f>
        <v>0.016354834489075</v>
      </c>
      <c r="K39" s="24" t="n">
        <f aca="false">K37/K$45</f>
        <v>0.0166505791505792</v>
      </c>
      <c r="L39" s="24" t="n">
        <f aca="false">L37/L$45</f>
        <v>0.0328162291169451</v>
      </c>
      <c r="M39" s="24" t="n">
        <f aca="false">M37/M$45</f>
        <v>0.0423200134884505</v>
      </c>
      <c r="N39" s="24" t="n">
        <f aca="false">N37/N$45</f>
        <v>0.0485870104115022</v>
      </c>
      <c r="O39" s="24" t="n">
        <f aca="false">O37/O$45</f>
        <v>0.0411568409343715</v>
      </c>
      <c r="P39" s="24" t="n">
        <f aca="false">P37/P$45</f>
        <v>0.0187310283556674</v>
      </c>
      <c r="Q39" s="24" t="n">
        <f aca="false">Q37/Q$45</f>
        <v>0.0144039735099338</v>
      </c>
      <c r="R39" s="24" t="n">
        <f aca="false">R37/R$45</f>
        <v>0.0127132063520789</v>
      </c>
      <c r="S39" s="24" t="n">
        <f aca="false">S37/S$45</f>
        <v>0.0126324681308555</v>
      </c>
      <c r="T39" s="24" t="n">
        <f aca="false">T37/T$45</f>
        <v>0.0115179760319574</v>
      </c>
      <c r="U39" s="24" t="n">
        <f aca="false">U37/U$45</f>
        <v>0.0127985861695456</v>
      </c>
    </row>
    <row r="41" customFormat="false" ht="14.25" hidden="false" customHeight="true" outlineLevel="0" collapsed="false">
      <c r="A41" s="22" t="s">
        <v>69</v>
      </c>
      <c r="B41" s="23" t="n">
        <v>152</v>
      </c>
      <c r="C41" s="23" t="n">
        <v>138</v>
      </c>
      <c r="D41" s="23" t="n">
        <v>146</v>
      </c>
      <c r="E41" s="23" t="n">
        <v>194</v>
      </c>
      <c r="F41" s="23" t="n">
        <v>153</v>
      </c>
      <c r="G41" s="23" t="n">
        <v>327</v>
      </c>
      <c r="H41" s="23" t="n">
        <v>409</v>
      </c>
      <c r="I41" s="23" t="n">
        <v>234</v>
      </c>
      <c r="J41" s="23" t="n">
        <v>192</v>
      </c>
      <c r="K41" s="23" t="n">
        <v>158</v>
      </c>
      <c r="L41" s="23" t="n">
        <v>140</v>
      </c>
      <c r="M41" s="23" t="n">
        <v>73</v>
      </c>
      <c r="N41" s="23" t="n">
        <v>84</v>
      </c>
      <c r="O41" s="23" t="n">
        <v>77</v>
      </c>
      <c r="P41" s="23" t="n">
        <v>66</v>
      </c>
      <c r="Q41" s="23" t="n">
        <v>73</v>
      </c>
      <c r="R41" s="23" t="n">
        <v>90</v>
      </c>
      <c r="S41" s="20" t="n">
        <v>76</v>
      </c>
      <c r="T41" s="23" t="n">
        <v>34</v>
      </c>
      <c r="U41" s="23" t="n">
        <v>47</v>
      </c>
    </row>
    <row r="42" customFormat="false" ht="14.25" hidden="false" customHeight="true" outlineLevel="0" collapsed="false">
      <c r="A42" s="30" t="s">
        <v>74</v>
      </c>
      <c r="B42" s="23"/>
      <c r="C42" s="24" t="n">
        <f aca="false">C41/B41-1</f>
        <v>-0.0921052631578947</v>
      </c>
      <c r="D42" s="24" t="n">
        <f aca="false">D41/C41-1</f>
        <v>0.0579710144927537</v>
      </c>
      <c r="E42" s="24" t="n">
        <f aca="false">E41/D41-1</f>
        <v>0.328767123287671</v>
      </c>
      <c r="F42" s="24" t="n">
        <f aca="false">F41/E41-1</f>
        <v>-0.211340206185567</v>
      </c>
      <c r="G42" s="24" t="n">
        <f aca="false">G41/F41-1</f>
        <v>1.13725490196078</v>
      </c>
      <c r="H42" s="24" t="n">
        <f aca="false">H41/G41-1</f>
        <v>0.250764525993884</v>
      </c>
      <c r="I42" s="24" t="n">
        <f aca="false">I41/H41-1</f>
        <v>-0.427872860635697</v>
      </c>
      <c r="J42" s="24" t="n">
        <f aca="false">J41/I41-1</f>
        <v>-0.17948717948718</v>
      </c>
      <c r="K42" s="24" t="n">
        <f aca="false">K41/J41-1</f>
        <v>-0.177083333333333</v>
      </c>
      <c r="L42" s="24" t="n">
        <f aca="false">L41/K41-1</f>
        <v>-0.113924050632911</v>
      </c>
      <c r="M42" s="24" t="n">
        <f aca="false">M41/L41-1</f>
        <v>-0.478571428571429</v>
      </c>
      <c r="N42" s="24" t="n">
        <f aca="false">N41/M41-1</f>
        <v>0.150684931506849</v>
      </c>
      <c r="O42" s="24" t="n">
        <f aca="false">O41/N41-1</f>
        <v>-0.0833333333333334</v>
      </c>
      <c r="P42" s="24" t="n">
        <f aca="false">P41/O41-1</f>
        <v>-0.142857142857143</v>
      </c>
      <c r="Q42" s="24" t="n">
        <f aca="false">Q41/P41-1</f>
        <v>0.106060606060606</v>
      </c>
      <c r="R42" s="24" t="n">
        <f aca="false">R41/Q41-1</f>
        <v>0.232876712328767</v>
      </c>
      <c r="S42" s="24" t="n">
        <f aca="false">S41/R41-1</f>
        <v>-0.155555555555556</v>
      </c>
      <c r="T42" s="24" t="n">
        <f aca="false">T41/S41-1</f>
        <v>-0.552631578947368</v>
      </c>
      <c r="U42" s="24" t="n">
        <f aca="false">U41/T41-1</f>
        <v>0.382352941176471</v>
      </c>
    </row>
    <row r="43" customFormat="false" ht="14.25" hidden="false" customHeight="true" outlineLevel="0" collapsed="false">
      <c r="A43" s="30" t="s">
        <v>75</v>
      </c>
      <c r="B43" s="24" t="n">
        <f aca="false">B41/B$45</f>
        <v>0.0489533011272142</v>
      </c>
      <c r="C43" s="24" t="n">
        <f aca="false">C41/C$45</f>
        <v>0.0448051948051948</v>
      </c>
      <c r="D43" s="24" t="n">
        <f aca="false">D41/D$45</f>
        <v>0.0377651319192964</v>
      </c>
      <c r="E43" s="24" t="n">
        <f aca="false">E41/E$45</f>
        <v>0.0410495133305121</v>
      </c>
      <c r="F43" s="24" t="n">
        <f aca="false">F41/F$45</f>
        <v>0.0305816510093944</v>
      </c>
      <c r="G43" s="24" t="n">
        <f aca="false">G41/G$45</f>
        <v>0.0577636459989401</v>
      </c>
      <c r="H43" s="24" t="n">
        <f aca="false">H41/H$45</f>
        <v>0.0628553865068388</v>
      </c>
      <c r="I43" s="24" t="n">
        <f aca="false">I41/I$45</f>
        <v>0.0329438265521611</v>
      </c>
      <c r="J43" s="24" t="n">
        <f aca="false">J41/J$45</f>
        <v>0.0251210257752192</v>
      </c>
      <c r="K43" s="24" t="n">
        <f aca="false">K41/K$45</f>
        <v>0.0190637065637066</v>
      </c>
      <c r="L43" s="24" t="n">
        <f aca="false">L41/L$45</f>
        <v>0.0208830548926014</v>
      </c>
      <c r="M43" s="24" t="n">
        <f aca="false">M41/M$45</f>
        <v>0.0123082110942505</v>
      </c>
      <c r="N43" s="24" t="n">
        <f aca="false">N41/N$45</f>
        <v>0.0138820029747149</v>
      </c>
      <c r="O43" s="24" t="n">
        <f aca="false">O41/O$45</f>
        <v>0.010706340378198</v>
      </c>
      <c r="P43" s="24" t="n">
        <f aca="false">P41/P$45</f>
        <v>0.00488635522321759</v>
      </c>
      <c r="Q43" s="24" t="n">
        <f aca="false">Q41/Q$45</f>
        <v>0.00402869757174393</v>
      </c>
      <c r="R43" s="24" t="n">
        <f aca="false">R41/R$45</f>
        <v>0.00407184545084378</v>
      </c>
      <c r="S43" s="24" t="n">
        <f aca="false">S41/S$45</f>
        <v>0.00291813853478728</v>
      </c>
      <c r="T43" s="24" t="n">
        <f aca="false">T41/T$45</f>
        <v>0.00113182423435419</v>
      </c>
      <c r="U43" s="24" t="n">
        <f aca="false">U41/U$45</f>
        <v>0.00133971837409498</v>
      </c>
    </row>
    <row r="45" customFormat="false" ht="14.25" hidden="false" customHeight="true" outlineLevel="0" collapsed="false">
      <c r="A45" s="25" t="s">
        <v>70</v>
      </c>
      <c r="B45" s="26" t="n">
        <f aca="false">SUM(B25,B29,B33,B37,B41)</f>
        <v>3105</v>
      </c>
      <c r="C45" s="26" t="n">
        <f aca="false">SUM(C25,C29,C33,C37,C41)</f>
        <v>3080</v>
      </c>
      <c r="D45" s="26" t="n">
        <f aca="false">SUM(D25,D29,D33,D37,D41)</f>
        <v>3866</v>
      </c>
      <c r="E45" s="26" t="n">
        <f aca="false">SUM(E25,E29,E33,E37,E41)</f>
        <v>4726</v>
      </c>
      <c r="F45" s="26" t="n">
        <f aca="false">SUM(F25,F29,F33,F37,F41)</f>
        <v>5003</v>
      </c>
      <c r="G45" s="26" t="n">
        <f aca="false">SUM(G25,G29,G33,G37,G41)</f>
        <v>5661</v>
      </c>
      <c r="H45" s="26" t="n">
        <f aca="false">SUM(H25,H29,H33,H37,H41)</f>
        <v>6507</v>
      </c>
      <c r="I45" s="26" t="n">
        <f aca="false">SUM(I25,I29,I33,I37,I41)</f>
        <v>7103</v>
      </c>
      <c r="J45" s="26" t="n">
        <f aca="false">SUM(J25,J29,J33,J37,J41)</f>
        <v>7643</v>
      </c>
      <c r="K45" s="26" t="n">
        <f aca="false">SUM(K25,K29,K33,K37,K41)</f>
        <v>8288</v>
      </c>
      <c r="L45" s="26" t="n">
        <f aca="false">SUM(L25,L29,L33,L37,L41)</f>
        <v>6704</v>
      </c>
      <c r="M45" s="26" t="n">
        <f aca="false">SUM(M25,M29,M33,M37,M41)</f>
        <v>5931</v>
      </c>
      <c r="N45" s="26" t="n">
        <f aca="false">SUM(N25,N29,N33,N37,N41)</f>
        <v>6051</v>
      </c>
      <c r="O45" s="26" t="n">
        <f aca="false">SUM(O25,O29,O33,O37,O41)</f>
        <v>7192</v>
      </c>
      <c r="P45" s="26" t="n">
        <f aca="false">SUM(P25,P29,P33,P37,P41)</f>
        <v>13507</v>
      </c>
      <c r="Q45" s="26" t="n">
        <f aca="false">SUM(Q25,Q29,Q33,Q37,Q41)</f>
        <v>18120</v>
      </c>
      <c r="R45" s="26" t="n">
        <f aca="false">SUM(R25,R29,R33,R37,R41)</f>
        <v>22103</v>
      </c>
      <c r="S45" s="26" t="n">
        <f aca="false">SUM(S25,S29,S33,S37,S41)</f>
        <v>26044</v>
      </c>
      <c r="T45" s="26" t="n">
        <f aca="false">SUM(T25,T29,T33,T37,T41)</f>
        <v>30040</v>
      </c>
      <c r="U45" s="26" t="n">
        <f aca="false">SUM(U25,U29,U33,U37,U41)</f>
        <v>35082</v>
      </c>
    </row>
    <row r="46" customFormat="false" ht="14.25" hidden="false" customHeight="true" outlineLevel="0" collapsed="false">
      <c r="A46" s="22" t="s">
        <v>74</v>
      </c>
      <c r="B46" s="32"/>
      <c r="C46" s="24" t="n">
        <f aca="false">C45/B45-1</f>
        <v>-0.00805152979066026</v>
      </c>
      <c r="D46" s="24" t="n">
        <f aca="false">D45/C45-1</f>
        <v>0.255194805194805</v>
      </c>
      <c r="E46" s="24" t="n">
        <f aca="false">E45/D45-1</f>
        <v>0.222452146921883</v>
      </c>
      <c r="F46" s="24" t="n">
        <f aca="false">F45/E45-1</f>
        <v>0.058611933982226</v>
      </c>
      <c r="G46" s="24" t="n">
        <f aca="false">G45/F45-1</f>
        <v>0.131521087347591</v>
      </c>
      <c r="H46" s="24" t="n">
        <f aca="false">H45/G45-1</f>
        <v>0.149443561208267</v>
      </c>
      <c r="I46" s="24" t="n">
        <f aca="false">I45/H45-1</f>
        <v>0.0915936683571539</v>
      </c>
      <c r="J46" s="24" t="n">
        <f aca="false">J45/I45-1</f>
        <v>0.0760242151203716</v>
      </c>
      <c r="K46" s="24" t="n">
        <f aca="false">K45/J45-1</f>
        <v>0.084390945963627</v>
      </c>
      <c r="L46" s="24" t="n">
        <f aca="false">L45/K45-1</f>
        <v>-0.191119691119691</v>
      </c>
      <c r="M46" s="24" t="n">
        <f aca="false">M45/L45-1</f>
        <v>-0.115304295942721</v>
      </c>
      <c r="N46" s="24" t="n">
        <f aca="false">N45/M45-1</f>
        <v>0.0202326757713707</v>
      </c>
      <c r="O46" s="24" t="n">
        <f aca="false">O45/N45-1</f>
        <v>0.188563873739878</v>
      </c>
      <c r="P46" s="24" t="n">
        <f aca="false">P45/O45-1</f>
        <v>0.878058954393771</v>
      </c>
      <c r="Q46" s="24" t="n">
        <f aca="false">Q45/P45-1</f>
        <v>0.34152661582883</v>
      </c>
      <c r="R46" s="24" t="n">
        <f aca="false">R45/Q45-1</f>
        <v>0.219812362030905</v>
      </c>
      <c r="S46" s="24" t="n">
        <f aca="false">S45/R45-1</f>
        <v>0.178301588019726</v>
      </c>
      <c r="T46" s="24" t="n">
        <f aca="false">T45/S45-1</f>
        <v>0.153432652434342</v>
      </c>
      <c r="U46" s="24" t="n">
        <f aca="false">U45/T45-1</f>
        <v>0.167842876165113</v>
      </c>
    </row>
    <row r="48" customFormat="false" ht="14.25" hidden="false" customHeight="true" outlineLevel="0" collapsed="false">
      <c r="A48" s="22" t="s">
        <v>69</v>
      </c>
      <c r="B48" s="1" t="s">
        <v>76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49.26"/>
    <col collapsed="false" customWidth="true" hidden="false" outlineLevel="0" max="20" min="2" style="1" width="11"/>
    <col collapsed="false" customWidth="true" hidden="false" outlineLevel="0" max="22" min="21" style="1" width="11.12"/>
  </cols>
  <sheetData>
    <row r="1" customFormat="false" ht="8.25" hidden="false" customHeight="true" outlineLevel="0" collapsed="false"/>
    <row r="2" customFormat="false" ht="18" hidden="false" customHeight="true" outlineLevel="0" collapsed="false">
      <c r="A2" s="17" t="s">
        <v>28</v>
      </c>
      <c r="L2" s="19"/>
      <c r="M2" s="19"/>
      <c r="N2" s="19"/>
      <c r="O2" s="20"/>
      <c r="P2" s="20"/>
      <c r="Q2" s="20"/>
      <c r="R2" s="20"/>
      <c r="S2" s="20"/>
    </row>
    <row r="3" customFormat="false" ht="14.25" hidden="false" customHeight="true" outlineLevel="0" collapsed="false">
      <c r="A3" s="33" t="s">
        <v>77</v>
      </c>
      <c r="L3" s="19"/>
      <c r="M3" s="19"/>
      <c r="N3" s="19"/>
      <c r="O3" s="20"/>
      <c r="P3" s="20"/>
      <c r="Q3" s="20"/>
      <c r="R3" s="20"/>
      <c r="S3" s="20"/>
    </row>
    <row r="5" customFormat="false" ht="14.25" hidden="false" customHeight="true" outlineLevel="0" collapsed="false">
      <c r="A5" s="34"/>
      <c r="B5" s="35"/>
      <c r="C5" s="35"/>
      <c r="D5" s="35"/>
      <c r="E5" s="35"/>
      <c r="F5" s="35"/>
      <c r="H5" s="35"/>
      <c r="I5" s="35"/>
      <c r="J5" s="35"/>
    </row>
    <row r="6" customFormat="false" ht="14.25" hidden="false" customHeight="true" outlineLevel="0" collapsed="false">
      <c r="A6" s="1" t="s">
        <v>78</v>
      </c>
      <c r="B6" s="25" t="s">
        <v>48</v>
      </c>
      <c r="C6" s="25" t="s">
        <v>49</v>
      </c>
      <c r="D6" s="25" t="s">
        <v>50</v>
      </c>
      <c r="E6" s="25" t="s">
        <v>51</v>
      </c>
      <c r="F6" s="25" t="s">
        <v>52</v>
      </c>
      <c r="G6" s="36" t="s">
        <v>53</v>
      </c>
      <c r="H6" s="25" t="s">
        <v>54</v>
      </c>
      <c r="I6" s="25" t="s">
        <v>55</v>
      </c>
      <c r="J6" s="25" t="s">
        <v>56</v>
      </c>
      <c r="K6" s="36" t="s">
        <v>57</v>
      </c>
      <c r="L6" s="36" t="s">
        <v>58</v>
      </c>
      <c r="M6" s="36" t="s">
        <v>59</v>
      </c>
      <c r="N6" s="36" t="s">
        <v>60</v>
      </c>
      <c r="O6" s="36" t="s">
        <v>61</v>
      </c>
      <c r="P6" s="36" t="s">
        <v>62</v>
      </c>
      <c r="Q6" s="36" t="s">
        <v>63</v>
      </c>
      <c r="R6" s="36" t="s">
        <v>64</v>
      </c>
      <c r="S6" s="36" t="s">
        <v>71</v>
      </c>
      <c r="T6" s="36" t="s">
        <v>72</v>
      </c>
    </row>
    <row r="7" customFormat="false" ht="14.25" hidden="false" customHeight="true" outlineLevel="0" collapsed="false">
      <c r="A7" s="37" t="s">
        <v>79</v>
      </c>
      <c r="B7" s="38" t="n">
        <v>44227</v>
      </c>
      <c r="C7" s="38" t="n">
        <v>44318</v>
      </c>
      <c r="D7" s="38" t="n">
        <v>44409</v>
      </c>
      <c r="E7" s="38" t="n">
        <v>44500</v>
      </c>
      <c r="F7" s="38" t="n">
        <v>44591</v>
      </c>
      <c r="G7" s="38" t="n">
        <v>44682</v>
      </c>
      <c r="H7" s="38" t="n">
        <v>44773</v>
      </c>
      <c r="I7" s="38" t="n">
        <v>44864</v>
      </c>
      <c r="J7" s="38" t="n">
        <v>44955</v>
      </c>
      <c r="K7" s="38" t="n">
        <v>45046</v>
      </c>
      <c r="L7" s="38" t="n">
        <v>45137</v>
      </c>
      <c r="M7" s="38" t="n">
        <v>45228</v>
      </c>
      <c r="N7" s="38" t="n">
        <v>45319</v>
      </c>
      <c r="O7" s="38" t="n">
        <v>45410</v>
      </c>
      <c r="P7" s="38" t="n">
        <v>45501</v>
      </c>
      <c r="Q7" s="38" t="n">
        <v>45592</v>
      </c>
      <c r="R7" s="38" t="n">
        <v>45683</v>
      </c>
      <c r="S7" s="38" t="n">
        <v>45774</v>
      </c>
      <c r="T7" s="38" t="n">
        <v>45865</v>
      </c>
    </row>
    <row r="8" customFormat="false" ht="14.25" hidden="false" customHeight="true" outlineLevel="0" collapsed="false">
      <c r="U8" s="25"/>
      <c r="V8" s="25"/>
    </row>
    <row r="9" customFormat="false" ht="14.25" hidden="false" customHeight="true" outlineLevel="0" collapsed="false">
      <c r="A9" s="1" t="s">
        <v>80</v>
      </c>
      <c r="B9" s="19" t="n">
        <v>5003</v>
      </c>
      <c r="C9" s="19" t="n">
        <v>5661</v>
      </c>
      <c r="D9" s="19" t="n">
        <v>6507</v>
      </c>
      <c r="E9" s="19" t="n">
        <v>7103</v>
      </c>
      <c r="F9" s="19" t="n">
        <v>7643</v>
      </c>
      <c r="G9" s="19" t="n">
        <v>8288</v>
      </c>
      <c r="H9" s="19" t="n">
        <v>6704</v>
      </c>
      <c r="I9" s="19" t="n">
        <v>5931</v>
      </c>
      <c r="J9" s="19" t="n">
        <v>6051</v>
      </c>
      <c r="K9" s="19" t="n">
        <v>7192</v>
      </c>
      <c r="L9" s="19" t="n">
        <v>13507</v>
      </c>
      <c r="M9" s="19" t="n">
        <v>18120</v>
      </c>
      <c r="N9" s="19" t="n">
        <v>22103</v>
      </c>
      <c r="O9" s="20" t="n">
        <v>26044</v>
      </c>
      <c r="P9" s="20" t="n">
        <v>30040</v>
      </c>
      <c r="Q9" s="20" t="n">
        <v>35082</v>
      </c>
      <c r="R9" s="20" t="n">
        <v>39331</v>
      </c>
      <c r="S9" s="20" t="n">
        <v>44062</v>
      </c>
      <c r="T9" s="20" t="n">
        <v>46743</v>
      </c>
    </row>
    <row r="10" customFormat="false" ht="14.25" hidden="false" customHeight="true" outlineLevel="0" collapsed="false">
      <c r="A10" s="1" t="s">
        <v>81</v>
      </c>
      <c r="B10" s="19" t="n">
        <v>1846</v>
      </c>
      <c r="C10" s="19" t="n">
        <v>2032</v>
      </c>
      <c r="D10" s="19" t="n">
        <v>2292</v>
      </c>
      <c r="E10" s="19" t="n">
        <v>2472</v>
      </c>
      <c r="F10" s="19" t="n">
        <v>2643</v>
      </c>
      <c r="G10" s="19" t="n">
        <v>2857</v>
      </c>
      <c r="H10" s="19" t="n">
        <v>3789</v>
      </c>
      <c r="I10" s="19" t="n">
        <v>2754</v>
      </c>
      <c r="J10" s="19" t="n">
        <v>2218</v>
      </c>
      <c r="K10" s="19" t="n">
        <v>2544</v>
      </c>
      <c r="L10" s="19" t="n">
        <v>4045</v>
      </c>
      <c r="M10" s="19" t="n">
        <v>4720</v>
      </c>
      <c r="N10" s="19" t="n">
        <v>5312</v>
      </c>
      <c r="O10" s="20" t="n">
        <v>5638</v>
      </c>
      <c r="P10" s="20" t="n">
        <v>7466</v>
      </c>
      <c r="Q10" s="20" t="n">
        <v>8926</v>
      </c>
      <c r="R10" s="20" t="n">
        <v>10608</v>
      </c>
      <c r="S10" s="20" t="n">
        <v>17394</v>
      </c>
      <c r="T10" s="20" t="n">
        <v>12890</v>
      </c>
    </row>
    <row r="11" customFormat="false" ht="14.25" hidden="false" customHeight="true" outlineLevel="0" collapsed="false">
      <c r="A11" s="39" t="s">
        <v>82</v>
      </c>
      <c r="B11" s="40" t="n">
        <v>3157</v>
      </c>
      <c r="C11" s="40" t="n">
        <v>3629</v>
      </c>
      <c r="D11" s="40" t="n">
        <v>4215</v>
      </c>
      <c r="E11" s="40" t="n">
        <v>4631</v>
      </c>
      <c r="F11" s="40" t="n">
        <v>5000</v>
      </c>
      <c r="G11" s="40" t="n">
        <v>5431</v>
      </c>
      <c r="H11" s="40" t="n">
        <v>2915</v>
      </c>
      <c r="I11" s="40" t="n">
        <v>3177</v>
      </c>
      <c r="J11" s="40" t="n">
        <v>3833</v>
      </c>
      <c r="K11" s="40" t="n">
        <v>4648</v>
      </c>
      <c r="L11" s="40" t="n">
        <v>9462</v>
      </c>
      <c r="M11" s="40" t="n">
        <v>13400</v>
      </c>
      <c r="N11" s="40" t="n">
        <v>16791</v>
      </c>
      <c r="O11" s="41" t="n">
        <v>20406</v>
      </c>
      <c r="P11" s="41" t="n">
        <v>22574</v>
      </c>
      <c r="Q11" s="41" t="n">
        <v>26156</v>
      </c>
      <c r="R11" s="41" t="n">
        <v>28723</v>
      </c>
      <c r="S11" s="41" t="n">
        <v>26668</v>
      </c>
      <c r="T11" s="41" t="n">
        <v>33853</v>
      </c>
    </row>
    <row r="12" customFormat="false" ht="14.25" hidden="false" customHeight="true" outlineLevel="0" collapsed="false">
      <c r="B12" s="19"/>
      <c r="C12" s="19"/>
      <c r="D12" s="19"/>
      <c r="E12" s="19"/>
      <c r="F12" s="19"/>
      <c r="G12" s="19"/>
      <c r="H12" s="19"/>
      <c r="I12" s="19"/>
      <c r="J12" s="19"/>
      <c r="K12" s="19"/>
      <c r="L12" s="19"/>
      <c r="M12" s="19"/>
      <c r="N12" s="19"/>
      <c r="O12" s="20"/>
      <c r="P12" s="20"/>
      <c r="Q12" s="20"/>
      <c r="R12" s="20"/>
      <c r="S12" s="20"/>
    </row>
    <row r="13" customFormat="false" ht="14.25" hidden="false" customHeight="true" outlineLevel="0" collapsed="false">
      <c r="A13" s="1" t="s">
        <v>83</v>
      </c>
      <c r="B13" s="19"/>
      <c r="C13" s="19"/>
      <c r="D13" s="19"/>
      <c r="E13" s="19"/>
      <c r="F13" s="19"/>
      <c r="G13" s="19"/>
      <c r="H13" s="19"/>
      <c r="I13" s="19"/>
      <c r="J13" s="19"/>
      <c r="K13" s="19"/>
      <c r="L13" s="19"/>
      <c r="M13" s="19"/>
      <c r="N13" s="19"/>
      <c r="O13" s="20"/>
      <c r="P13" s="20"/>
      <c r="Q13" s="20"/>
      <c r="R13" s="20"/>
      <c r="S13" s="20"/>
      <c r="T13" s="20"/>
    </row>
    <row r="14" customFormat="false" ht="14.25" hidden="false" customHeight="true" outlineLevel="0" collapsed="false">
      <c r="A14" s="1" t="s">
        <v>84</v>
      </c>
      <c r="B14" s="19" t="n">
        <v>1145</v>
      </c>
      <c r="C14" s="19" t="n">
        <v>1153</v>
      </c>
      <c r="D14" s="19" t="n">
        <v>1245</v>
      </c>
      <c r="E14" s="19" t="n">
        <v>1403</v>
      </c>
      <c r="F14" s="19" t="n">
        <v>1467</v>
      </c>
      <c r="G14" s="19" t="n">
        <v>1618</v>
      </c>
      <c r="H14" s="19" t="n">
        <v>1824</v>
      </c>
      <c r="I14" s="19" t="n">
        <v>1945</v>
      </c>
      <c r="J14" s="19" t="n">
        <v>1952</v>
      </c>
      <c r="K14" s="19" t="n">
        <v>1875</v>
      </c>
      <c r="L14" s="19" t="n">
        <v>2040</v>
      </c>
      <c r="M14" s="19" t="n">
        <v>2294</v>
      </c>
      <c r="N14" s="19" t="n">
        <v>2466</v>
      </c>
      <c r="O14" s="20" t="n">
        <v>2720</v>
      </c>
      <c r="P14" s="20" t="n">
        <v>3090</v>
      </c>
      <c r="Q14" s="20" t="n">
        <v>3390</v>
      </c>
      <c r="R14" s="20" t="n">
        <v>3714</v>
      </c>
      <c r="S14" s="20" t="n">
        <v>3989</v>
      </c>
      <c r="T14" s="20" t="n">
        <v>4291</v>
      </c>
    </row>
    <row r="15" customFormat="false" ht="14.25" hidden="false" customHeight="true" outlineLevel="0" collapsed="false">
      <c r="A15" s="1" t="s">
        <v>85</v>
      </c>
      <c r="B15" s="19" t="n">
        <v>505</v>
      </c>
      <c r="C15" s="19" t="s">
        <v>86</v>
      </c>
      <c r="D15" s="19" t="s">
        <v>87</v>
      </c>
      <c r="E15" s="19" t="s">
        <v>88</v>
      </c>
      <c r="F15" s="19" t="n">
        <v>563</v>
      </c>
      <c r="G15" s="19" t="n">
        <v>592</v>
      </c>
      <c r="H15" s="19" t="s">
        <v>89</v>
      </c>
      <c r="I15" s="19" t="s">
        <v>90</v>
      </c>
      <c r="J15" s="19" t="n">
        <v>625</v>
      </c>
      <c r="K15" s="19" t="n">
        <v>633</v>
      </c>
      <c r="L15" s="19" t="n">
        <v>622</v>
      </c>
      <c r="M15" s="19" t="n">
        <v>689</v>
      </c>
      <c r="N15" s="19" t="n">
        <v>710</v>
      </c>
      <c r="O15" s="20" t="n">
        <v>777</v>
      </c>
      <c r="P15" s="20" t="n">
        <v>842</v>
      </c>
      <c r="Q15" s="20" t="n">
        <v>897</v>
      </c>
      <c r="R15" s="20" t="n">
        <v>975</v>
      </c>
      <c r="S15" s="20" t="n">
        <v>1041</v>
      </c>
      <c r="T15" s="20" t="n">
        <v>1122</v>
      </c>
    </row>
    <row r="16" customFormat="false" ht="14.25" hidden="false" customHeight="true" outlineLevel="0" collapsed="false">
      <c r="A16" s="1" t="s">
        <v>91</v>
      </c>
      <c r="B16" s="19" t="s">
        <v>92</v>
      </c>
      <c r="C16" s="19" t="s">
        <v>92</v>
      </c>
      <c r="D16" s="19" t="s">
        <v>92</v>
      </c>
      <c r="E16" s="19" t="s">
        <v>92</v>
      </c>
      <c r="F16" s="19" t="s">
        <v>92</v>
      </c>
      <c r="G16" s="19" t="n">
        <v>1353</v>
      </c>
      <c r="H16" s="19" t="s">
        <v>92</v>
      </c>
      <c r="I16" s="19" t="s">
        <v>92</v>
      </c>
      <c r="J16" s="19" t="s">
        <v>92</v>
      </c>
      <c r="K16" s="19" t="s">
        <v>92</v>
      </c>
      <c r="L16" s="19" t="s">
        <v>92</v>
      </c>
      <c r="M16" s="19" t="s">
        <v>92</v>
      </c>
      <c r="N16" s="19" t="s">
        <v>92</v>
      </c>
      <c r="O16" s="20" t="s">
        <v>92</v>
      </c>
      <c r="P16" s="20" t="s">
        <v>92</v>
      </c>
      <c r="Q16" s="20" t="s">
        <v>92</v>
      </c>
      <c r="R16" s="20" t="s">
        <v>92</v>
      </c>
      <c r="S16" s="20" t="s">
        <v>92</v>
      </c>
      <c r="T16" s="19" t="s">
        <v>92</v>
      </c>
    </row>
    <row r="17" customFormat="false" ht="14.25" hidden="false" customHeight="true" outlineLevel="0" collapsed="false">
      <c r="A17" s="39" t="s">
        <v>93</v>
      </c>
      <c r="B17" s="40" t="n">
        <v>1650</v>
      </c>
      <c r="C17" s="40" t="n">
        <v>1673</v>
      </c>
      <c r="D17" s="40" t="n">
        <v>1771</v>
      </c>
      <c r="E17" s="40" t="n">
        <v>1960</v>
      </c>
      <c r="F17" s="40" t="n">
        <v>2030</v>
      </c>
      <c r="G17" s="40" t="n">
        <v>3563</v>
      </c>
      <c r="H17" s="40" t="n">
        <v>2416</v>
      </c>
      <c r="I17" s="40" t="n">
        <v>2576</v>
      </c>
      <c r="J17" s="40" t="n">
        <v>2577</v>
      </c>
      <c r="K17" s="40" t="n">
        <v>2508</v>
      </c>
      <c r="L17" s="40" t="n">
        <v>2662</v>
      </c>
      <c r="M17" s="40" t="n">
        <v>2983</v>
      </c>
      <c r="N17" s="40" t="n">
        <v>3176</v>
      </c>
      <c r="O17" s="41" t="n">
        <v>3497</v>
      </c>
      <c r="P17" s="41" t="n">
        <v>3932</v>
      </c>
      <c r="Q17" s="41" t="n">
        <v>4287</v>
      </c>
      <c r="R17" s="41" t="n">
        <v>4689</v>
      </c>
      <c r="S17" s="41" t="n">
        <v>5030</v>
      </c>
      <c r="T17" s="41" t="n">
        <v>5413</v>
      </c>
    </row>
    <row r="18" customFormat="false" ht="14.25" hidden="false" customHeight="true" outlineLevel="0" collapsed="false">
      <c r="B18" s="19"/>
      <c r="C18" s="19"/>
      <c r="D18" s="19"/>
      <c r="E18" s="19"/>
      <c r="F18" s="19"/>
      <c r="G18" s="19"/>
      <c r="H18" s="19"/>
      <c r="I18" s="19"/>
      <c r="J18" s="19"/>
      <c r="K18" s="19"/>
      <c r="L18" s="19"/>
      <c r="M18" s="19"/>
      <c r="N18" s="19"/>
      <c r="O18" s="20"/>
      <c r="P18" s="20"/>
      <c r="Q18" s="20"/>
      <c r="R18" s="20"/>
      <c r="S18" s="20"/>
    </row>
    <row r="19" customFormat="false" ht="14.25" hidden="false" customHeight="true" outlineLevel="0" collapsed="false">
      <c r="A19" s="1" t="s">
        <v>94</v>
      </c>
      <c r="B19" s="19" t="n">
        <v>1507</v>
      </c>
      <c r="C19" s="19" t="n">
        <v>1956</v>
      </c>
      <c r="D19" s="19" t="n">
        <v>2444</v>
      </c>
      <c r="E19" s="19" t="n">
        <v>2671</v>
      </c>
      <c r="F19" s="19" t="n">
        <v>2970</v>
      </c>
      <c r="G19" s="19" t="n">
        <v>1868</v>
      </c>
      <c r="H19" s="19" t="s">
        <v>95</v>
      </c>
      <c r="I19" s="19" t="s">
        <v>96</v>
      </c>
      <c r="J19" s="19" t="n">
        <v>1256</v>
      </c>
      <c r="K19" s="19" t="n">
        <v>2140</v>
      </c>
      <c r="L19" s="19" t="n">
        <v>6800</v>
      </c>
      <c r="M19" s="19" t="n">
        <v>10417</v>
      </c>
      <c r="N19" s="19" t="n">
        <v>13615</v>
      </c>
      <c r="O19" s="20" t="n">
        <v>16909</v>
      </c>
      <c r="P19" s="20" t="n">
        <v>18642</v>
      </c>
      <c r="Q19" s="20" t="n">
        <v>21869</v>
      </c>
      <c r="R19" s="20" t="n">
        <v>24034</v>
      </c>
      <c r="S19" s="20" t="n">
        <v>21638</v>
      </c>
      <c r="T19" s="20" t="n">
        <v>28440</v>
      </c>
    </row>
    <row r="20" customFormat="false" ht="14.25" hidden="false" customHeight="true" outlineLevel="0" collapsed="false">
      <c r="A20" s="1" t="s">
        <v>97</v>
      </c>
      <c r="B20" s="19" t="n">
        <v>7</v>
      </c>
      <c r="C20" s="19" t="s">
        <v>98</v>
      </c>
      <c r="D20" s="19" t="s">
        <v>98</v>
      </c>
      <c r="E20" s="19" t="s">
        <v>99</v>
      </c>
      <c r="F20" s="19" t="n">
        <v>10</v>
      </c>
      <c r="G20" s="19" t="n">
        <v>18</v>
      </c>
      <c r="H20" s="19" t="s">
        <v>100</v>
      </c>
      <c r="I20" s="19" t="s">
        <v>101</v>
      </c>
      <c r="J20" s="19" t="n">
        <v>115</v>
      </c>
      <c r="K20" s="19" t="n">
        <v>150</v>
      </c>
      <c r="L20" s="19" t="n">
        <v>187</v>
      </c>
      <c r="M20" s="19" t="n">
        <v>234</v>
      </c>
      <c r="N20" s="19" t="n">
        <v>295</v>
      </c>
      <c r="O20" s="20" t="n">
        <v>359</v>
      </c>
      <c r="P20" s="20" t="n">
        <v>444</v>
      </c>
      <c r="Q20" s="20" t="n">
        <v>472</v>
      </c>
      <c r="R20" s="20" t="n">
        <v>511</v>
      </c>
      <c r="S20" s="20" t="n">
        <v>515</v>
      </c>
      <c r="T20" s="20" t="n">
        <v>592</v>
      </c>
    </row>
    <row r="21" customFormat="false" ht="14.25" hidden="false" customHeight="true" outlineLevel="0" collapsed="false">
      <c r="A21" s="1" t="s">
        <v>102</v>
      </c>
      <c r="B21" s="19" t="n">
        <v>-52</v>
      </c>
      <c r="C21" s="19" t="n">
        <v>-53</v>
      </c>
      <c r="D21" s="19" t="n">
        <v>-60</v>
      </c>
      <c r="E21" s="19" t="n">
        <v>-62</v>
      </c>
      <c r="F21" s="19" t="n">
        <v>-61</v>
      </c>
      <c r="G21" s="19" t="n">
        <v>-68</v>
      </c>
      <c r="H21" s="19" t="n">
        <v>-65</v>
      </c>
      <c r="I21" s="19" t="n">
        <v>-65</v>
      </c>
      <c r="J21" s="19" t="n">
        <v>-64</v>
      </c>
      <c r="K21" s="19" t="n">
        <v>-66</v>
      </c>
      <c r="L21" s="19" t="n">
        <v>-65</v>
      </c>
      <c r="M21" s="19" t="n">
        <v>-63</v>
      </c>
      <c r="N21" s="19" t="n">
        <v>-63</v>
      </c>
      <c r="O21" s="20" t="n">
        <v>-64</v>
      </c>
      <c r="P21" s="20" t="n">
        <v>-61</v>
      </c>
      <c r="Q21" s="20" t="n">
        <v>-61</v>
      </c>
      <c r="R21" s="20" t="n">
        <v>-61</v>
      </c>
      <c r="S21" s="20" t="n">
        <v>-63</v>
      </c>
      <c r="T21" s="20" t="n">
        <v>-62</v>
      </c>
    </row>
    <row r="22" s="28" customFormat="true" ht="14.25" hidden="false" customHeight="true" outlineLevel="0" collapsed="false">
      <c r="A22" s="28" t="s">
        <v>103</v>
      </c>
      <c r="B22" s="19" t="n">
        <v>10</v>
      </c>
      <c r="C22" s="19" t="s">
        <v>104</v>
      </c>
      <c r="D22" s="19" t="s">
        <v>105</v>
      </c>
      <c r="E22" s="19" t="s">
        <v>106</v>
      </c>
      <c r="F22" s="19" t="n">
        <v>-54</v>
      </c>
      <c r="G22" s="19" t="n">
        <v>-13</v>
      </c>
      <c r="H22" s="19" t="n">
        <v>-5</v>
      </c>
      <c r="I22" s="19" t="n">
        <v>-11</v>
      </c>
      <c r="J22" s="19" t="n">
        <v>-19</v>
      </c>
      <c r="K22" s="19" t="n">
        <v>-15</v>
      </c>
      <c r="L22" s="19" t="n">
        <v>59</v>
      </c>
      <c r="M22" s="19" t="n">
        <v>-66</v>
      </c>
      <c r="N22" s="19" t="n">
        <v>259</v>
      </c>
      <c r="O22" s="20" t="n">
        <v>75</v>
      </c>
      <c r="P22" s="20" t="n">
        <v>189</v>
      </c>
      <c r="Q22" s="20" t="n">
        <v>36</v>
      </c>
      <c r="R22" s="20" t="n">
        <v>733</v>
      </c>
      <c r="S22" s="20" t="n">
        <v>-180</v>
      </c>
      <c r="T22" s="20" t="n">
        <v>2236</v>
      </c>
    </row>
    <row r="23" customFormat="false" ht="14.25" hidden="false" customHeight="true" outlineLevel="0" collapsed="false">
      <c r="A23" s="39" t="s">
        <v>107</v>
      </c>
      <c r="B23" s="40" t="n">
        <v>-36</v>
      </c>
      <c r="C23" s="40" t="s">
        <v>101</v>
      </c>
      <c r="D23" s="40" t="n">
        <v>-50</v>
      </c>
      <c r="E23" s="40" t="n">
        <v>-33</v>
      </c>
      <c r="F23" s="40" t="n">
        <v>-105</v>
      </c>
      <c r="G23" s="40" t="n">
        <v>-63</v>
      </c>
      <c r="H23" s="40" t="n">
        <v>-24</v>
      </c>
      <c r="I23" s="40" t="s">
        <v>108</v>
      </c>
      <c r="J23" s="40" t="n">
        <v>32</v>
      </c>
      <c r="K23" s="40" t="n">
        <v>69</v>
      </c>
      <c r="L23" s="40" t="n">
        <v>181</v>
      </c>
      <c r="M23" s="40" t="n">
        <v>105</v>
      </c>
      <c r="N23" s="40" t="n">
        <v>491</v>
      </c>
      <c r="O23" s="41" t="n">
        <v>370</v>
      </c>
      <c r="P23" s="41" t="n">
        <v>249</v>
      </c>
      <c r="Q23" s="41" t="n">
        <v>447</v>
      </c>
      <c r="R23" s="41" t="n">
        <v>1183</v>
      </c>
      <c r="S23" s="41" t="n">
        <v>272</v>
      </c>
      <c r="T23" s="41" t="n">
        <v>2766</v>
      </c>
    </row>
    <row r="24" customFormat="false" ht="14.25" hidden="false" customHeight="true" outlineLevel="0" collapsed="false">
      <c r="B24" s="19"/>
      <c r="C24" s="19"/>
      <c r="D24" s="19"/>
      <c r="E24" s="19"/>
      <c r="F24" s="19"/>
      <c r="G24" s="19"/>
      <c r="H24" s="19"/>
      <c r="I24" s="19"/>
      <c r="J24" s="19"/>
      <c r="K24" s="19"/>
      <c r="L24" s="19"/>
      <c r="M24" s="19"/>
      <c r="N24" s="19"/>
      <c r="O24" s="20"/>
      <c r="P24" s="20"/>
      <c r="Q24" s="20"/>
      <c r="R24" s="20"/>
      <c r="S24" s="20"/>
    </row>
    <row r="25" customFormat="false" ht="14.25" hidden="false" customHeight="true" outlineLevel="0" collapsed="false">
      <c r="A25" s="1" t="s">
        <v>109</v>
      </c>
      <c r="B25" s="19" t="n">
        <v>1471</v>
      </c>
      <c r="C25" s="19" t="n">
        <v>2044</v>
      </c>
      <c r="D25" s="19" t="n">
        <v>2394</v>
      </c>
      <c r="E25" s="19" t="n">
        <v>2638</v>
      </c>
      <c r="F25" s="19" t="n">
        <v>2865</v>
      </c>
      <c r="G25" s="19" t="n">
        <v>1805</v>
      </c>
      <c r="H25" s="19" t="s">
        <v>110</v>
      </c>
      <c r="I25" s="19" t="s">
        <v>111</v>
      </c>
      <c r="J25" s="19" t="n">
        <v>1288</v>
      </c>
      <c r="K25" s="19" t="n">
        <v>2209</v>
      </c>
      <c r="L25" s="19" t="n">
        <v>6981</v>
      </c>
      <c r="M25" s="19" t="n">
        <v>10522</v>
      </c>
      <c r="N25" s="19" t="n">
        <v>14106</v>
      </c>
      <c r="O25" s="20" t="n">
        <v>17279</v>
      </c>
      <c r="P25" s="20" t="n">
        <v>19214</v>
      </c>
      <c r="Q25" s="20" t="n">
        <v>22316</v>
      </c>
      <c r="R25" s="20" t="n">
        <v>25217</v>
      </c>
      <c r="S25" s="20" t="n">
        <v>21910</v>
      </c>
      <c r="T25" s="20" t="n">
        <v>31206</v>
      </c>
    </row>
    <row r="26" customFormat="false" ht="14.25" hidden="false" customHeight="true" outlineLevel="0" collapsed="false">
      <c r="A26" s="1" t="s">
        <v>112</v>
      </c>
      <c r="B26" s="19" t="n">
        <v>14</v>
      </c>
      <c r="C26" s="19" t="s">
        <v>113</v>
      </c>
      <c r="D26" s="19" t="s">
        <v>114</v>
      </c>
      <c r="E26" s="19" t="s">
        <v>115</v>
      </c>
      <c r="F26" s="19" t="n">
        <v>-137</v>
      </c>
      <c r="G26" s="19" t="n">
        <v>187</v>
      </c>
      <c r="H26" s="19" t="n">
        <v>-181</v>
      </c>
      <c r="I26" s="19" t="n">
        <v>-67</v>
      </c>
      <c r="J26" s="19" t="n">
        <v>-126</v>
      </c>
      <c r="K26" s="19" t="n">
        <v>166</v>
      </c>
      <c r="L26" s="19" t="n">
        <v>793</v>
      </c>
      <c r="M26" s="19" t="n">
        <v>1279</v>
      </c>
      <c r="N26" s="19" t="n">
        <v>1820</v>
      </c>
      <c r="O26" s="20" t="n">
        <v>2398</v>
      </c>
      <c r="P26" s="20" t="n">
        <v>2615</v>
      </c>
      <c r="Q26" s="20" t="n">
        <v>3007</v>
      </c>
      <c r="R26" s="20" t="n">
        <v>3126</v>
      </c>
      <c r="S26" s="20" t="n">
        <v>3135</v>
      </c>
      <c r="T26" s="20" t="n">
        <v>4784</v>
      </c>
    </row>
    <row r="27" customFormat="false" ht="14.25" hidden="false" customHeight="true" outlineLevel="0" collapsed="false">
      <c r="A27" s="39" t="s">
        <v>116</v>
      </c>
      <c r="B27" s="40" t="n">
        <v>1457</v>
      </c>
      <c r="C27" s="40" t="n">
        <v>1912</v>
      </c>
      <c r="D27" s="40" t="n">
        <v>2374</v>
      </c>
      <c r="E27" s="40" t="n">
        <v>2464</v>
      </c>
      <c r="F27" s="40" t="n">
        <v>3002</v>
      </c>
      <c r="G27" s="40" t="n">
        <v>1618</v>
      </c>
      <c r="H27" s="40" t="s">
        <v>117</v>
      </c>
      <c r="I27" s="40" t="s">
        <v>118</v>
      </c>
      <c r="J27" s="40" t="n">
        <v>1414</v>
      </c>
      <c r="K27" s="40" t="n">
        <v>2043</v>
      </c>
      <c r="L27" s="40" t="n">
        <v>6188</v>
      </c>
      <c r="M27" s="40" t="n">
        <v>9243</v>
      </c>
      <c r="N27" s="40" t="n">
        <v>12286</v>
      </c>
      <c r="O27" s="41" t="n">
        <v>14881</v>
      </c>
      <c r="P27" s="41" t="n">
        <v>16599</v>
      </c>
      <c r="Q27" s="41" t="n">
        <v>19309</v>
      </c>
      <c r="R27" s="41" t="n">
        <v>22091</v>
      </c>
      <c r="S27" s="41" t="n">
        <v>18775</v>
      </c>
      <c r="T27" s="41" t="n">
        <v>26422</v>
      </c>
    </row>
    <row r="28" customFormat="false" ht="14.25" hidden="false" customHeight="true" outlineLevel="0" collapsed="false">
      <c r="B28" s="19"/>
      <c r="C28" s="19"/>
      <c r="D28" s="19"/>
      <c r="E28" s="19"/>
      <c r="F28" s="19"/>
      <c r="G28" s="19"/>
      <c r="H28" s="19"/>
      <c r="I28" s="19"/>
      <c r="J28" s="19"/>
      <c r="K28" s="19"/>
      <c r="L28" s="19"/>
      <c r="M28" s="19"/>
      <c r="N28" s="19"/>
      <c r="O28" s="20"/>
      <c r="P28" s="20"/>
      <c r="Q28" s="20"/>
      <c r="R28" s="20"/>
      <c r="S28" s="20"/>
      <c r="T28" s="42"/>
    </row>
    <row r="29" customFormat="false" ht="14.25" hidden="false" customHeight="true" outlineLevel="0" collapsed="false">
      <c r="A29" s="1" t="s">
        <v>119</v>
      </c>
      <c r="B29" s="19"/>
      <c r="C29" s="19"/>
      <c r="D29" s="19"/>
      <c r="E29" s="19"/>
      <c r="F29" s="19"/>
      <c r="G29" s="19"/>
      <c r="H29" s="19"/>
      <c r="I29" s="19"/>
      <c r="J29" s="19"/>
      <c r="K29" s="19"/>
      <c r="L29" s="19"/>
      <c r="M29" s="19"/>
      <c r="N29" s="19"/>
      <c r="O29" s="20"/>
      <c r="P29" s="20"/>
      <c r="Q29" s="20"/>
      <c r="R29" s="20"/>
      <c r="S29" s="20"/>
      <c r="T29" s="42"/>
    </row>
    <row r="30" customFormat="false" ht="14.25" hidden="false" customHeight="true" outlineLevel="0" collapsed="false">
      <c r="A30" s="1" t="s">
        <v>120</v>
      </c>
      <c r="B30" s="19" t="n">
        <v>2.36</v>
      </c>
      <c r="C30" s="19" t="n">
        <v>0.77</v>
      </c>
      <c r="D30" s="19" t="n">
        <v>0.95</v>
      </c>
      <c r="E30" s="19" t="n">
        <v>0.99</v>
      </c>
      <c r="F30" s="19" t="n">
        <v>1.2</v>
      </c>
      <c r="G30" s="19" t="n">
        <v>0.65</v>
      </c>
      <c r="H30" s="19" t="n">
        <v>0.26</v>
      </c>
      <c r="I30" s="19" t="n">
        <v>0.27</v>
      </c>
      <c r="J30" s="19" t="n">
        <v>0.58</v>
      </c>
      <c r="K30" s="19" t="n">
        <v>0.83</v>
      </c>
      <c r="L30" s="19" t="n">
        <v>0.25</v>
      </c>
      <c r="M30" s="19" t="n">
        <v>0.37</v>
      </c>
      <c r="N30" s="19" t="n">
        <v>4.97</v>
      </c>
      <c r="O30" s="20" t="n">
        <v>0.6</v>
      </c>
      <c r="P30" s="20" t="n">
        <v>0.68</v>
      </c>
      <c r="Q30" s="20" t="n">
        <v>0.79</v>
      </c>
      <c r="R30" s="20" t="n">
        <v>0.9</v>
      </c>
      <c r="S30" s="20" t="n">
        <v>0.77</v>
      </c>
      <c r="T30" s="43" t="n">
        <v>1.08</v>
      </c>
    </row>
    <row r="31" customFormat="false" ht="14.25" hidden="false" customHeight="true" outlineLevel="0" collapsed="false">
      <c r="A31" s="1" t="s">
        <v>121</v>
      </c>
      <c r="B31" s="19" t="n">
        <v>2.32</v>
      </c>
      <c r="C31" s="19" t="n">
        <v>0.76</v>
      </c>
      <c r="D31" s="19" t="n">
        <v>0.94</v>
      </c>
      <c r="E31" s="19" t="n">
        <v>0.97</v>
      </c>
      <c r="F31" s="19" t="n">
        <v>1.18</v>
      </c>
      <c r="G31" s="19" t="n">
        <v>0.64</v>
      </c>
      <c r="H31" s="19" t="n">
        <v>0.26</v>
      </c>
      <c r="I31" s="19" t="n">
        <v>0.27</v>
      </c>
      <c r="J31" s="19" t="n">
        <v>0.57</v>
      </c>
      <c r="K31" s="19" t="n">
        <v>0.82</v>
      </c>
      <c r="L31" s="19" t="n">
        <v>0.25</v>
      </c>
      <c r="M31" s="19" t="n">
        <v>0.37</v>
      </c>
      <c r="N31" s="19" t="n">
        <v>4.92</v>
      </c>
      <c r="O31" s="20" t="n">
        <v>0.6</v>
      </c>
      <c r="P31" s="20" t="n">
        <v>0.67</v>
      </c>
      <c r="Q31" s="20" t="n">
        <v>0.78</v>
      </c>
      <c r="R31" s="20" t="n">
        <v>0.89</v>
      </c>
      <c r="S31" s="20" t="n">
        <v>0.76</v>
      </c>
      <c r="T31" s="43" t="n">
        <v>1.08</v>
      </c>
    </row>
    <row r="32" customFormat="false" ht="14.25" hidden="false" customHeight="true" outlineLevel="0" collapsed="false">
      <c r="B32" s="19"/>
      <c r="C32" s="19"/>
      <c r="D32" s="19"/>
      <c r="E32" s="19"/>
      <c r="F32" s="19"/>
      <c r="G32" s="19"/>
      <c r="H32" s="19"/>
      <c r="I32" s="19"/>
      <c r="J32" s="19"/>
      <c r="K32" s="19"/>
      <c r="L32" s="19"/>
      <c r="M32" s="19"/>
      <c r="N32" s="19"/>
      <c r="O32" s="20"/>
      <c r="P32" s="20"/>
      <c r="Q32" s="20"/>
      <c r="R32" s="20"/>
      <c r="S32" s="20"/>
      <c r="T32" s="42"/>
    </row>
    <row r="33" customFormat="false" ht="14.25" hidden="false" customHeight="true" outlineLevel="0" collapsed="false">
      <c r="A33" s="1" t="s">
        <v>122</v>
      </c>
      <c r="B33" s="19"/>
      <c r="C33" s="19"/>
      <c r="D33" s="19"/>
      <c r="E33" s="19"/>
      <c r="F33" s="19"/>
      <c r="G33" s="19"/>
      <c r="H33" s="19"/>
      <c r="I33" s="19"/>
      <c r="J33" s="19"/>
      <c r="K33" s="19"/>
      <c r="L33" s="19"/>
      <c r="M33" s="19"/>
      <c r="N33" s="19"/>
      <c r="O33" s="20"/>
      <c r="P33" s="20"/>
      <c r="Q33" s="20"/>
      <c r="R33" s="20"/>
      <c r="S33" s="20"/>
      <c r="T33" s="42"/>
    </row>
    <row r="34" customFormat="false" ht="14.25" hidden="false" customHeight="true" outlineLevel="0" collapsed="false">
      <c r="A34" s="1" t="s">
        <v>120</v>
      </c>
      <c r="B34" s="19" t="n">
        <v>617</v>
      </c>
      <c r="C34" s="19" t="n">
        <v>2484</v>
      </c>
      <c r="D34" s="19" t="n">
        <v>2493</v>
      </c>
      <c r="E34" s="19" t="n">
        <v>2499</v>
      </c>
      <c r="F34" s="19" t="n">
        <v>2496</v>
      </c>
      <c r="G34" s="19" t="n">
        <v>2506</v>
      </c>
      <c r="H34" s="19" t="n">
        <v>2495</v>
      </c>
      <c r="I34" s="19" t="n">
        <v>2483</v>
      </c>
      <c r="J34" s="19" t="n">
        <v>2487</v>
      </c>
      <c r="K34" s="19" t="n">
        <v>2470</v>
      </c>
      <c r="L34" s="19" t="n">
        <v>2473</v>
      </c>
      <c r="M34" s="19" t="n">
        <v>2468</v>
      </c>
      <c r="N34" s="19" t="n">
        <v>2469</v>
      </c>
      <c r="O34" s="20" t="n">
        <v>2462</v>
      </c>
      <c r="P34" s="20" t="n">
        <v>2458</v>
      </c>
      <c r="Q34" s="20" t="n">
        <v>2453</v>
      </c>
      <c r="R34" s="20" t="n">
        <v>2449</v>
      </c>
      <c r="S34" s="20" t="n">
        <v>244</v>
      </c>
      <c r="T34" s="20" t="n">
        <v>2437</v>
      </c>
    </row>
    <row r="35" customFormat="false" ht="14.25" hidden="false" customHeight="true" outlineLevel="0" collapsed="false">
      <c r="A35" s="1" t="s">
        <v>121</v>
      </c>
      <c r="B35" s="19" t="n">
        <v>628</v>
      </c>
      <c r="C35" s="19" t="n">
        <v>2528</v>
      </c>
      <c r="D35" s="19" t="n">
        <v>2532</v>
      </c>
      <c r="E35" s="19" t="n">
        <v>2538</v>
      </c>
      <c r="F35" s="19" t="n">
        <v>2535</v>
      </c>
      <c r="G35" s="19" t="n">
        <v>2537</v>
      </c>
      <c r="H35" s="19" t="n">
        <v>2516</v>
      </c>
      <c r="I35" s="19" t="n">
        <v>2499</v>
      </c>
      <c r="J35" s="19" t="n">
        <v>2507</v>
      </c>
      <c r="K35" s="19" t="n">
        <v>2490</v>
      </c>
      <c r="L35" s="19" t="n">
        <v>2499</v>
      </c>
      <c r="M35" s="19" t="n">
        <v>2494</v>
      </c>
      <c r="N35" s="19" t="n">
        <v>2494</v>
      </c>
      <c r="O35" s="20" t="n">
        <v>2489</v>
      </c>
      <c r="P35" s="20" t="n">
        <v>2485</v>
      </c>
      <c r="Q35" s="20" t="n">
        <v>2477</v>
      </c>
      <c r="R35" s="20" t="n">
        <v>2471</v>
      </c>
      <c r="S35" s="20" t="n">
        <v>2461</v>
      </c>
      <c r="T35" s="20" t="n">
        <v>2453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4"/>
  <sheetViews>
    <sheetView showFormulas="false" showGridLines="false" showRowColHeaders="true" showZeros="true" rightToLeft="false" tabSelected="false" showOutlineSymbols="true" defaultGridColor="true" view="normal" topLeftCell="A2" colorId="64" zoomScale="72" zoomScaleNormal="72"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49.26"/>
    <col collapsed="false" customWidth="true" hidden="false" outlineLevel="0" max="20" min="2" style="1" width="10.59"/>
  </cols>
  <sheetData>
    <row r="1" customFormat="false" ht="3.75" hidden="false" customHeight="true" outlineLevel="0" collapsed="false"/>
    <row r="2" customFormat="false" ht="22.5" hidden="false" customHeight="true" outlineLevel="0" collapsed="false">
      <c r="A2" s="17" t="s">
        <v>30</v>
      </c>
      <c r="L2" s="19"/>
      <c r="M2" s="19"/>
      <c r="N2" s="19"/>
      <c r="O2" s="20"/>
      <c r="P2" s="20"/>
      <c r="Q2" s="20"/>
      <c r="R2" s="20"/>
      <c r="S2" s="20"/>
    </row>
    <row r="3" customFormat="false" ht="14.25" hidden="false" customHeight="true" outlineLevel="0" collapsed="false">
      <c r="A3" s="33" t="s">
        <v>77</v>
      </c>
      <c r="L3" s="19"/>
      <c r="M3" s="19"/>
      <c r="N3" s="19"/>
      <c r="O3" s="20"/>
      <c r="P3" s="20"/>
      <c r="Q3" s="20"/>
      <c r="R3" s="20"/>
      <c r="S3" s="20"/>
    </row>
    <row r="5" customFormat="false" ht="14.25" hidden="false" customHeight="true" outlineLevel="0" collapsed="false">
      <c r="A5" s="34"/>
      <c r="B5" s="35"/>
      <c r="C5" s="35"/>
      <c r="D5" s="35"/>
      <c r="E5" s="35"/>
      <c r="F5" s="35"/>
      <c r="H5" s="35"/>
      <c r="I5" s="35"/>
      <c r="J5" s="35"/>
    </row>
    <row r="6" customFormat="false" ht="14.25" hidden="false" customHeight="true" outlineLevel="0" collapsed="false">
      <c r="A6" s="1" t="s">
        <v>78</v>
      </c>
      <c r="B6" s="25" t="s">
        <v>48</v>
      </c>
      <c r="C6" s="25" t="s">
        <v>49</v>
      </c>
      <c r="D6" s="25" t="s">
        <v>50</v>
      </c>
      <c r="E6" s="25" t="s">
        <v>51</v>
      </c>
      <c r="F6" s="25" t="s">
        <v>52</v>
      </c>
      <c r="G6" s="36" t="s">
        <v>53</v>
      </c>
      <c r="H6" s="25" t="s">
        <v>54</v>
      </c>
      <c r="I6" s="25" t="s">
        <v>55</v>
      </c>
      <c r="J6" s="25" t="s">
        <v>56</v>
      </c>
      <c r="K6" s="36" t="s">
        <v>57</v>
      </c>
      <c r="L6" s="36" t="s">
        <v>58</v>
      </c>
      <c r="M6" s="36" t="s">
        <v>59</v>
      </c>
      <c r="N6" s="36" t="s">
        <v>60</v>
      </c>
      <c r="O6" s="36" t="s">
        <v>61</v>
      </c>
      <c r="P6" s="36" t="s">
        <v>62</v>
      </c>
      <c r="Q6" s="36" t="s">
        <v>63</v>
      </c>
      <c r="R6" s="36" t="s">
        <v>64</v>
      </c>
      <c r="S6" s="36" t="s">
        <v>71</v>
      </c>
      <c r="T6" s="36" t="s">
        <v>72</v>
      </c>
    </row>
    <row r="7" customFormat="false" ht="14.25" hidden="false" customHeight="true" outlineLevel="0" collapsed="false">
      <c r="A7" s="37" t="s">
        <v>79</v>
      </c>
      <c r="B7" s="38" t="n">
        <v>44227</v>
      </c>
      <c r="C7" s="38" t="n">
        <v>44318</v>
      </c>
      <c r="D7" s="38" t="n">
        <v>44409</v>
      </c>
      <c r="E7" s="38" t="n">
        <v>44500</v>
      </c>
      <c r="F7" s="38" t="n">
        <v>44591</v>
      </c>
      <c r="G7" s="38" t="n">
        <v>44682</v>
      </c>
      <c r="H7" s="38" t="n">
        <v>44773</v>
      </c>
      <c r="I7" s="38" t="n">
        <v>44864</v>
      </c>
      <c r="J7" s="38" t="n">
        <v>44955</v>
      </c>
      <c r="K7" s="38" t="n">
        <v>45046</v>
      </c>
      <c r="L7" s="38" t="n">
        <v>45137</v>
      </c>
      <c r="M7" s="38" t="n">
        <v>45228</v>
      </c>
      <c r="N7" s="38" t="n">
        <v>45319</v>
      </c>
      <c r="O7" s="38" t="n">
        <v>45410</v>
      </c>
      <c r="P7" s="38" t="n">
        <v>45501</v>
      </c>
      <c r="Q7" s="38" t="n">
        <v>45592</v>
      </c>
      <c r="R7" s="38" t="n">
        <v>45683</v>
      </c>
      <c r="S7" s="38" t="n">
        <v>45774</v>
      </c>
      <c r="T7" s="38" t="n">
        <v>45865</v>
      </c>
    </row>
    <row r="9" customFormat="false" ht="14.25" hidden="false" customHeight="true" outlineLevel="0" collapsed="false">
      <c r="A9" s="1" t="s">
        <v>123</v>
      </c>
      <c r="Q9" s="23"/>
      <c r="R9" s="23"/>
      <c r="S9" s="23"/>
      <c r="T9" s="23"/>
    </row>
    <row r="10" customFormat="false" ht="14.25" hidden="false" customHeight="true" outlineLevel="0" collapsed="false">
      <c r="A10" s="1" t="s">
        <v>124</v>
      </c>
    </row>
    <row r="11" customFormat="false" ht="14.25" hidden="false" customHeight="true" outlineLevel="0" collapsed="false">
      <c r="A11" s="1" t="s">
        <v>125</v>
      </c>
      <c r="B11" s="44" t="n">
        <v>847</v>
      </c>
      <c r="C11" s="44" t="n">
        <v>978</v>
      </c>
      <c r="D11" s="44" t="n">
        <v>5628</v>
      </c>
      <c r="E11" s="44" t="n">
        <v>1288</v>
      </c>
      <c r="F11" s="44" t="n">
        <v>1990</v>
      </c>
      <c r="G11" s="44" t="n">
        <v>3887</v>
      </c>
      <c r="H11" s="44" t="n">
        <v>3013</v>
      </c>
      <c r="I11" s="44" t="n">
        <v>2800</v>
      </c>
      <c r="J11" s="45" t="n">
        <v>3389</v>
      </c>
      <c r="K11" s="45" t="n">
        <v>5079</v>
      </c>
      <c r="L11" s="45" t="n">
        <v>5783</v>
      </c>
      <c r="M11" s="44" t="n">
        <v>5519</v>
      </c>
      <c r="N11" s="44" t="n">
        <v>7280</v>
      </c>
      <c r="O11" s="46" t="n">
        <v>7587</v>
      </c>
      <c r="P11" s="46" t="n">
        <v>8571</v>
      </c>
      <c r="Q11" s="46" t="n">
        <v>9107</v>
      </c>
      <c r="R11" s="46" t="n">
        <v>8589</v>
      </c>
      <c r="S11" s="46" t="n">
        <v>15234</v>
      </c>
      <c r="T11" s="46" t="n">
        <v>11639</v>
      </c>
    </row>
    <row r="12" customFormat="false" ht="14.25" hidden="false" customHeight="true" outlineLevel="0" collapsed="false">
      <c r="A12" s="1" t="s">
        <v>126</v>
      </c>
      <c r="B12" s="44" t="n">
        <v>10714</v>
      </c>
      <c r="C12" s="44" t="n">
        <v>11689</v>
      </c>
      <c r="D12" s="44" t="n">
        <v>14026</v>
      </c>
      <c r="E12" s="44" t="n">
        <v>18010</v>
      </c>
      <c r="F12" s="44" t="n">
        <v>19218</v>
      </c>
      <c r="G12" s="44" t="n">
        <v>16451</v>
      </c>
      <c r="H12" s="44" t="n">
        <v>14024</v>
      </c>
      <c r="I12" s="44" t="n">
        <v>10343</v>
      </c>
      <c r="J12" s="45" t="n">
        <v>9907</v>
      </c>
      <c r="K12" s="45" t="n">
        <v>10241</v>
      </c>
      <c r="L12" s="45" t="n">
        <v>10240</v>
      </c>
      <c r="M12" s="44" t="n">
        <v>12762</v>
      </c>
      <c r="N12" s="44" t="n">
        <v>18704</v>
      </c>
      <c r="O12" s="45" t="n">
        <v>23851</v>
      </c>
      <c r="P12" s="45" t="n">
        <v>26229</v>
      </c>
      <c r="Q12" s="23" t="n">
        <v>29380</v>
      </c>
      <c r="R12" s="23" t="n">
        <v>34621</v>
      </c>
      <c r="S12" s="23" t="n">
        <v>38457</v>
      </c>
      <c r="T12" s="23" t="n">
        <v>45152</v>
      </c>
    </row>
    <row r="13" customFormat="false" ht="14.25" hidden="false" customHeight="true" outlineLevel="0" collapsed="false">
      <c r="A13" s="1" t="s">
        <v>127</v>
      </c>
      <c r="B13" s="44" t="n">
        <v>2429</v>
      </c>
      <c r="C13" s="44" t="n">
        <v>3024</v>
      </c>
      <c r="D13" s="44" t="n">
        <v>3586</v>
      </c>
      <c r="E13" s="44" t="n">
        <v>3954</v>
      </c>
      <c r="F13" s="44" t="n">
        <v>4650</v>
      </c>
      <c r="G13" s="44" t="n">
        <v>5438</v>
      </c>
      <c r="H13" s="44" t="n">
        <v>5317</v>
      </c>
      <c r="I13" s="44" t="n">
        <v>4908</v>
      </c>
      <c r="J13" s="45" t="n">
        <v>3827</v>
      </c>
      <c r="K13" s="45" t="n">
        <v>4080</v>
      </c>
      <c r="L13" s="45" t="n">
        <v>7066</v>
      </c>
      <c r="M13" s="44" t="n">
        <v>8309</v>
      </c>
      <c r="N13" s="44" t="n">
        <v>9999</v>
      </c>
      <c r="O13" s="45" t="n">
        <v>12365</v>
      </c>
      <c r="P13" s="45" t="n">
        <v>14132</v>
      </c>
      <c r="Q13" s="45" t="n">
        <v>17693</v>
      </c>
      <c r="R13" s="45" t="n">
        <v>23065</v>
      </c>
      <c r="S13" s="45" t="n">
        <v>22132</v>
      </c>
      <c r="T13" s="45" t="n">
        <v>27808</v>
      </c>
    </row>
    <row r="14" customFormat="false" ht="14.25" hidden="false" customHeight="true" outlineLevel="0" collapsed="false">
      <c r="A14" s="1" t="s">
        <v>128</v>
      </c>
      <c r="B14" s="44" t="n">
        <v>1826</v>
      </c>
      <c r="C14" s="44" t="n">
        <v>1992</v>
      </c>
      <c r="D14" s="44" t="n">
        <v>2114</v>
      </c>
      <c r="E14" s="44" t="n">
        <v>2233</v>
      </c>
      <c r="F14" s="44" t="n">
        <v>2605</v>
      </c>
      <c r="G14" s="44" t="n">
        <v>3163</v>
      </c>
      <c r="H14" s="44" t="n">
        <v>3889</v>
      </c>
      <c r="I14" s="44" t="n">
        <v>4454</v>
      </c>
      <c r="J14" s="45" t="n">
        <v>5159</v>
      </c>
      <c r="K14" s="45" t="n">
        <v>4611</v>
      </c>
      <c r="L14" s="45" t="n">
        <v>4319</v>
      </c>
      <c r="M14" s="44" t="n">
        <v>4779</v>
      </c>
      <c r="N14" s="44" t="n">
        <v>5282</v>
      </c>
      <c r="O14" s="45" t="n">
        <v>5864</v>
      </c>
      <c r="P14" s="45" t="n">
        <v>6675</v>
      </c>
      <c r="Q14" s="45" t="n">
        <v>7654</v>
      </c>
      <c r="R14" s="45" t="n">
        <v>10080</v>
      </c>
      <c r="S14" s="45" t="n">
        <v>11333</v>
      </c>
      <c r="T14" s="45" t="n">
        <v>14962</v>
      </c>
    </row>
    <row r="15" customFormat="false" ht="14.25" hidden="false" customHeight="true" outlineLevel="0" collapsed="false">
      <c r="A15" s="1" t="s">
        <v>129</v>
      </c>
      <c r="B15" s="44" t="n">
        <v>239</v>
      </c>
      <c r="C15" s="44" t="n">
        <v>444</v>
      </c>
      <c r="D15" s="44" t="n">
        <v>452</v>
      </c>
      <c r="E15" s="44" t="n">
        <v>321</v>
      </c>
      <c r="F15" s="44" t="n">
        <v>366</v>
      </c>
      <c r="G15" s="44" t="n">
        <v>636</v>
      </c>
      <c r="H15" s="44" t="n">
        <v>1175</v>
      </c>
      <c r="I15" s="44" t="n">
        <v>718</v>
      </c>
      <c r="J15" s="45" t="s">
        <v>130</v>
      </c>
      <c r="K15" s="45" t="n">
        <v>872</v>
      </c>
      <c r="L15" s="45" t="n">
        <v>1389</v>
      </c>
      <c r="M15" s="44" t="n">
        <v>1289</v>
      </c>
      <c r="N15" s="44" t="n">
        <v>3080</v>
      </c>
      <c r="O15" s="23" t="n">
        <v>4062</v>
      </c>
      <c r="P15" s="23" t="n">
        <v>4026</v>
      </c>
      <c r="Q15" s="23" t="n">
        <v>3806</v>
      </c>
      <c r="R15" s="23" t="n">
        <v>3771</v>
      </c>
      <c r="S15" s="23" t="n">
        <v>2779</v>
      </c>
      <c r="T15" s="23" t="n">
        <v>2658</v>
      </c>
    </row>
    <row r="16" customFormat="false" ht="14.25" hidden="false" customHeight="true" outlineLevel="0" collapsed="false">
      <c r="A16" s="39" t="s">
        <v>131</v>
      </c>
      <c r="B16" s="47" t="n">
        <v>16055</v>
      </c>
      <c r="C16" s="47" t="n">
        <v>18127</v>
      </c>
      <c r="D16" s="47" t="n">
        <v>25806</v>
      </c>
      <c r="E16" s="47" t="n">
        <v>25806</v>
      </c>
      <c r="F16" s="47" t="n">
        <v>28829</v>
      </c>
      <c r="G16" s="47" t="n">
        <v>29575</v>
      </c>
      <c r="H16" s="47" t="n">
        <v>27418</v>
      </c>
      <c r="I16" s="47" t="n">
        <v>23223</v>
      </c>
      <c r="J16" s="48" t="n">
        <v>23073</v>
      </c>
      <c r="K16" s="48" t="n">
        <v>24883</v>
      </c>
      <c r="L16" s="48" t="n">
        <v>28797</v>
      </c>
      <c r="M16" s="47" t="n">
        <v>32658</v>
      </c>
      <c r="N16" s="47" t="n">
        <v>44345</v>
      </c>
      <c r="O16" s="49" t="n">
        <v>53729</v>
      </c>
      <c r="P16" s="49" t="n">
        <v>59633</v>
      </c>
      <c r="Q16" s="49" t="n">
        <v>67640</v>
      </c>
      <c r="R16" s="49" t="n">
        <v>80126</v>
      </c>
      <c r="S16" s="49" t="n">
        <v>89935</v>
      </c>
      <c r="T16" s="49" t="n">
        <v>102219</v>
      </c>
    </row>
    <row r="17" customFormat="false" ht="14.25" hidden="false" customHeight="true" outlineLevel="0" collapsed="false">
      <c r="A17" s="1" t="s">
        <v>132</v>
      </c>
      <c r="B17" s="44" t="n">
        <v>2149</v>
      </c>
      <c r="C17" s="44" t="n">
        <v>2268</v>
      </c>
      <c r="D17" s="44" t="n">
        <v>2364</v>
      </c>
      <c r="E17" s="44" t="n">
        <v>2509</v>
      </c>
      <c r="F17" s="44" t="n">
        <v>2778</v>
      </c>
      <c r="G17" s="44" t="n">
        <v>2916</v>
      </c>
      <c r="H17" s="44" t="n">
        <v>3233</v>
      </c>
      <c r="I17" s="44" t="n">
        <v>3774</v>
      </c>
      <c r="J17" s="45" t="n">
        <v>3807</v>
      </c>
      <c r="K17" s="45" t="n">
        <v>3740</v>
      </c>
      <c r="L17" s="45" t="n">
        <v>3799</v>
      </c>
      <c r="M17" s="44" t="n">
        <v>3844</v>
      </c>
      <c r="N17" s="44" t="n">
        <v>3914</v>
      </c>
      <c r="O17" s="45" t="n">
        <v>4006</v>
      </c>
      <c r="P17" s="45" t="n">
        <v>4885</v>
      </c>
      <c r="Q17" s="45" t="n">
        <v>5343</v>
      </c>
      <c r="R17" s="45" t="n">
        <v>6283</v>
      </c>
      <c r="S17" s="45" t="n">
        <v>7136</v>
      </c>
      <c r="T17" s="45" t="n">
        <v>9141</v>
      </c>
    </row>
    <row r="18" customFormat="false" ht="14.25" hidden="false" customHeight="true" outlineLevel="0" collapsed="false">
      <c r="A18" s="1" t="s">
        <v>133</v>
      </c>
      <c r="B18" s="44" t="n">
        <v>707</v>
      </c>
      <c r="C18" s="44" t="n">
        <v>727</v>
      </c>
      <c r="D18" s="44" t="n">
        <v>801</v>
      </c>
      <c r="E18" s="44" t="n">
        <v>830</v>
      </c>
      <c r="F18" s="44" t="n">
        <v>829</v>
      </c>
      <c r="G18" s="44" t="n">
        <v>856</v>
      </c>
      <c r="H18" s="44" t="n">
        <v>852</v>
      </c>
      <c r="I18" s="44" t="n">
        <v>927</v>
      </c>
      <c r="J18" s="45" t="n">
        <v>1038</v>
      </c>
      <c r="K18" s="45" t="n">
        <v>1094</v>
      </c>
      <c r="L18" s="45" t="n">
        <v>1235</v>
      </c>
      <c r="M18" s="44" t="n">
        <v>1316</v>
      </c>
      <c r="N18" s="44" t="n">
        <v>1346</v>
      </c>
      <c r="O18" s="45" t="n">
        <v>1532</v>
      </c>
      <c r="P18" s="45" t="n">
        <v>1556</v>
      </c>
      <c r="Q18" s="45" t="n">
        <v>1755</v>
      </c>
      <c r="R18" s="45" t="n">
        <v>1793</v>
      </c>
      <c r="S18" s="45" t="n">
        <v>1810</v>
      </c>
      <c r="T18" s="45" t="n">
        <v>2084</v>
      </c>
    </row>
    <row r="19" customFormat="false" ht="14.25" hidden="false" customHeight="true" outlineLevel="0" collapsed="false">
      <c r="A19" s="1" t="s">
        <v>134</v>
      </c>
      <c r="B19" s="44" t="n">
        <v>4193</v>
      </c>
      <c r="C19" s="44" t="n">
        <v>4193</v>
      </c>
      <c r="D19" s="44" t="n">
        <v>4193</v>
      </c>
      <c r="E19" s="44" t="n">
        <v>4302</v>
      </c>
      <c r="F19" s="44" t="n">
        <v>4349</v>
      </c>
      <c r="G19" s="44" t="n">
        <v>4365</v>
      </c>
      <c r="H19" s="44" t="n">
        <v>4372</v>
      </c>
      <c r="I19" s="44" t="n">
        <v>4372</v>
      </c>
      <c r="J19" s="45" t="n">
        <v>4372</v>
      </c>
      <c r="K19" s="45" t="n">
        <v>4430</v>
      </c>
      <c r="L19" s="45" t="n">
        <v>4430</v>
      </c>
      <c r="M19" s="44" t="n">
        <v>4430</v>
      </c>
      <c r="N19" s="44" t="n">
        <v>4430</v>
      </c>
      <c r="O19" s="45" t="n">
        <v>4453</v>
      </c>
      <c r="P19" s="45" t="n">
        <v>4622</v>
      </c>
      <c r="Q19" s="45" t="n">
        <v>4724</v>
      </c>
      <c r="R19" s="45" t="n">
        <v>5188</v>
      </c>
      <c r="S19" s="45" t="n">
        <v>5498</v>
      </c>
      <c r="T19" s="45" t="n">
        <v>5755</v>
      </c>
    </row>
    <row r="20" customFormat="false" ht="14.25" hidden="false" customHeight="true" outlineLevel="0" collapsed="false">
      <c r="A20" s="1" t="s">
        <v>135</v>
      </c>
      <c r="B20" s="44" t="n">
        <v>2737</v>
      </c>
      <c r="C20" s="44" t="n">
        <v>2613</v>
      </c>
      <c r="D20" s="44" t="n">
        <v>2478</v>
      </c>
      <c r="E20" s="44" t="n">
        <v>2454</v>
      </c>
      <c r="F20" s="44" t="n">
        <v>2339</v>
      </c>
      <c r="G20" s="44" t="n">
        <v>2211</v>
      </c>
      <c r="H20" s="44" t="n">
        <v>2036</v>
      </c>
      <c r="I20" s="44" t="n">
        <v>1850</v>
      </c>
      <c r="J20" s="45" t="n">
        <v>1676</v>
      </c>
      <c r="K20" s="45" t="n">
        <v>1541</v>
      </c>
      <c r="L20" s="45" t="n">
        <v>1395</v>
      </c>
      <c r="M20" s="44" t="n">
        <v>1251</v>
      </c>
      <c r="N20" s="44" t="n">
        <v>1112</v>
      </c>
      <c r="O20" s="45" t="n">
        <v>986</v>
      </c>
      <c r="P20" s="45" t="n">
        <v>952</v>
      </c>
      <c r="Q20" s="45" t="n">
        <v>838</v>
      </c>
      <c r="R20" s="45" t="n">
        <v>807</v>
      </c>
      <c r="S20" s="45" t="n">
        <v>769</v>
      </c>
      <c r="T20" s="45" t="n">
        <v>755</v>
      </c>
    </row>
    <row r="21" customFormat="false" ht="14.25" hidden="false" customHeight="true" outlineLevel="0" collapsed="false">
      <c r="A21" s="1" t="s">
        <v>136</v>
      </c>
      <c r="B21" s="44" t="n">
        <v>806</v>
      </c>
      <c r="C21" s="44" t="n">
        <v>778</v>
      </c>
      <c r="D21" s="44" t="n">
        <v>958</v>
      </c>
      <c r="E21" s="44" t="n">
        <v>970</v>
      </c>
      <c r="F21" s="44" t="n">
        <v>1222</v>
      </c>
      <c r="G21" s="44" t="n">
        <v>1784</v>
      </c>
      <c r="H21" s="44" t="n">
        <v>2225</v>
      </c>
      <c r="I21" s="44" t="n">
        <v>2762</v>
      </c>
      <c r="J21" s="45" t="n">
        <v>3396</v>
      </c>
      <c r="K21" s="45" t="n">
        <v>4568</v>
      </c>
      <c r="L21" s="45" t="n">
        <v>5398</v>
      </c>
      <c r="M21" s="44" t="n">
        <v>5982</v>
      </c>
      <c r="N21" s="44" t="n">
        <v>6081</v>
      </c>
      <c r="O21" s="45" t="n">
        <v>7798</v>
      </c>
      <c r="P21" s="45" t="n">
        <v>9578</v>
      </c>
      <c r="Q21" s="45" t="n">
        <v>10276</v>
      </c>
      <c r="R21" s="45" t="n">
        <v>10979</v>
      </c>
      <c r="S21" s="45" t="n">
        <v>13318</v>
      </c>
      <c r="T21" s="45" t="n">
        <v>13570</v>
      </c>
    </row>
    <row r="22" customFormat="false" ht="14.25" hidden="false" customHeight="true" outlineLevel="0" collapsed="false">
      <c r="A22" s="1" t="s">
        <v>137</v>
      </c>
      <c r="B22" s="44" t="n">
        <v>2144</v>
      </c>
      <c r="C22" s="44" t="n">
        <v>2090</v>
      </c>
      <c r="D22" s="44" t="n">
        <v>2050</v>
      </c>
      <c r="E22" s="44" t="n">
        <v>3761</v>
      </c>
      <c r="F22" s="44" t="n">
        <v>3841</v>
      </c>
      <c r="G22" s="44" t="n">
        <v>3505</v>
      </c>
      <c r="H22" s="44" t="n">
        <v>3340</v>
      </c>
      <c r="I22" s="44" t="n">
        <v>3580</v>
      </c>
      <c r="J22" s="45" t="n">
        <v>3820</v>
      </c>
      <c r="K22" s="45" t="n">
        <v>4204</v>
      </c>
      <c r="L22" s="45" t="n">
        <v>4501</v>
      </c>
      <c r="M22" s="44" t="n">
        <v>4667</v>
      </c>
      <c r="N22" s="44" t="n">
        <v>4500</v>
      </c>
      <c r="O22" s="23" t="n">
        <v>4568</v>
      </c>
      <c r="P22" s="23" t="n">
        <v>4001</v>
      </c>
      <c r="Q22" s="23" t="n">
        <v>5437</v>
      </c>
      <c r="R22" s="23" t="n">
        <v>6425</v>
      </c>
      <c r="S22" s="23" t="n">
        <v>6788</v>
      </c>
      <c r="T22" s="45" t="n">
        <v>7216</v>
      </c>
    </row>
    <row r="23" customFormat="false" ht="14.25" hidden="false" customHeight="true" outlineLevel="0" collapsed="false">
      <c r="A23" s="39" t="s">
        <v>138</v>
      </c>
      <c r="B23" s="47" t="n">
        <v>28791</v>
      </c>
      <c r="C23" s="47" t="n">
        <v>30796</v>
      </c>
      <c r="D23" s="47" t="n">
        <v>38650</v>
      </c>
      <c r="E23" s="47" t="n">
        <v>40632</v>
      </c>
      <c r="F23" s="47" t="n">
        <v>44187</v>
      </c>
      <c r="G23" s="47" t="n">
        <v>45212</v>
      </c>
      <c r="H23" s="47" t="n">
        <v>43476</v>
      </c>
      <c r="I23" s="47" t="n">
        <v>40488</v>
      </c>
      <c r="J23" s="48" t="n">
        <v>41182</v>
      </c>
      <c r="K23" s="48" t="n">
        <v>44460</v>
      </c>
      <c r="L23" s="48" t="n">
        <v>49555</v>
      </c>
      <c r="M23" s="47" t="n">
        <v>54148</v>
      </c>
      <c r="N23" s="47" t="n">
        <v>65728</v>
      </c>
      <c r="O23" s="49" t="n">
        <v>77072</v>
      </c>
      <c r="P23" s="49" t="n">
        <v>85227</v>
      </c>
      <c r="Q23" s="49" t="n">
        <v>96013</v>
      </c>
      <c r="R23" s="49" t="n">
        <v>111601</v>
      </c>
      <c r="S23" s="49" t="n">
        <v>125254</v>
      </c>
      <c r="T23" s="48" t="n">
        <v>140740</v>
      </c>
    </row>
    <row r="24" customFormat="false" ht="14.25" hidden="false" customHeight="true" outlineLevel="0" collapsed="false">
      <c r="B24" s="23"/>
      <c r="C24" s="46"/>
      <c r="D24" s="46"/>
      <c r="E24" s="46"/>
      <c r="F24" s="46"/>
      <c r="G24" s="46"/>
      <c r="H24" s="46"/>
      <c r="I24" s="46"/>
      <c r="J24" s="50"/>
      <c r="K24" s="50"/>
      <c r="L24" s="50"/>
      <c r="M24" s="50"/>
      <c r="N24" s="50"/>
      <c r="O24" s="23"/>
      <c r="P24" s="23"/>
      <c r="Q24" s="23"/>
      <c r="R24" s="23"/>
      <c r="S24" s="23"/>
      <c r="T24" s="23"/>
    </row>
    <row r="25" customFormat="false" ht="14.25" hidden="false" customHeight="true" outlineLevel="0" collapsed="false">
      <c r="A25" s="1" t="s">
        <v>139</v>
      </c>
      <c r="B25" s="44"/>
      <c r="C25" s="46"/>
      <c r="D25" s="46"/>
      <c r="E25" s="46"/>
      <c r="F25" s="46"/>
      <c r="G25" s="46"/>
      <c r="H25" s="46"/>
      <c r="I25" s="46"/>
      <c r="J25" s="50"/>
      <c r="K25" s="50"/>
      <c r="L25" s="50"/>
      <c r="M25" s="44"/>
      <c r="N25" s="44"/>
      <c r="O25" s="23"/>
      <c r="P25" s="23"/>
      <c r="Q25" s="23"/>
      <c r="R25" s="23"/>
      <c r="S25" s="23"/>
      <c r="T25" s="23"/>
    </row>
    <row r="26" customFormat="false" ht="14.25" hidden="false" customHeight="true" outlineLevel="0" collapsed="false">
      <c r="A26" s="1" t="s">
        <v>140</v>
      </c>
      <c r="B26" s="44"/>
      <c r="C26" s="46"/>
      <c r="D26" s="46"/>
      <c r="E26" s="46"/>
      <c r="F26" s="46"/>
      <c r="G26" s="46"/>
      <c r="H26" s="46"/>
      <c r="I26" s="46"/>
      <c r="J26" s="50"/>
      <c r="K26" s="50"/>
      <c r="L26" s="50"/>
      <c r="M26" s="44"/>
      <c r="N26" s="44"/>
      <c r="O26" s="23"/>
      <c r="P26" s="23"/>
      <c r="Q26" s="23"/>
      <c r="R26" s="23"/>
      <c r="S26" s="23"/>
      <c r="T26" s="23"/>
    </row>
    <row r="27" customFormat="false" ht="14.25" hidden="false" customHeight="true" outlineLevel="0" collapsed="false">
      <c r="A27" s="1" t="s">
        <v>141</v>
      </c>
      <c r="B27" s="44" t="n">
        <v>1201</v>
      </c>
      <c r="C27" s="44" t="n">
        <v>1218</v>
      </c>
      <c r="D27" s="44" t="n">
        <v>1474</v>
      </c>
      <c r="E27" s="44" t="n">
        <v>1664</v>
      </c>
      <c r="F27" s="44" t="n">
        <v>1783</v>
      </c>
      <c r="G27" s="44" t="n">
        <v>1999</v>
      </c>
      <c r="H27" s="44" t="n">
        <v>2421</v>
      </c>
      <c r="I27" s="44" t="n">
        <v>1491</v>
      </c>
      <c r="J27" s="45" t="n">
        <v>1193</v>
      </c>
      <c r="K27" s="45" t="n">
        <v>1141</v>
      </c>
      <c r="L27" s="45" t="n">
        <v>1929</v>
      </c>
      <c r="M27" s="44" t="n">
        <v>2380</v>
      </c>
      <c r="N27" s="44" t="n">
        <v>2699</v>
      </c>
      <c r="O27" s="45" t="n">
        <v>2715</v>
      </c>
      <c r="P27" s="45" t="n">
        <v>3680</v>
      </c>
      <c r="Q27" s="45" t="n">
        <v>5353</v>
      </c>
      <c r="R27" s="45" t="n">
        <v>6310</v>
      </c>
      <c r="S27" s="45" t="n">
        <v>7331</v>
      </c>
      <c r="T27" s="45" t="n">
        <v>9064</v>
      </c>
    </row>
    <row r="28" customFormat="false" ht="14.25" hidden="false" customHeight="true" outlineLevel="0" collapsed="false">
      <c r="A28" s="1" t="s">
        <v>142</v>
      </c>
      <c r="B28" s="44" t="n">
        <v>1725</v>
      </c>
      <c r="C28" s="44" t="n">
        <v>1787</v>
      </c>
      <c r="D28" s="44" t="n">
        <v>1974</v>
      </c>
      <c r="E28" s="44" t="n">
        <v>1948</v>
      </c>
      <c r="F28" s="44" t="n">
        <v>2552</v>
      </c>
      <c r="G28" s="44" t="n">
        <v>3563</v>
      </c>
      <c r="H28" s="44" t="n">
        <v>3903</v>
      </c>
      <c r="I28" s="44" t="n">
        <v>4115</v>
      </c>
      <c r="J28" s="45" t="n">
        <v>4120</v>
      </c>
      <c r="K28" s="45" t="n">
        <v>4869</v>
      </c>
      <c r="L28" s="45" t="n">
        <v>7156</v>
      </c>
      <c r="M28" s="44" t="n">
        <v>5472</v>
      </c>
      <c r="N28" s="44" t="n">
        <v>6682</v>
      </c>
      <c r="O28" s="45" t="n">
        <v>11258</v>
      </c>
      <c r="P28" s="45" t="n">
        <v>10289</v>
      </c>
      <c r="Q28" s="45" t="n">
        <v>11126</v>
      </c>
      <c r="R28" s="45" t="n">
        <v>11737</v>
      </c>
      <c r="S28" s="45" t="n">
        <v>19211</v>
      </c>
      <c r="T28" s="45" t="n">
        <v>15193</v>
      </c>
    </row>
    <row r="29" customFormat="false" ht="14.25" hidden="false" customHeight="true" outlineLevel="0" collapsed="false">
      <c r="A29" s="1" t="s">
        <v>143</v>
      </c>
      <c r="B29" s="44" t="n">
        <v>999</v>
      </c>
      <c r="C29" s="44" t="n">
        <v>999</v>
      </c>
      <c r="D29" s="44" t="n">
        <v>1000</v>
      </c>
      <c r="E29" s="45" t="n">
        <v>0</v>
      </c>
      <c r="F29" s="45" t="n">
        <v>0</v>
      </c>
      <c r="G29" s="45" t="n">
        <v>0</v>
      </c>
      <c r="H29" s="44" t="n">
        <v>1249</v>
      </c>
      <c r="I29" s="44" t="n">
        <v>1249</v>
      </c>
      <c r="J29" s="45" t="n">
        <v>1250</v>
      </c>
      <c r="K29" s="45" t="n">
        <v>1250</v>
      </c>
      <c r="L29" s="45" t="n">
        <v>1249</v>
      </c>
      <c r="M29" s="44" t="n">
        <v>1249</v>
      </c>
      <c r="N29" s="44" t="n">
        <v>1250</v>
      </c>
      <c r="O29" s="45" t="n">
        <v>1250</v>
      </c>
      <c r="P29" s="45" t="n">
        <v>0</v>
      </c>
      <c r="Q29" s="45" t="n">
        <v>0</v>
      </c>
      <c r="R29" s="45" t="n">
        <v>0</v>
      </c>
      <c r="S29" s="45" t="n">
        <v>0</v>
      </c>
      <c r="T29" s="45" t="n">
        <v>0</v>
      </c>
    </row>
    <row r="30" customFormat="false" ht="14.25" hidden="false" customHeight="true" outlineLevel="0" collapsed="false">
      <c r="A30" s="39" t="s">
        <v>144</v>
      </c>
      <c r="B30" s="47" t="n">
        <v>3925</v>
      </c>
      <c r="C30" s="47" t="n">
        <v>4004</v>
      </c>
      <c r="D30" s="47" t="n">
        <v>4448</v>
      </c>
      <c r="E30" s="47" t="n">
        <v>3612</v>
      </c>
      <c r="F30" s="47" t="n">
        <v>4335</v>
      </c>
      <c r="G30" s="47" t="n">
        <v>5562</v>
      </c>
      <c r="H30" s="47" t="n">
        <v>7573</v>
      </c>
      <c r="I30" s="47" t="n">
        <v>6855</v>
      </c>
      <c r="J30" s="48" t="n">
        <v>6563</v>
      </c>
      <c r="K30" s="48" t="n">
        <v>7260</v>
      </c>
      <c r="L30" s="48" t="n">
        <v>10334</v>
      </c>
      <c r="M30" s="47" t="n">
        <v>9101</v>
      </c>
      <c r="N30" s="47" t="n">
        <v>10631</v>
      </c>
      <c r="O30" s="48" t="n">
        <v>15223</v>
      </c>
      <c r="P30" s="49" t="n">
        <v>13969</v>
      </c>
      <c r="Q30" s="49" t="n">
        <v>16479</v>
      </c>
      <c r="R30" s="49" t="n">
        <v>18047</v>
      </c>
      <c r="S30" s="49" t="n">
        <v>26542</v>
      </c>
      <c r="T30" s="49" t="n">
        <v>24257</v>
      </c>
    </row>
    <row r="31" customFormat="false" ht="14.25" hidden="false" customHeight="true" outlineLevel="0" collapsed="false">
      <c r="A31" s="1" t="s">
        <v>145</v>
      </c>
      <c r="B31" s="44" t="n">
        <v>5964</v>
      </c>
      <c r="C31" s="44" t="n">
        <v>5964</v>
      </c>
      <c r="D31" s="44" t="n">
        <v>10943</v>
      </c>
      <c r="E31" s="44" t="n">
        <v>10944</v>
      </c>
      <c r="F31" s="44" t="n">
        <v>10946</v>
      </c>
      <c r="G31" s="44" t="n">
        <v>10947</v>
      </c>
      <c r="H31" s="44" t="n">
        <v>9700</v>
      </c>
      <c r="I31" s="44" t="n">
        <v>9701</v>
      </c>
      <c r="J31" s="45" t="n">
        <v>9703</v>
      </c>
      <c r="K31" s="45" t="n">
        <v>9704</v>
      </c>
      <c r="L31" s="45" t="n">
        <v>8456</v>
      </c>
      <c r="M31" s="44" t="n">
        <v>8457</v>
      </c>
      <c r="N31" s="44" t="n">
        <v>8459</v>
      </c>
      <c r="O31" s="45" t="n">
        <v>8460</v>
      </c>
      <c r="P31" s="45" t="n">
        <v>8461</v>
      </c>
      <c r="Q31" s="45" t="n">
        <v>8462</v>
      </c>
      <c r="R31" s="45" t="n">
        <v>8463</v>
      </c>
      <c r="S31" s="45" t="n">
        <v>8464</v>
      </c>
      <c r="T31" s="45" t="n">
        <v>8466</v>
      </c>
    </row>
    <row r="32" customFormat="false" ht="14.25" hidden="false" customHeight="true" outlineLevel="0" collapsed="false">
      <c r="A32" s="1" t="s">
        <v>146</v>
      </c>
      <c r="B32" s="44" t="n">
        <v>634</v>
      </c>
      <c r="C32" s="44" t="n">
        <v>640</v>
      </c>
      <c r="D32" s="44" t="n">
        <v>716</v>
      </c>
      <c r="E32" s="44" t="n">
        <v>743</v>
      </c>
      <c r="F32" s="44" t="n">
        <v>741</v>
      </c>
      <c r="G32" s="44" t="n">
        <v>752</v>
      </c>
      <c r="H32" s="44" t="n">
        <v>743</v>
      </c>
      <c r="I32" s="44" t="n">
        <v>798</v>
      </c>
      <c r="J32" s="45" t="s">
        <v>147</v>
      </c>
      <c r="K32" s="45" t="n">
        <v>939</v>
      </c>
      <c r="L32" s="45" t="n">
        <v>1041</v>
      </c>
      <c r="M32" s="44" t="n">
        <v>1091</v>
      </c>
      <c r="N32" s="44" t="n">
        <v>1119</v>
      </c>
      <c r="O32" s="45" t="n">
        <v>1281</v>
      </c>
      <c r="P32" s="45" t="n">
        <v>1304</v>
      </c>
      <c r="Q32" s="45" t="n">
        <v>1490</v>
      </c>
      <c r="R32" s="45" t="n">
        <v>1519</v>
      </c>
      <c r="S32" s="45" t="n">
        <v>1521</v>
      </c>
      <c r="T32" s="45" t="n">
        <v>1831</v>
      </c>
    </row>
    <row r="33" customFormat="false" ht="14.25" hidden="false" customHeight="true" outlineLevel="0" collapsed="false">
      <c r="A33" s="1" t="s">
        <v>148</v>
      </c>
      <c r="B33" s="44" t="n">
        <v>1375</v>
      </c>
      <c r="C33" s="44" t="n">
        <v>1414</v>
      </c>
      <c r="D33" s="44" t="n">
        <v>1396</v>
      </c>
      <c r="E33" s="44" t="n">
        <v>1535</v>
      </c>
      <c r="F33" s="44" t="n">
        <v>1553</v>
      </c>
      <c r="G33" s="44" t="n">
        <v>1631</v>
      </c>
      <c r="H33" s="44" t="n">
        <v>1609</v>
      </c>
      <c r="I33" s="44" t="n">
        <v>1785</v>
      </c>
      <c r="J33" s="45" t="n">
        <v>1913</v>
      </c>
      <c r="K33" s="45" t="n">
        <v>2037</v>
      </c>
      <c r="L33" s="45" t="n">
        <v>2223</v>
      </c>
      <c r="M33" s="44" t="n">
        <v>2234</v>
      </c>
      <c r="N33" s="44" t="n">
        <v>2541</v>
      </c>
      <c r="O33" s="23" t="n">
        <v>2966</v>
      </c>
      <c r="P33" s="23" t="n">
        <v>3336</v>
      </c>
      <c r="Q33" s="23" t="n">
        <v>3683</v>
      </c>
      <c r="R33" s="23" t="n">
        <v>4245</v>
      </c>
      <c r="S33" s="23" t="n">
        <v>4884</v>
      </c>
      <c r="T33" s="23" t="n">
        <v>6055</v>
      </c>
    </row>
    <row r="34" customFormat="false" ht="14.25" hidden="false" customHeight="true" outlineLevel="0" collapsed="false">
      <c r="A34" s="39" t="s">
        <v>149</v>
      </c>
      <c r="B34" s="47" t="n">
        <v>11898</v>
      </c>
      <c r="C34" s="47" t="n">
        <v>12022</v>
      </c>
      <c r="D34" s="47" t="n">
        <v>17503</v>
      </c>
      <c r="E34" s="47" t="n">
        <v>16834</v>
      </c>
      <c r="F34" s="47" t="n">
        <v>17575</v>
      </c>
      <c r="G34" s="47" t="n">
        <v>18892</v>
      </c>
      <c r="H34" s="47" t="n">
        <v>19625</v>
      </c>
      <c r="I34" s="47" t="n">
        <v>19139</v>
      </c>
      <c r="J34" s="48" t="n">
        <v>19081</v>
      </c>
      <c r="K34" s="48" t="n">
        <v>19940</v>
      </c>
      <c r="L34" s="48" t="n">
        <v>22054</v>
      </c>
      <c r="M34" s="47" t="n">
        <v>20883</v>
      </c>
      <c r="N34" s="47" t="n">
        <v>22750</v>
      </c>
      <c r="O34" s="49" t="n">
        <v>27930</v>
      </c>
      <c r="P34" s="49" t="n">
        <v>27070</v>
      </c>
      <c r="Q34" s="49" t="n">
        <v>30114</v>
      </c>
      <c r="R34" s="49" t="n">
        <v>32274</v>
      </c>
      <c r="S34" s="49" t="n">
        <v>41411</v>
      </c>
      <c r="T34" s="49" t="n">
        <v>40609</v>
      </c>
    </row>
    <row r="35" customFormat="false" ht="14.25" hidden="false" customHeight="true" outlineLevel="0" collapsed="false">
      <c r="B35" s="23"/>
      <c r="C35" s="23"/>
      <c r="D35" s="23"/>
      <c r="E35" s="23"/>
      <c r="F35" s="23"/>
      <c r="G35" s="23"/>
      <c r="H35" s="23"/>
      <c r="I35" s="23"/>
      <c r="J35" s="23"/>
      <c r="K35" s="23"/>
      <c r="L35" s="23"/>
      <c r="M35" s="23"/>
      <c r="N35" s="23"/>
      <c r="O35" s="23"/>
      <c r="P35" s="23"/>
      <c r="Q35" s="23"/>
      <c r="R35" s="23"/>
      <c r="S35" s="23"/>
      <c r="T35" s="23"/>
    </row>
    <row r="36" customFormat="false" ht="14.25" hidden="false" customHeight="true" outlineLevel="0" collapsed="false">
      <c r="A36" s="1" t="s">
        <v>150</v>
      </c>
      <c r="B36" s="44"/>
      <c r="C36" s="46"/>
      <c r="D36" s="23"/>
      <c r="E36" s="46"/>
      <c r="F36" s="46"/>
      <c r="G36" s="46"/>
      <c r="H36" s="46"/>
      <c r="I36" s="46"/>
      <c r="J36" s="50"/>
      <c r="K36" s="50"/>
      <c r="L36" s="50"/>
      <c r="M36" s="44"/>
      <c r="N36" s="50"/>
      <c r="O36" s="23"/>
      <c r="P36" s="23"/>
      <c r="Q36" s="23"/>
      <c r="R36" s="23"/>
      <c r="S36" s="23"/>
      <c r="T36" s="23"/>
    </row>
    <row r="37" customFormat="false" ht="14.25" hidden="false" customHeight="true" outlineLevel="0" collapsed="false">
      <c r="A37" s="1" t="s">
        <v>151</v>
      </c>
      <c r="B37" s="23"/>
      <c r="C37" s="46"/>
      <c r="D37" s="23"/>
      <c r="E37" s="46"/>
      <c r="F37" s="46"/>
      <c r="G37" s="46"/>
      <c r="H37" s="46"/>
      <c r="I37" s="46"/>
      <c r="J37" s="50"/>
      <c r="K37" s="50"/>
      <c r="L37" s="50"/>
      <c r="M37" s="44"/>
      <c r="N37" s="50"/>
      <c r="O37" s="23"/>
      <c r="P37" s="23"/>
      <c r="Q37" s="23"/>
      <c r="R37" s="23"/>
      <c r="S37" s="23"/>
      <c r="T37" s="23"/>
    </row>
    <row r="38" customFormat="false" ht="14.25" hidden="false" customHeight="true" outlineLevel="0" collapsed="false">
      <c r="A38" s="1" t="s">
        <v>152</v>
      </c>
      <c r="B38" s="45" t="s">
        <v>92</v>
      </c>
      <c r="C38" s="45" t="s">
        <v>92</v>
      </c>
      <c r="D38" s="45" t="s">
        <v>92</v>
      </c>
      <c r="E38" s="45" t="s">
        <v>92</v>
      </c>
      <c r="F38" s="45" t="s">
        <v>92</v>
      </c>
      <c r="G38" s="45" t="s">
        <v>92</v>
      </c>
      <c r="H38" s="45" t="s">
        <v>92</v>
      </c>
      <c r="I38" s="45" t="s">
        <v>92</v>
      </c>
      <c r="J38" s="45" t="s">
        <v>92</v>
      </c>
      <c r="K38" s="45" t="s">
        <v>92</v>
      </c>
      <c r="L38" s="45" t="s">
        <v>92</v>
      </c>
      <c r="M38" s="45" t="s">
        <v>92</v>
      </c>
      <c r="N38" s="45" t="s">
        <v>92</v>
      </c>
      <c r="O38" s="45" t="s">
        <v>92</v>
      </c>
      <c r="P38" s="45" t="s">
        <v>92</v>
      </c>
      <c r="Q38" s="45" t="s">
        <v>92</v>
      </c>
      <c r="R38" s="45" t="s">
        <v>92</v>
      </c>
      <c r="S38" s="45" t="s">
        <v>92</v>
      </c>
      <c r="T38" s="45" t="s">
        <v>92</v>
      </c>
    </row>
    <row r="39" customFormat="false" ht="14.25" hidden="false" customHeight="true" outlineLevel="0" collapsed="false">
      <c r="A39" s="1" t="s">
        <v>153</v>
      </c>
      <c r="B39" s="44" t="n">
        <v>3</v>
      </c>
      <c r="C39" s="44" t="n">
        <v>1</v>
      </c>
      <c r="D39" s="44" t="n">
        <v>3</v>
      </c>
      <c r="E39" s="44" t="n">
        <v>3</v>
      </c>
      <c r="F39" s="44" t="n">
        <v>3</v>
      </c>
      <c r="G39" s="44" t="n">
        <v>3</v>
      </c>
      <c r="H39" s="44" t="n">
        <v>2</v>
      </c>
      <c r="I39" s="44" t="n">
        <v>2</v>
      </c>
      <c r="J39" s="45" t="s">
        <v>154</v>
      </c>
      <c r="K39" s="45" t="n">
        <v>2</v>
      </c>
      <c r="L39" s="45" t="s">
        <v>154</v>
      </c>
      <c r="M39" s="44" t="n">
        <v>2</v>
      </c>
      <c r="N39" s="44" t="n">
        <v>2</v>
      </c>
      <c r="O39" s="23"/>
      <c r="P39" s="23"/>
      <c r="Q39" s="23"/>
      <c r="R39" s="23"/>
      <c r="S39" s="23"/>
      <c r="T39" s="23"/>
    </row>
    <row r="40" customFormat="false" ht="14.25" hidden="false" customHeight="true" outlineLevel="0" collapsed="false">
      <c r="A40" s="1" t="s">
        <v>155</v>
      </c>
      <c r="B40" s="44" t="n">
        <v>8719</v>
      </c>
      <c r="C40" s="44" t="n">
        <v>9280</v>
      </c>
      <c r="D40" s="44" t="n">
        <v>9745</v>
      </c>
      <c r="E40" s="44" t="n">
        <v>10465</v>
      </c>
      <c r="F40" s="44" t="n">
        <v>10385</v>
      </c>
      <c r="G40" s="44" t="n">
        <v>10623</v>
      </c>
      <c r="H40" s="44" t="n">
        <v>10968</v>
      </c>
      <c r="I40" s="44" t="n">
        <v>11565</v>
      </c>
      <c r="J40" s="45" t="n">
        <v>11971</v>
      </c>
      <c r="K40" s="45" t="n">
        <v>12453</v>
      </c>
      <c r="L40" s="45" t="n">
        <v>12629</v>
      </c>
      <c r="M40" s="44" t="n">
        <v>12991</v>
      </c>
      <c r="N40" s="44" t="n">
        <v>13132</v>
      </c>
      <c r="O40" s="23"/>
      <c r="P40" s="23"/>
      <c r="Q40" s="23"/>
      <c r="R40" s="23"/>
      <c r="S40" s="23"/>
      <c r="T40" s="23"/>
    </row>
    <row r="41" customFormat="false" ht="14.25" hidden="false" customHeight="true" outlineLevel="0" collapsed="false">
      <c r="A41" s="1" t="s">
        <v>156</v>
      </c>
      <c r="B41" s="44" t="n">
        <v>19</v>
      </c>
      <c r="C41" s="44" t="n">
        <v>14</v>
      </c>
      <c r="D41" s="44" t="n">
        <v>8</v>
      </c>
      <c r="E41" s="44" t="n">
        <v>9</v>
      </c>
      <c r="F41" s="44" t="n">
        <v>-11</v>
      </c>
      <c r="G41" s="44" t="n">
        <v>-64</v>
      </c>
      <c r="H41" s="44" t="n">
        <v>-90</v>
      </c>
      <c r="I41" s="44" t="n">
        <v>-123</v>
      </c>
      <c r="J41" s="45" t="n">
        <v>-43</v>
      </c>
      <c r="K41" s="45" t="n">
        <v>-50</v>
      </c>
      <c r="L41" s="45" t="n">
        <v>-51</v>
      </c>
      <c r="M41" s="44" t="n">
        <v>-88</v>
      </c>
      <c r="N41" s="44" t="n">
        <v>27</v>
      </c>
      <c r="O41" s="23"/>
      <c r="P41" s="23"/>
      <c r="Q41" s="23"/>
      <c r="R41" s="23"/>
      <c r="S41" s="23"/>
      <c r="T41" s="23"/>
    </row>
    <row r="42" customFormat="false" ht="14.25" hidden="false" customHeight="true" outlineLevel="0" collapsed="false">
      <c r="A42" s="1" t="s">
        <v>157</v>
      </c>
      <c r="B42" s="44" t="n">
        <v>18908</v>
      </c>
      <c r="C42" s="44" t="n">
        <v>20721</v>
      </c>
      <c r="D42" s="44" t="n">
        <v>22995</v>
      </c>
      <c r="E42" s="44" t="n">
        <v>25359</v>
      </c>
      <c r="F42" s="44" t="n">
        <v>16235</v>
      </c>
      <c r="G42" s="44" t="n">
        <v>15758</v>
      </c>
      <c r="H42" s="44" t="n">
        <v>12971</v>
      </c>
      <c r="I42" s="44" t="n">
        <v>9905</v>
      </c>
      <c r="J42" s="45" t="n">
        <v>10171</v>
      </c>
      <c r="K42" s="45" t="n">
        <v>12115</v>
      </c>
      <c r="L42" s="45" t="n">
        <v>14921</v>
      </c>
      <c r="M42" s="44" t="n">
        <v>20360</v>
      </c>
      <c r="N42" s="44" t="n">
        <v>29817</v>
      </c>
      <c r="O42" s="23"/>
      <c r="P42" s="23"/>
      <c r="Q42" s="23"/>
      <c r="R42" s="23"/>
      <c r="S42" s="23"/>
      <c r="T42" s="23"/>
    </row>
    <row r="43" customFormat="false" ht="14.25" hidden="false" customHeight="true" outlineLevel="0" collapsed="false">
      <c r="A43" s="1" t="s">
        <v>158</v>
      </c>
      <c r="B43" s="44" t="n">
        <v>16893</v>
      </c>
      <c r="C43" s="44" t="n">
        <v>18774</v>
      </c>
      <c r="D43" s="44" t="n">
        <v>21147</v>
      </c>
      <c r="E43" s="44" t="n">
        <v>23798</v>
      </c>
      <c r="F43" s="44" t="n">
        <v>26612</v>
      </c>
      <c r="G43" s="44" t="n">
        <v>26320</v>
      </c>
      <c r="H43" s="44" t="n">
        <v>23851</v>
      </c>
      <c r="I43" s="44" t="n">
        <v>21349</v>
      </c>
      <c r="J43" s="45" t="n">
        <v>22101</v>
      </c>
      <c r="K43" s="45" t="n">
        <v>24520</v>
      </c>
      <c r="L43" s="45" t="n">
        <v>27501</v>
      </c>
      <c r="M43" s="44" t="n">
        <v>33265</v>
      </c>
      <c r="N43" s="44" t="n">
        <v>42978</v>
      </c>
      <c r="O43" s="23"/>
      <c r="P43" s="23"/>
      <c r="Q43" s="23"/>
      <c r="R43" s="23"/>
      <c r="S43" s="23"/>
      <c r="T43" s="23"/>
    </row>
    <row r="44" customFormat="false" ht="14.25" hidden="false" customHeight="true" outlineLevel="0" collapsed="false">
      <c r="A44" s="39" t="s">
        <v>159</v>
      </c>
      <c r="B44" s="47" t="n">
        <v>28791</v>
      </c>
      <c r="C44" s="47" t="n">
        <v>30796</v>
      </c>
      <c r="D44" s="47" t="n">
        <v>38650</v>
      </c>
      <c r="E44" s="47" t="n">
        <v>40632</v>
      </c>
      <c r="F44" s="47" t="n">
        <v>44187</v>
      </c>
      <c r="G44" s="47" t="n">
        <v>45212</v>
      </c>
      <c r="H44" s="47" t="n">
        <v>43476</v>
      </c>
      <c r="I44" s="47" t="n">
        <v>40488</v>
      </c>
      <c r="J44" s="48" t="n">
        <v>41182</v>
      </c>
      <c r="K44" s="48" t="n">
        <v>44460</v>
      </c>
      <c r="L44" s="48" t="n">
        <v>49555</v>
      </c>
      <c r="M44" s="47" t="n">
        <v>54148</v>
      </c>
      <c r="N44" s="47" t="n">
        <v>65728</v>
      </c>
      <c r="O44" s="49"/>
      <c r="P44" s="49"/>
      <c r="Q44" s="49"/>
      <c r="R44" s="49"/>
      <c r="S44" s="49"/>
      <c r="T44" s="4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
  <sheetViews>
    <sheetView showFormulas="false" showGridLines="false" showRowColHeaders="true" showZeros="true" rightToLeft="false" tabSelected="false" showOutlineSymbols="true" defaultGridColor="true" view="normal" topLeftCell="A1" colorId="64" zoomScale="53" zoomScaleNormal="53"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50.73"/>
    <col collapsed="false" customWidth="true" hidden="false" outlineLevel="0" max="19" min="2" style="1" width="11"/>
  </cols>
  <sheetData>
    <row r="1" customFormat="false" ht="4.5" hidden="false" customHeight="true" outlineLevel="0" collapsed="false">
      <c r="S1" s="51"/>
    </row>
    <row r="2" customFormat="false" ht="21.75" hidden="false" customHeight="true" outlineLevel="0" collapsed="false">
      <c r="A2" s="17" t="s">
        <v>32</v>
      </c>
      <c r="L2" s="19"/>
      <c r="M2" s="19"/>
      <c r="N2" s="19"/>
      <c r="O2" s="20"/>
      <c r="P2" s="20"/>
      <c r="Q2" s="20"/>
      <c r="R2" s="20"/>
      <c r="S2" s="20"/>
    </row>
    <row r="3" customFormat="false" ht="14.25" hidden="false" customHeight="true" outlineLevel="0" collapsed="false">
      <c r="A3" s="33" t="s">
        <v>77</v>
      </c>
      <c r="L3" s="19"/>
      <c r="M3" s="19"/>
      <c r="N3" s="19"/>
      <c r="O3" s="20"/>
      <c r="P3" s="20"/>
      <c r="Q3" s="20"/>
      <c r="R3" s="20"/>
      <c r="S3" s="20"/>
    </row>
    <row r="5" customFormat="false" ht="14.25" hidden="false" customHeight="true" outlineLevel="0" collapsed="false">
      <c r="A5" s="34"/>
      <c r="B5" s="35"/>
      <c r="C5" s="35"/>
      <c r="D5" s="35"/>
      <c r="E5" s="35"/>
      <c r="F5" s="35"/>
      <c r="H5" s="35"/>
      <c r="I5" s="35"/>
      <c r="J5" s="35"/>
    </row>
    <row r="6" customFormat="false" ht="14.25" hidden="false" customHeight="true" outlineLevel="0" collapsed="false">
      <c r="A6" s="1" t="s">
        <v>78</v>
      </c>
      <c r="B6" s="25" t="s">
        <v>49</v>
      </c>
      <c r="C6" s="25" t="s">
        <v>50</v>
      </c>
      <c r="D6" s="25" t="s">
        <v>51</v>
      </c>
      <c r="E6" s="25" t="s">
        <v>52</v>
      </c>
      <c r="F6" s="36" t="s">
        <v>53</v>
      </c>
      <c r="G6" s="36" t="s">
        <v>54</v>
      </c>
      <c r="H6" s="25" t="s">
        <v>55</v>
      </c>
      <c r="I6" s="25" t="s">
        <v>56</v>
      </c>
      <c r="J6" s="36" t="s">
        <v>57</v>
      </c>
      <c r="K6" s="36" t="s">
        <v>58</v>
      </c>
      <c r="L6" s="36" t="s">
        <v>59</v>
      </c>
      <c r="M6" s="36" t="s">
        <v>60</v>
      </c>
      <c r="N6" s="36" t="s">
        <v>61</v>
      </c>
      <c r="O6" s="36" t="s">
        <v>62</v>
      </c>
      <c r="P6" s="36" t="s">
        <v>63</v>
      </c>
      <c r="Q6" s="36" t="s">
        <v>64</v>
      </c>
      <c r="R6" s="36" t="s">
        <v>71</v>
      </c>
      <c r="S6" s="36" t="s">
        <v>72</v>
      </c>
    </row>
    <row r="7" customFormat="false" ht="14.25" hidden="false" customHeight="true" outlineLevel="0" collapsed="false">
      <c r="A7" s="37" t="s">
        <v>79</v>
      </c>
      <c r="B7" s="38" t="n">
        <v>44318</v>
      </c>
      <c r="C7" s="38" t="n">
        <v>44409</v>
      </c>
      <c r="D7" s="38" t="n">
        <v>44500</v>
      </c>
      <c r="E7" s="38" t="n">
        <v>44591</v>
      </c>
      <c r="F7" s="38" t="n">
        <v>44682</v>
      </c>
      <c r="G7" s="38" t="n">
        <v>44773</v>
      </c>
      <c r="H7" s="38" t="n">
        <v>44864</v>
      </c>
      <c r="I7" s="38" t="n">
        <v>44955</v>
      </c>
      <c r="J7" s="38" t="n">
        <v>45046</v>
      </c>
      <c r="K7" s="38" t="n">
        <v>45137</v>
      </c>
      <c r="L7" s="38" t="n">
        <v>45228</v>
      </c>
      <c r="M7" s="38" t="n">
        <v>45319</v>
      </c>
      <c r="N7" s="38" t="n">
        <v>45410</v>
      </c>
      <c r="O7" s="38" t="n">
        <v>45501</v>
      </c>
      <c r="P7" s="38" t="n">
        <v>45592</v>
      </c>
      <c r="Q7" s="38" t="n">
        <v>45683</v>
      </c>
      <c r="R7" s="38" t="n">
        <v>45774</v>
      </c>
      <c r="S7" s="38" t="n">
        <v>45865</v>
      </c>
    </row>
    <row r="9" customFormat="false" ht="14.25" hidden="false" customHeight="true" outlineLevel="0" collapsed="false">
      <c r="A9" s="1" t="s">
        <v>160</v>
      </c>
    </row>
    <row r="10" customFormat="false" ht="14.25" hidden="false" customHeight="true" outlineLevel="0" collapsed="false">
      <c r="A10" s="1" t="s">
        <v>116</v>
      </c>
      <c r="B10" s="23" t="n">
        <v>1912</v>
      </c>
      <c r="C10" s="23" t="n">
        <v>4285</v>
      </c>
      <c r="D10" s="23" t="n">
        <v>6749</v>
      </c>
      <c r="E10" s="23" t="n">
        <v>9752</v>
      </c>
      <c r="F10" s="23" t="n">
        <v>1618</v>
      </c>
      <c r="G10" s="23" t="n">
        <v>2274</v>
      </c>
      <c r="H10" s="23" t="n">
        <v>2954</v>
      </c>
      <c r="I10" s="23" t="n">
        <v>4368</v>
      </c>
      <c r="J10" s="23" t="n">
        <v>2043</v>
      </c>
      <c r="K10" s="23" t="n">
        <v>8232</v>
      </c>
      <c r="L10" s="23" t="n">
        <v>17475</v>
      </c>
      <c r="M10" s="23" t="n">
        <v>29760</v>
      </c>
      <c r="N10" s="23" t="n">
        <v>14881</v>
      </c>
      <c r="O10" s="23" t="n">
        <v>31480</v>
      </c>
      <c r="P10" s="23" t="n">
        <v>50789</v>
      </c>
      <c r="Q10" s="23" t="n">
        <v>72880</v>
      </c>
      <c r="R10" s="23" t="n">
        <v>18775</v>
      </c>
      <c r="S10" s="23" t="n">
        <v>45197</v>
      </c>
    </row>
    <row r="11" customFormat="false" ht="28.5" hidden="false" customHeight="true" outlineLevel="0" collapsed="false">
      <c r="A11" s="15" t="s">
        <v>161</v>
      </c>
      <c r="B11" s="23"/>
      <c r="C11" s="23"/>
      <c r="D11" s="23"/>
      <c r="E11" s="23"/>
      <c r="F11" s="23"/>
      <c r="G11" s="23"/>
      <c r="H11" s="23"/>
      <c r="I11" s="23"/>
      <c r="J11" s="23"/>
      <c r="K11" s="23"/>
      <c r="L11" s="23"/>
      <c r="M11" s="23"/>
      <c r="N11" s="23"/>
      <c r="O11" s="23"/>
      <c r="P11" s="23"/>
      <c r="Q11" s="23"/>
      <c r="R11" s="23"/>
      <c r="S11" s="23"/>
    </row>
    <row r="12" customFormat="false" ht="14.25" hidden="false" customHeight="true" outlineLevel="0" collapsed="false">
      <c r="A12" s="1" t="s">
        <v>91</v>
      </c>
      <c r="B12" s="52" t="s">
        <v>92</v>
      </c>
      <c r="C12" s="52" t="s">
        <v>92</v>
      </c>
      <c r="D12" s="52" t="s">
        <v>92</v>
      </c>
      <c r="E12" s="52" t="s">
        <v>92</v>
      </c>
      <c r="F12" s="23" t="n">
        <v>1353</v>
      </c>
      <c r="G12" s="23" t="n">
        <v>1353</v>
      </c>
      <c r="H12" s="23" t="n">
        <v>1353</v>
      </c>
      <c r="I12" s="23" t="n">
        <v>1353</v>
      </c>
      <c r="J12" s="52" t="s">
        <v>92</v>
      </c>
      <c r="K12" s="52" t="s">
        <v>92</v>
      </c>
      <c r="L12" s="52" t="s">
        <v>92</v>
      </c>
      <c r="M12" s="52" t="s">
        <v>92</v>
      </c>
      <c r="N12" s="52" t="s">
        <v>92</v>
      </c>
      <c r="O12" s="52" t="s">
        <v>92</v>
      </c>
      <c r="P12" s="52" t="s">
        <v>92</v>
      </c>
      <c r="Q12" s="52" t="s">
        <v>92</v>
      </c>
      <c r="R12" s="52" t="s">
        <v>92</v>
      </c>
      <c r="S12" s="52" t="s">
        <v>92</v>
      </c>
    </row>
    <row r="13" customFormat="false" ht="14.25" hidden="false" customHeight="true" outlineLevel="0" collapsed="false">
      <c r="A13" s="1" t="s">
        <v>162</v>
      </c>
      <c r="B13" s="23" t="n">
        <v>429</v>
      </c>
      <c r="C13" s="23" t="n">
        <v>894</v>
      </c>
      <c r="D13" s="23" t="n">
        <v>1453</v>
      </c>
      <c r="E13" s="23" t="n">
        <v>2004</v>
      </c>
      <c r="F13" s="23" t="n">
        <v>578</v>
      </c>
      <c r="G13" s="23" t="n">
        <v>1226</v>
      </c>
      <c r="H13" s="23" t="n">
        <v>1971</v>
      </c>
      <c r="I13" s="23" t="n">
        <v>2709</v>
      </c>
      <c r="J13" s="23" t="n">
        <v>735</v>
      </c>
      <c r="K13" s="23" t="n">
        <v>1576</v>
      </c>
      <c r="L13" s="23" t="n">
        <v>2555</v>
      </c>
      <c r="M13" s="23" t="n">
        <v>3549</v>
      </c>
      <c r="N13" s="23" t="n">
        <v>1011</v>
      </c>
      <c r="O13" s="23" t="n">
        <v>2164</v>
      </c>
      <c r="P13" s="23" t="n">
        <v>3416</v>
      </c>
      <c r="Q13" s="23" t="n">
        <v>4737</v>
      </c>
      <c r="R13" s="23" t="n">
        <v>1474</v>
      </c>
      <c r="S13" s="23" t="n">
        <v>3099</v>
      </c>
    </row>
    <row r="14" customFormat="false" ht="14.25" hidden="false" customHeight="true" outlineLevel="0" collapsed="false">
      <c r="A14" s="1" t="s">
        <v>163</v>
      </c>
      <c r="B14" s="23" t="n">
        <v>281</v>
      </c>
      <c r="C14" s="23" t="n">
        <v>567</v>
      </c>
      <c r="D14" s="23" t="n">
        <v>865</v>
      </c>
      <c r="E14" s="23" t="n">
        <v>1174</v>
      </c>
      <c r="F14" s="23" t="n">
        <v>334</v>
      </c>
      <c r="G14" s="23" t="n">
        <v>712</v>
      </c>
      <c r="H14" s="23" t="n">
        <v>1118</v>
      </c>
      <c r="I14" s="23" t="n">
        <v>1544</v>
      </c>
      <c r="J14" s="23" t="n">
        <v>384</v>
      </c>
      <c r="K14" s="23" t="n">
        <v>749</v>
      </c>
      <c r="L14" s="23" t="n">
        <v>1121</v>
      </c>
      <c r="M14" s="23" t="n">
        <v>1508</v>
      </c>
      <c r="N14" s="23" t="n">
        <v>410</v>
      </c>
      <c r="O14" s="23" t="n">
        <v>843</v>
      </c>
      <c r="P14" s="23" t="n">
        <v>1321</v>
      </c>
      <c r="Q14" s="23" t="n">
        <v>1864</v>
      </c>
      <c r="R14" s="23" t="n">
        <v>611</v>
      </c>
      <c r="S14" s="23" t="n">
        <v>1280</v>
      </c>
    </row>
    <row r="15" customFormat="false" ht="14.25" hidden="false" customHeight="true" outlineLevel="0" collapsed="false">
      <c r="A15" s="1" t="s">
        <v>164</v>
      </c>
      <c r="B15" s="23" t="n">
        <v>24</v>
      </c>
      <c r="C15" s="23" t="n">
        <v>-161</v>
      </c>
      <c r="D15" s="23" t="n">
        <v>-182</v>
      </c>
      <c r="E15" s="23" t="n">
        <v>-406</v>
      </c>
      <c r="F15" s="23" t="n">
        <v>-542</v>
      </c>
      <c r="G15" s="23" t="n">
        <v>-985</v>
      </c>
      <c r="H15" s="23" t="n">
        <v>-1517</v>
      </c>
      <c r="I15" s="23" t="n">
        <v>-2164</v>
      </c>
      <c r="J15" s="23" t="n">
        <v>-1135</v>
      </c>
      <c r="K15" s="23" t="n">
        <v>-1881</v>
      </c>
      <c r="L15" s="23" t="n">
        <v>-2411</v>
      </c>
      <c r="M15" s="23" t="n">
        <v>-2489</v>
      </c>
      <c r="N15" s="23" t="n">
        <v>-1577</v>
      </c>
      <c r="O15" s="23" t="n">
        <v>-3276</v>
      </c>
      <c r="P15" s="23" t="n">
        <v>-3879</v>
      </c>
      <c r="Q15" s="23" t="n">
        <v>-4477</v>
      </c>
      <c r="R15" s="23" t="n">
        <v>-2177</v>
      </c>
      <c r="S15" s="23" t="n">
        <v>-2160</v>
      </c>
    </row>
    <row r="16" customFormat="false" ht="14.25" hidden="false" customHeight="true" outlineLevel="0" collapsed="false">
      <c r="A16" s="1" t="s">
        <v>165</v>
      </c>
      <c r="B16" s="23" t="n">
        <v>-133</v>
      </c>
      <c r="C16" s="23" t="n">
        <v>-133</v>
      </c>
      <c r="D16" s="23" t="n">
        <v>-152</v>
      </c>
      <c r="E16" s="23" t="n">
        <v>-100</v>
      </c>
      <c r="F16" s="23" t="n">
        <v>17</v>
      </c>
      <c r="G16" s="23" t="n">
        <v>24</v>
      </c>
      <c r="H16" s="23" t="n">
        <v>35</v>
      </c>
      <c r="I16" s="23" t="n">
        <v>45</v>
      </c>
      <c r="J16" s="23" t="n">
        <v>14</v>
      </c>
      <c r="K16" s="23" t="n">
        <v>-45</v>
      </c>
      <c r="L16" s="23" t="n">
        <v>24</v>
      </c>
      <c r="M16" s="23" t="n">
        <v>-238</v>
      </c>
      <c r="N16" s="23" t="n">
        <v>-69</v>
      </c>
      <c r="O16" s="23" t="n">
        <v>-264</v>
      </c>
      <c r="P16" s="23" t="n">
        <v>-302</v>
      </c>
      <c r="Q16" s="23" t="n">
        <v>-1030</v>
      </c>
      <c r="R16" s="23" t="n">
        <v>175</v>
      </c>
      <c r="S16" s="23" t="n">
        <v>-2073</v>
      </c>
    </row>
    <row r="17" customFormat="false" ht="14.25" hidden="false" customHeight="true" outlineLevel="0" collapsed="false">
      <c r="A17" s="1" t="s">
        <v>166</v>
      </c>
      <c r="B17" s="23" t="n">
        <v>-3</v>
      </c>
      <c r="C17" s="23" t="n">
        <v>16</v>
      </c>
      <c r="D17" s="23" t="n">
        <v>25</v>
      </c>
      <c r="E17" s="23" t="n">
        <v>47</v>
      </c>
      <c r="F17" s="23" t="n">
        <v>23</v>
      </c>
      <c r="G17" s="23" t="n">
        <v>18</v>
      </c>
      <c r="H17" s="23" t="n">
        <v>-27</v>
      </c>
      <c r="I17" s="23" t="n">
        <v>-7</v>
      </c>
      <c r="J17" s="23" t="n">
        <v>-34</v>
      </c>
      <c r="K17" s="23" t="n">
        <v>-102</v>
      </c>
      <c r="L17" s="23" t="n">
        <v>-170</v>
      </c>
      <c r="M17" s="23" t="n">
        <v>-278</v>
      </c>
      <c r="N17" s="23" t="n">
        <v>-145</v>
      </c>
      <c r="O17" s="23" t="n">
        <v>-288</v>
      </c>
      <c r="P17" s="23" t="n">
        <v>-365</v>
      </c>
      <c r="Q17" s="23" t="n">
        <v>-502</v>
      </c>
      <c r="R17" s="23" t="n">
        <v>-98</v>
      </c>
      <c r="S17" s="23" t="n">
        <v>-196</v>
      </c>
    </row>
    <row r="18" customFormat="false" ht="27.75" hidden="false" customHeight="true" outlineLevel="0" collapsed="false">
      <c r="A18" s="15" t="s">
        <v>167</v>
      </c>
      <c r="B18" s="23"/>
      <c r="C18" s="23"/>
      <c r="D18" s="23"/>
      <c r="E18" s="23"/>
      <c r="F18" s="23"/>
      <c r="G18" s="23"/>
      <c r="H18" s="23"/>
      <c r="I18" s="23"/>
      <c r="J18" s="23"/>
      <c r="K18" s="23"/>
      <c r="L18" s="23"/>
      <c r="M18" s="23"/>
      <c r="N18" s="23"/>
      <c r="O18" s="23"/>
      <c r="P18" s="23"/>
      <c r="Q18" s="23"/>
      <c r="R18" s="23"/>
      <c r="S18" s="23"/>
    </row>
    <row r="19" customFormat="false" ht="14.25" hidden="false" customHeight="true" outlineLevel="0" collapsed="false">
      <c r="A19" s="1" t="s">
        <v>168</v>
      </c>
      <c r="B19" s="23" t="n">
        <v>-595</v>
      </c>
      <c r="C19" s="23" t="n">
        <v>-1157</v>
      </c>
      <c r="D19" s="23" t="n">
        <v>-1523</v>
      </c>
      <c r="E19" s="23" t="n">
        <v>-2215</v>
      </c>
      <c r="F19" s="23" t="n">
        <v>-788</v>
      </c>
      <c r="G19" s="23" t="n">
        <v>-668</v>
      </c>
      <c r="H19" s="23" t="n">
        <v>-258</v>
      </c>
      <c r="I19" s="23" t="n">
        <v>822</v>
      </c>
      <c r="J19" s="23" t="n">
        <v>-252</v>
      </c>
      <c r="K19" s="23" t="n">
        <v>-3239</v>
      </c>
      <c r="L19" s="23" t="n">
        <v>-4482</v>
      </c>
      <c r="M19" s="23" t="n">
        <v>-6172</v>
      </c>
      <c r="N19" s="23" t="n">
        <v>-2366</v>
      </c>
      <c r="O19" s="23" t="n">
        <v>-4133</v>
      </c>
      <c r="P19" s="23" t="n">
        <v>-7694</v>
      </c>
      <c r="Q19" s="23" t="n">
        <v>-13063</v>
      </c>
      <c r="R19" s="23" t="n">
        <v>933</v>
      </c>
      <c r="S19" s="23" t="n">
        <v>-4743</v>
      </c>
    </row>
    <row r="20" customFormat="false" ht="14.25" hidden="false" customHeight="true" outlineLevel="0" collapsed="false">
      <c r="A20" s="1" t="s">
        <v>128</v>
      </c>
      <c r="B20" s="23" t="n">
        <v>-159</v>
      </c>
      <c r="C20" s="23" t="n">
        <v>-282</v>
      </c>
      <c r="D20" s="23" t="n">
        <v>-400</v>
      </c>
      <c r="E20" s="23" t="n">
        <v>-774</v>
      </c>
      <c r="F20" s="23" t="n">
        <v>-560</v>
      </c>
      <c r="G20" s="23" t="n">
        <v>-1285</v>
      </c>
      <c r="H20" s="23" t="n">
        <v>-1848</v>
      </c>
      <c r="I20" s="23" t="n">
        <v>-2554</v>
      </c>
      <c r="J20" s="23" t="n">
        <v>566</v>
      </c>
      <c r="K20" s="23" t="n">
        <v>861</v>
      </c>
      <c r="L20" s="23" t="n">
        <v>405</v>
      </c>
      <c r="M20" s="23" t="n">
        <v>-98</v>
      </c>
      <c r="N20" s="23" t="n">
        <v>-577</v>
      </c>
      <c r="O20" s="23" t="n">
        <v>-1380</v>
      </c>
      <c r="P20" s="23" t="n">
        <v>-2357</v>
      </c>
      <c r="Q20" s="23" t="n">
        <v>-4781</v>
      </c>
      <c r="R20" s="23" t="n">
        <v>-1258</v>
      </c>
      <c r="S20" s="23" t="n">
        <v>-4880</v>
      </c>
    </row>
    <row r="21" customFormat="false" ht="14.25" hidden="false" customHeight="true" outlineLevel="0" collapsed="false">
      <c r="A21" s="1" t="s">
        <v>169</v>
      </c>
      <c r="B21" s="23" t="n">
        <v>2</v>
      </c>
      <c r="C21" s="23" t="n">
        <v>18</v>
      </c>
      <c r="D21" s="23" t="n">
        <v>-1557</v>
      </c>
      <c r="E21" s="23" t="n">
        <v>-1715</v>
      </c>
      <c r="F21" s="23" t="n">
        <v>-1261</v>
      </c>
      <c r="G21" s="23" t="n">
        <v>-1554</v>
      </c>
      <c r="H21" s="23" t="n">
        <v>-1307</v>
      </c>
      <c r="I21" s="23" t="n">
        <v>-1517</v>
      </c>
      <c r="J21" s="23" t="n">
        <v>-215</v>
      </c>
      <c r="K21" s="23" t="n">
        <v>-592</v>
      </c>
      <c r="L21" s="23" t="n">
        <v>-337</v>
      </c>
      <c r="M21" s="23" t="n">
        <v>-1522</v>
      </c>
      <c r="N21" s="23" t="n">
        <v>-726</v>
      </c>
      <c r="O21" s="23" t="n">
        <v>-12</v>
      </c>
      <c r="P21" s="23" t="n">
        <v>-726</v>
      </c>
      <c r="Q21" s="23" t="n">
        <v>-395</v>
      </c>
      <c r="R21" s="23" t="n">
        <v>560</v>
      </c>
      <c r="S21" s="23" t="n">
        <v>946</v>
      </c>
    </row>
    <row r="22" customFormat="false" ht="14.25" hidden="false" customHeight="true" outlineLevel="0" collapsed="false">
      <c r="A22" s="1" t="s">
        <v>141</v>
      </c>
      <c r="B22" s="23" t="n">
        <v>36</v>
      </c>
      <c r="C22" s="23" t="n">
        <v>245</v>
      </c>
      <c r="D22" s="23" t="n">
        <v>474</v>
      </c>
      <c r="E22" s="23" t="n">
        <v>568</v>
      </c>
      <c r="F22" s="23" t="n">
        <v>255</v>
      </c>
      <c r="G22" s="23" t="n">
        <v>559</v>
      </c>
      <c r="H22" s="23" t="n">
        <v>-358</v>
      </c>
      <c r="I22" s="23" t="n">
        <v>-551</v>
      </c>
      <c r="J22" s="23" t="n">
        <v>11</v>
      </c>
      <c r="K22" s="23" t="n">
        <v>789</v>
      </c>
      <c r="L22" s="23" t="n">
        <v>1250</v>
      </c>
      <c r="M22" s="23" t="n">
        <v>1531</v>
      </c>
      <c r="N22" s="23" t="n">
        <v>-22</v>
      </c>
      <c r="O22" s="23" t="n">
        <v>801</v>
      </c>
      <c r="P22" s="23" t="n">
        <v>2490</v>
      </c>
      <c r="Q22" s="23" t="n">
        <v>3357</v>
      </c>
      <c r="R22" s="23" t="n">
        <v>941</v>
      </c>
      <c r="S22" s="23" t="n">
        <v>2255</v>
      </c>
    </row>
    <row r="23" customFormat="false" ht="14.25" hidden="false" customHeight="true" outlineLevel="0" collapsed="false">
      <c r="A23" s="1" t="s">
        <v>142</v>
      </c>
      <c r="B23" s="23" t="n">
        <v>33</v>
      </c>
      <c r="C23" s="23" t="n">
        <v>166</v>
      </c>
      <c r="D23" s="23" t="n">
        <v>70</v>
      </c>
      <c r="E23" s="23" t="n">
        <v>581</v>
      </c>
      <c r="F23" s="23" t="n">
        <v>634</v>
      </c>
      <c r="G23" s="23" t="n">
        <v>1267</v>
      </c>
      <c r="H23" s="23" t="n">
        <v>1175</v>
      </c>
      <c r="I23" s="23" t="n">
        <v>1341</v>
      </c>
      <c r="J23" s="23" t="n">
        <v>689</v>
      </c>
      <c r="K23" s="23" t="n">
        <v>2675</v>
      </c>
      <c r="L23" s="23" t="n">
        <v>953</v>
      </c>
      <c r="M23" s="23" t="n">
        <v>2025</v>
      </c>
      <c r="N23" s="23" t="n">
        <v>4202</v>
      </c>
      <c r="O23" s="23" t="n">
        <v>3314</v>
      </c>
      <c r="P23" s="23" t="n">
        <v>3918</v>
      </c>
      <c r="Q23" s="23" t="n">
        <v>4278</v>
      </c>
      <c r="R23" s="23" t="n">
        <v>7128</v>
      </c>
      <c r="S23" s="23" t="n">
        <v>3075</v>
      </c>
    </row>
    <row r="24" customFormat="false" ht="14.25" hidden="false" customHeight="true" outlineLevel="0" collapsed="false">
      <c r="A24" s="1" t="s">
        <v>148</v>
      </c>
      <c r="B24" s="23" t="n">
        <v>47</v>
      </c>
      <c r="C24" s="23" t="n">
        <v>98</v>
      </c>
      <c r="D24" s="23" t="n">
        <v>253</v>
      </c>
      <c r="E24" s="23" t="n">
        <v>192</v>
      </c>
      <c r="F24" s="23" t="n">
        <v>70</v>
      </c>
      <c r="G24" s="23" t="n">
        <v>60</v>
      </c>
      <c r="H24" s="23" t="n">
        <v>102</v>
      </c>
      <c r="I24" s="23" t="n">
        <v>252</v>
      </c>
      <c r="J24" s="23" t="n">
        <v>105</v>
      </c>
      <c r="K24" s="23" t="n">
        <v>236</v>
      </c>
      <c r="L24" s="23" t="n">
        <v>208</v>
      </c>
      <c r="M24" s="23" t="n">
        <v>514</v>
      </c>
      <c r="N24" s="23" t="n">
        <v>323</v>
      </c>
      <c r="O24" s="23" t="n">
        <v>584</v>
      </c>
      <c r="P24" s="23" t="n">
        <v>349</v>
      </c>
      <c r="Q24" s="23" t="n">
        <v>1221</v>
      </c>
      <c r="R24" s="23" t="n">
        <v>350</v>
      </c>
      <c r="S24" s="23" t="n">
        <v>979</v>
      </c>
    </row>
    <row r="25" customFormat="false" ht="14.25" hidden="false" customHeight="true" outlineLevel="0" collapsed="false">
      <c r="A25" s="39" t="s">
        <v>170</v>
      </c>
      <c r="B25" s="49" t="n">
        <v>1874</v>
      </c>
      <c r="C25" s="49" t="n">
        <v>4556</v>
      </c>
      <c r="D25" s="49" t="n">
        <v>6075</v>
      </c>
      <c r="E25" s="49" t="n">
        <v>9108</v>
      </c>
      <c r="F25" s="49" t="n">
        <v>1731</v>
      </c>
      <c r="G25" s="49" t="n">
        <v>3001</v>
      </c>
      <c r="H25" s="49" t="n">
        <v>3393</v>
      </c>
      <c r="I25" s="49" t="n">
        <v>5641</v>
      </c>
      <c r="J25" s="49" t="n">
        <v>2911</v>
      </c>
      <c r="K25" s="49" t="n">
        <v>9259</v>
      </c>
      <c r="L25" s="49" t="n">
        <v>16591</v>
      </c>
      <c r="M25" s="49" t="n">
        <v>28090</v>
      </c>
      <c r="N25" s="49" t="n">
        <v>15345</v>
      </c>
      <c r="O25" s="49" t="n">
        <v>29833</v>
      </c>
      <c r="P25" s="49" t="n">
        <v>47460</v>
      </c>
      <c r="Q25" s="49" t="n">
        <v>64089</v>
      </c>
      <c r="R25" s="49" t="n">
        <v>27414</v>
      </c>
      <c r="S25" s="49" t="n">
        <v>42779</v>
      </c>
    </row>
    <row r="27" customFormat="false" ht="14.25" hidden="false" customHeight="true" outlineLevel="0" collapsed="false">
      <c r="A27" s="1" t="s">
        <v>171</v>
      </c>
      <c r="B27" s="23"/>
      <c r="C27" s="23"/>
      <c r="D27" s="23"/>
      <c r="E27" s="23"/>
      <c r="F27" s="23"/>
      <c r="G27" s="23"/>
      <c r="H27" s="23"/>
      <c r="I27" s="23"/>
      <c r="J27" s="23"/>
      <c r="K27" s="23"/>
      <c r="L27" s="23"/>
      <c r="M27" s="23"/>
      <c r="N27" s="23"/>
      <c r="O27" s="23"/>
      <c r="P27" s="23"/>
      <c r="Q27" s="23"/>
      <c r="R27" s="23"/>
      <c r="S27" s="23"/>
    </row>
    <row r="28" customFormat="false" ht="14.25" hidden="false" customHeight="true" outlineLevel="0" collapsed="false">
      <c r="A28" s="1" t="s">
        <v>172</v>
      </c>
      <c r="B28" s="23" t="n">
        <v>3140</v>
      </c>
      <c r="C28" s="23" t="n">
        <v>5236</v>
      </c>
      <c r="D28" s="23" t="n">
        <v>7780</v>
      </c>
      <c r="E28" s="23" t="n">
        <v>15197</v>
      </c>
      <c r="F28" s="23" t="n">
        <v>5947</v>
      </c>
      <c r="G28" s="23" t="n">
        <v>10983</v>
      </c>
      <c r="H28" s="23" t="n">
        <v>16792</v>
      </c>
      <c r="I28" s="23" t="n">
        <v>19425</v>
      </c>
      <c r="J28" s="23" t="n">
        <v>2512</v>
      </c>
      <c r="K28" s="23" t="n">
        <v>5111</v>
      </c>
      <c r="L28" s="23" t="n">
        <v>8001</v>
      </c>
      <c r="M28" s="23" t="n">
        <v>9732</v>
      </c>
      <c r="N28" s="23" t="n">
        <v>4004</v>
      </c>
      <c r="O28" s="23" t="n">
        <v>8098</v>
      </c>
      <c r="P28" s="23" t="n">
        <v>9485</v>
      </c>
      <c r="Q28" s="23" t="n">
        <v>11195</v>
      </c>
      <c r="R28" s="23" t="n">
        <v>3122</v>
      </c>
      <c r="S28" s="23" t="n">
        <v>6252</v>
      </c>
    </row>
    <row r="29" customFormat="false" ht="14.25" hidden="false" customHeight="true" outlineLevel="0" collapsed="false">
      <c r="A29" s="1" t="s">
        <v>173</v>
      </c>
      <c r="B29" s="23" t="n">
        <v>358</v>
      </c>
      <c r="C29" s="23" t="n">
        <v>705</v>
      </c>
      <c r="D29" s="23" t="n">
        <v>916</v>
      </c>
      <c r="E29" s="23" t="n">
        <v>1023</v>
      </c>
      <c r="F29" s="23" t="n">
        <v>1029</v>
      </c>
      <c r="G29" s="23" t="n">
        <v>1731</v>
      </c>
      <c r="H29" s="23" t="n">
        <v>1806</v>
      </c>
      <c r="I29" s="23" t="n">
        <v>1806</v>
      </c>
      <c r="J29" s="52" t="s">
        <v>92</v>
      </c>
      <c r="K29" s="52" t="s">
        <v>92</v>
      </c>
      <c r="L29" s="52" t="s">
        <v>92</v>
      </c>
      <c r="M29" s="23" t="n">
        <v>50</v>
      </c>
      <c r="N29" s="23" t="n">
        <v>149</v>
      </c>
      <c r="O29" s="23" t="n">
        <v>164</v>
      </c>
      <c r="P29" s="23" t="n">
        <v>318</v>
      </c>
      <c r="Q29" s="23" t="n">
        <v>495</v>
      </c>
      <c r="R29" s="23" t="n">
        <v>467</v>
      </c>
      <c r="S29" s="23" t="n">
        <v>487</v>
      </c>
    </row>
    <row r="30" customFormat="false" ht="14.25" hidden="false" customHeight="true" outlineLevel="0" collapsed="false">
      <c r="A30" s="1" t="s">
        <v>174</v>
      </c>
      <c r="B30" s="23" t="n">
        <v>-4470</v>
      </c>
      <c r="C30" s="23" t="n">
        <v>-9268</v>
      </c>
      <c r="D30" s="23" t="n">
        <v>-16020</v>
      </c>
      <c r="E30" s="23" t="n">
        <v>-24787</v>
      </c>
      <c r="F30" s="23" t="n">
        <v>-3932</v>
      </c>
      <c r="G30" s="23" t="n">
        <v>-7576</v>
      </c>
      <c r="H30" s="23" t="n">
        <v>-9764</v>
      </c>
      <c r="I30" s="23" t="n">
        <v>-11897</v>
      </c>
      <c r="J30" s="23" t="n">
        <v>-2801</v>
      </c>
      <c r="K30" s="23" t="n">
        <v>-5343</v>
      </c>
      <c r="L30" s="23" t="n">
        <v>-10688</v>
      </c>
      <c r="M30" s="23" t="n">
        <v>-18211</v>
      </c>
      <c r="N30" s="23" t="n">
        <v>-9303</v>
      </c>
      <c r="O30" s="23" t="n">
        <v>-15047</v>
      </c>
      <c r="P30" s="23" t="n">
        <v>-19565</v>
      </c>
      <c r="Q30" s="23" t="n">
        <v>-26575</v>
      </c>
      <c r="R30" s="23" t="n">
        <v>-6546</v>
      </c>
      <c r="S30" s="23" t="n">
        <v>-14358</v>
      </c>
    </row>
    <row r="31" customFormat="false" ht="14.25" hidden="false" customHeight="true" outlineLevel="0" collapsed="false">
      <c r="A31" s="1" t="s">
        <v>175</v>
      </c>
      <c r="B31" s="23" t="n">
        <v>-298</v>
      </c>
      <c r="C31" s="23" t="n">
        <v>-481</v>
      </c>
      <c r="D31" s="23" t="n">
        <v>-703</v>
      </c>
      <c r="E31" s="23" t="n">
        <v>-976</v>
      </c>
      <c r="F31" s="23" t="n">
        <v>-361</v>
      </c>
      <c r="G31" s="23" t="n">
        <v>-794</v>
      </c>
      <c r="H31" s="23" t="n">
        <v>-1324</v>
      </c>
      <c r="I31" s="23" t="n">
        <v>-1833</v>
      </c>
      <c r="J31" s="23" t="n">
        <v>-248</v>
      </c>
      <c r="K31" s="23" t="n">
        <v>-537</v>
      </c>
      <c r="L31" s="23" t="n">
        <v>-815</v>
      </c>
      <c r="M31" s="23" t="n">
        <v>-1069</v>
      </c>
      <c r="N31" s="23" t="n">
        <v>-369</v>
      </c>
      <c r="O31" s="23" t="n">
        <v>-1346</v>
      </c>
      <c r="P31" s="23" t="n">
        <v>-2159</v>
      </c>
      <c r="Q31" s="23" t="n">
        <v>-3236</v>
      </c>
      <c r="R31" s="23" t="n">
        <v>-1227</v>
      </c>
      <c r="S31" s="23" t="n">
        <v>-3122</v>
      </c>
    </row>
    <row r="32" customFormat="false" ht="14.25" hidden="false" customHeight="true" outlineLevel="0" collapsed="false">
      <c r="A32" s="1" t="s">
        <v>176</v>
      </c>
      <c r="B32" s="23" t="n">
        <v>-2</v>
      </c>
      <c r="C32" s="23" t="n">
        <v>3</v>
      </c>
      <c r="D32" s="23" t="n">
        <v>-203</v>
      </c>
      <c r="E32" s="23" t="n">
        <v>-24</v>
      </c>
      <c r="F32" s="23" t="n">
        <v>-36</v>
      </c>
      <c r="G32" s="23" t="n">
        <v>-49</v>
      </c>
      <c r="H32" s="23" t="n">
        <v>-49</v>
      </c>
      <c r="I32" s="23" t="n">
        <v>-49</v>
      </c>
      <c r="J32" s="23" t="n">
        <v>-221</v>
      </c>
      <c r="K32" s="23" t="n">
        <v>-435</v>
      </c>
      <c r="L32" s="23" t="n">
        <v>-872</v>
      </c>
      <c r="M32" s="23" t="n">
        <v>-985</v>
      </c>
      <c r="N32" s="23" t="n">
        <v>-135</v>
      </c>
      <c r="O32" s="23" t="n">
        <v>-429</v>
      </c>
      <c r="P32" s="23" t="n">
        <v>-837</v>
      </c>
      <c r="Q32" s="23" t="n">
        <v>-456</v>
      </c>
      <c r="R32" s="23" t="n">
        <v>-649</v>
      </c>
      <c r="S32" s="23" t="n">
        <v>-995</v>
      </c>
    </row>
    <row r="33" customFormat="false" ht="14.25" hidden="false" customHeight="true" outlineLevel="0" collapsed="false">
      <c r="A33" s="1" t="s">
        <v>177</v>
      </c>
      <c r="B33" s="52" t="s">
        <v>92</v>
      </c>
      <c r="C33" s="52" t="s">
        <v>92</v>
      </c>
      <c r="D33" s="23" t="n">
        <v>-14</v>
      </c>
      <c r="E33" s="23" t="n">
        <v>-263</v>
      </c>
      <c r="F33" s="23" t="n">
        <v>-35</v>
      </c>
      <c r="G33" s="23" t="n">
        <v>-65</v>
      </c>
      <c r="H33" s="23" t="n">
        <v>-83</v>
      </c>
      <c r="I33" s="23" t="n">
        <v>-77</v>
      </c>
      <c r="J33" s="23" t="n">
        <v>-83</v>
      </c>
      <c r="K33" s="23" t="n">
        <v>-83</v>
      </c>
      <c r="L33" s="23" t="n">
        <v>-83</v>
      </c>
      <c r="M33" s="23" t="n">
        <v>-83</v>
      </c>
      <c r="N33" s="23" t="n">
        <v>-39</v>
      </c>
      <c r="O33" s="23" t="n">
        <v>-317</v>
      </c>
      <c r="P33" s="23" t="n">
        <v>-465</v>
      </c>
      <c r="Q33" s="23" t="n">
        <v>-1007</v>
      </c>
      <c r="R33" s="23" t="n">
        <v>-383</v>
      </c>
      <c r="S33" s="23" t="n">
        <v>-677</v>
      </c>
    </row>
    <row r="34" customFormat="false" ht="14.25" hidden="false" customHeight="true" outlineLevel="0" collapsed="false">
      <c r="A34" s="39" t="s">
        <v>178</v>
      </c>
      <c r="B34" s="49" t="n">
        <v>-1272</v>
      </c>
      <c r="C34" s="49" t="n">
        <v>-3805</v>
      </c>
      <c r="D34" s="49" t="n">
        <v>-8244</v>
      </c>
      <c r="E34" s="49" t="n">
        <v>-9830</v>
      </c>
      <c r="F34" s="49" t="n">
        <v>2612</v>
      </c>
      <c r="G34" s="49" t="n">
        <v>4230</v>
      </c>
      <c r="H34" s="49" t="n">
        <v>7378</v>
      </c>
      <c r="I34" s="49" t="n">
        <v>7375</v>
      </c>
      <c r="J34" s="49" t="n">
        <v>-841</v>
      </c>
      <c r="K34" s="49" t="n">
        <v>-1287</v>
      </c>
      <c r="L34" s="49" t="n">
        <v>-4457</v>
      </c>
      <c r="M34" s="49" t="n">
        <v>-10566</v>
      </c>
      <c r="N34" s="49" t="n">
        <v>-5693</v>
      </c>
      <c r="O34" s="49" t="n">
        <v>-8877</v>
      </c>
      <c r="P34" s="49" t="n">
        <v>-13223</v>
      </c>
      <c r="Q34" s="49" t="n">
        <v>-20421</v>
      </c>
      <c r="R34" s="49" t="n">
        <v>-5216</v>
      </c>
      <c r="S34" s="49" t="n">
        <v>-12343</v>
      </c>
    </row>
    <row r="36" customFormat="false" ht="14.25" hidden="false" customHeight="true" outlineLevel="0" collapsed="false">
      <c r="A36" s="1" t="s">
        <v>179</v>
      </c>
      <c r="B36" s="23"/>
      <c r="C36" s="23"/>
      <c r="D36" s="23"/>
      <c r="E36" s="23"/>
      <c r="F36" s="23"/>
      <c r="G36" s="23"/>
      <c r="H36" s="23"/>
      <c r="I36" s="23"/>
      <c r="J36" s="23"/>
      <c r="K36" s="23"/>
      <c r="L36" s="23"/>
      <c r="M36" s="23"/>
      <c r="N36" s="23"/>
      <c r="O36" s="23"/>
      <c r="P36" s="23"/>
      <c r="Q36" s="23"/>
      <c r="R36" s="23"/>
      <c r="S36" s="23"/>
    </row>
    <row r="37" customFormat="false" ht="14.25" hidden="false" customHeight="true" outlineLevel="0" collapsed="false">
      <c r="A37" s="1" t="s">
        <v>180</v>
      </c>
      <c r="B37" s="52" t="s">
        <v>92</v>
      </c>
      <c r="C37" s="23" t="n">
        <v>4985</v>
      </c>
      <c r="D37" s="23" t="n">
        <v>4977</v>
      </c>
      <c r="E37" s="23" t="n">
        <v>4977</v>
      </c>
      <c r="F37" s="52" t="s">
        <v>92</v>
      </c>
      <c r="G37" s="52" t="s">
        <v>92</v>
      </c>
      <c r="H37" s="52" t="s">
        <v>92</v>
      </c>
      <c r="I37" s="52" t="s">
        <v>92</v>
      </c>
      <c r="J37" s="52" t="s">
        <v>92</v>
      </c>
      <c r="K37" s="52" t="s">
        <v>92</v>
      </c>
      <c r="L37" s="52" t="s">
        <v>92</v>
      </c>
      <c r="M37" s="52" t="s">
        <v>92</v>
      </c>
      <c r="N37" s="52" t="s">
        <v>92</v>
      </c>
      <c r="O37" s="52" t="s">
        <v>92</v>
      </c>
      <c r="P37" s="52" t="s">
        <v>92</v>
      </c>
      <c r="Q37" s="52" t="s">
        <v>92</v>
      </c>
      <c r="R37" s="52" t="s">
        <v>92</v>
      </c>
      <c r="S37" s="52" t="s">
        <v>92</v>
      </c>
    </row>
    <row r="38" customFormat="false" ht="14.25" hidden="false" customHeight="true" outlineLevel="0" collapsed="false">
      <c r="A38" s="1" t="s">
        <v>181</v>
      </c>
      <c r="B38" s="23" t="n">
        <v>126</v>
      </c>
      <c r="C38" s="23" t="n">
        <v>128</v>
      </c>
      <c r="D38" s="23" t="n">
        <v>277</v>
      </c>
      <c r="E38" s="23" t="n">
        <v>281</v>
      </c>
      <c r="F38" s="23" t="n">
        <v>204</v>
      </c>
      <c r="G38" s="23" t="n">
        <v>205</v>
      </c>
      <c r="H38" s="23" t="n">
        <v>349</v>
      </c>
      <c r="I38" s="23" t="n">
        <v>355</v>
      </c>
      <c r="J38" s="23" t="n">
        <v>246</v>
      </c>
      <c r="K38" s="23" t="n">
        <v>247</v>
      </c>
      <c r="L38" s="23" t="n">
        <v>403</v>
      </c>
      <c r="M38" s="23" t="n">
        <v>403</v>
      </c>
      <c r="N38" s="23" t="n">
        <v>285</v>
      </c>
      <c r="O38" s="23" t="n">
        <v>285</v>
      </c>
      <c r="P38" s="23" t="n">
        <v>489</v>
      </c>
      <c r="Q38" s="23" t="n">
        <v>490</v>
      </c>
      <c r="R38" s="23" t="n">
        <v>370</v>
      </c>
      <c r="S38" s="23" t="n">
        <v>370</v>
      </c>
    </row>
    <row r="39" customFormat="false" ht="14.25" hidden="false" customHeight="true" outlineLevel="0" collapsed="false">
      <c r="A39" s="1" t="s">
        <v>182</v>
      </c>
      <c r="B39" s="52" t="s">
        <v>92</v>
      </c>
      <c r="C39" s="52" t="s">
        <v>92</v>
      </c>
      <c r="D39" s="52" t="s">
        <v>92</v>
      </c>
      <c r="E39" s="52" t="s">
        <v>92</v>
      </c>
      <c r="F39" s="23" t="n">
        <v>-1996</v>
      </c>
      <c r="G39" s="23" t="n">
        <v>-5341</v>
      </c>
      <c r="H39" s="23" t="n">
        <v>-8826</v>
      </c>
      <c r="I39" s="23" t="n">
        <v>-10039</v>
      </c>
      <c r="J39" s="52" t="s">
        <v>92</v>
      </c>
      <c r="K39" s="23" t="n">
        <v>-3067</v>
      </c>
      <c r="L39" s="23" t="n">
        <v>-6874</v>
      </c>
      <c r="M39" s="23" t="n">
        <v>-9533</v>
      </c>
      <c r="N39" s="23" t="n">
        <v>-7740</v>
      </c>
      <c r="O39" s="23" t="n">
        <v>-14898</v>
      </c>
      <c r="P39" s="23" t="n">
        <v>-25895</v>
      </c>
      <c r="Q39" s="23" t="n">
        <v>-33706</v>
      </c>
      <c r="R39" s="23" t="n">
        <v>-14095</v>
      </c>
      <c r="S39" s="23" t="n">
        <v>-23815</v>
      </c>
    </row>
    <row r="40" customFormat="false" ht="14.25" hidden="false" customHeight="true" outlineLevel="0" collapsed="false">
      <c r="A40" s="1" t="s">
        <v>183</v>
      </c>
      <c r="B40" s="23" t="n">
        <v>-477</v>
      </c>
      <c r="C40" s="23" t="n">
        <v>-843</v>
      </c>
      <c r="D40" s="23" t="n">
        <v>-1282</v>
      </c>
      <c r="E40" s="23" t="n">
        <v>-1904</v>
      </c>
      <c r="F40" s="23" t="n">
        <v>-532</v>
      </c>
      <c r="G40" s="23" t="n">
        <v>-837</v>
      </c>
      <c r="H40" s="23" t="n">
        <v>-1131</v>
      </c>
      <c r="I40" s="23" t="n">
        <v>-1475</v>
      </c>
      <c r="J40" s="23" t="n">
        <v>-507</v>
      </c>
      <c r="K40" s="23" t="n">
        <v>-1179</v>
      </c>
      <c r="L40" s="23" t="n">
        <v>-1942</v>
      </c>
      <c r="M40" s="23" t="n">
        <v>-2783</v>
      </c>
      <c r="N40" s="23" t="n">
        <v>-1752</v>
      </c>
      <c r="O40" s="23" t="n">
        <v>-3389</v>
      </c>
      <c r="P40" s="23" t="n">
        <v>-5068</v>
      </c>
      <c r="Q40" s="23" t="n">
        <v>-6930</v>
      </c>
      <c r="R40" s="23" t="n">
        <v>-1532</v>
      </c>
      <c r="S40" s="23" t="n">
        <v>-3380</v>
      </c>
    </row>
    <row r="41" customFormat="false" ht="14.25" hidden="false" customHeight="true" outlineLevel="0" collapsed="false">
      <c r="A41" s="1" t="s">
        <v>184</v>
      </c>
      <c r="B41" s="23" t="n">
        <v>-99</v>
      </c>
      <c r="C41" s="23" t="n">
        <v>-198</v>
      </c>
      <c r="D41" s="23" t="n">
        <v>-298</v>
      </c>
      <c r="E41" s="23" t="n">
        <v>-399</v>
      </c>
      <c r="F41" s="23" t="n">
        <v>-100</v>
      </c>
      <c r="G41" s="23" t="n">
        <v>-200</v>
      </c>
      <c r="H41" s="23" t="n">
        <v>-300</v>
      </c>
      <c r="I41" s="23" t="n">
        <v>-398</v>
      </c>
      <c r="J41" s="23" t="n">
        <v>-99</v>
      </c>
      <c r="K41" s="23" t="n">
        <v>-199</v>
      </c>
      <c r="L41" s="23" t="n">
        <v>-296</v>
      </c>
      <c r="M41" s="23" t="n">
        <v>-395</v>
      </c>
      <c r="N41" s="23" t="n">
        <v>-98</v>
      </c>
      <c r="O41" s="23" t="n">
        <v>-344</v>
      </c>
      <c r="P41" s="23" t="n">
        <v>-589</v>
      </c>
      <c r="Q41" s="23" t="n">
        <v>-834</v>
      </c>
      <c r="R41" s="23" t="n">
        <v>-244</v>
      </c>
      <c r="S41" s="23" t="n">
        <v>-488</v>
      </c>
    </row>
    <row r="42" customFormat="false" ht="14.25" hidden="false" customHeight="true" outlineLevel="0" collapsed="false">
      <c r="A42" s="1" t="s">
        <v>185</v>
      </c>
      <c r="B42" s="23" t="n">
        <v>-19</v>
      </c>
      <c r="C42" s="23" t="n">
        <v>-40</v>
      </c>
      <c r="D42" s="23" t="n">
        <v>-62</v>
      </c>
      <c r="E42" s="23"/>
      <c r="F42" s="23" t="n">
        <v>-22</v>
      </c>
      <c r="G42" s="23" t="n">
        <v>-36</v>
      </c>
      <c r="H42" s="23" t="n">
        <v>-54</v>
      </c>
      <c r="I42" s="23" t="n">
        <v>-58</v>
      </c>
      <c r="J42" s="23" t="n">
        <v>-20</v>
      </c>
      <c r="K42" s="23" t="n">
        <v>-31</v>
      </c>
      <c r="L42" s="23" t="n">
        <v>-44</v>
      </c>
      <c r="M42" s="23" t="n">
        <v>-74</v>
      </c>
      <c r="N42" s="23" t="n">
        <v>-40</v>
      </c>
      <c r="O42" s="23" t="n">
        <v>-69</v>
      </c>
      <c r="P42" s="23" t="n">
        <v>-97</v>
      </c>
      <c r="Q42" s="23" t="n">
        <v>-129</v>
      </c>
      <c r="R42" s="23" t="n">
        <v>-52</v>
      </c>
      <c r="S42" s="23" t="n">
        <v>-73</v>
      </c>
    </row>
    <row r="43" customFormat="false" ht="14.25" hidden="false" customHeight="true" outlineLevel="0" collapsed="false">
      <c r="A43" s="1" t="s">
        <v>186</v>
      </c>
      <c r="B43" s="52" t="s">
        <v>92</v>
      </c>
      <c r="C43" s="52" t="s">
        <v>92</v>
      </c>
      <c r="D43" s="23" t="n">
        <v>-1000</v>
      </c>
      <c r="E43" s="23" t="n">
        <v>-1000</v>
      </c>
      <c r="F43" s="52" t="s">
        <v>92</v>
      </c>
      <c r="G43" s="52" t="s">
        <v>92</v>
      </c>
      <c r="H43" s="52" t="s">
        <v>92</v>
      </c>
      <c r="I43" s="52" t="s">
        <v>92</v>
      </c>
      <c r="J43" s="52" t="s">
        <v>92</v>
      </c>
      <c r="K43" s="23" t="n">
        <v>-1250</v>
      </c>
      <c r="L43" s="23" t="n">
        <v>-1250</v>
      </c>
      <c r="M43" s="23" t="n">
        <v>-1250</v>
      </c>
      <c r="N43" s="52" t="s">
        <v>92</v>
      </c>
      <c r="O43" s="23" t="n">
        <v>-1250</v>
      </c>
      <c r="P43" s="52" t="s">
        <v>92</v>
      </c>
      <c r="Q43" s="23" t="n">
        <v>-1250</v>
      </c>
      <c r="R43" s="52" t="s">
        <v>92</v>
      </c>
      <c r="S43" s="52" t="s">
        <v>92</v>
      </c>
    </row>
    <row r="44" customFormat="false" ht="14.25" hidden="false" customHeight="true" outlineLevel="0" collapsed="false">
      <c r="A44" s="1" t="s">
        <v>166</v>
      </c>
      <c r="B44" s="23" t="n">
        <v>-2</v>
      </c>
      <c r="C44" s="23" t="n">
        <v>-2</v>
      </c>
      <c r="D44" s="23" t="n">
        <v>-2</v>
      </c>
      <c r="E44" s="23" t="n">
        <v>-7</v>
      </c>
      <c r="F44" s="52" t="s">
        <v>92</v>
      </c>
      <c r="G44" s="23" t="n">
        <v>1</v>
      </c>
      <c r="H44" s="23" t="n">
        <v>1</v>
      </c>
      <c r="I44" s="23" t="n">
        <v>-2</v>
      </c>
      <c r="J44" s="52" t="s">
        <v>92</v>
      </c>
      <c r="K44" s="52" t="s">
        <v>92</v>
      </c>
      <c r="L44" s="23" t="n">
        <v>-1</v>
      </c>
      <c r="M44" s="23" t="n">
        <v>-1</v>
      </c>
      <c r="N44" s="52" t="s">
        <v>92</v>
      </c>
      <c r="O44" s="52" t="s">
        <v>92</v>
      </c>
      <c r="P44" s="52" t="s">
        <v>92</v>
      </c>
      <c r="Q44" s="52" t="s">
        <v>92</v>
      </c>
      <c r="R44" s="52" t="s">
        <v>92</v>
      </c>
      <c r="S44" s="52" t="s">
        <v>92</v>
      </c>
    </row>
    <row r="45" customFormat="false" ht="14.25" hidden="false" customHeight="true" outlineLevel="0" collapsed="false">
      <c r="A45" s="39" t="s">
        <v>187</v>
      </c>
      <c r="B45" s="49" t="n">
        <v>-471</v>
      </c>
      <c r="C45" s="49" t="n">
        <v>4030</v>
      </c>
      <c r="D45" s="49" t="n">
        <v>2610</v>
      </c>
      <c r="E45" s="49" t="n">
        <v>1865</v>
      </c>
      <c r="F45" s="49" t="n">
        <v>-2446</v>
      </c>
      <c r="G45" s="49" t="n">
        <v>-6208</v>
      </c>
      <c r="H45" s="49" t="n">
        <v>-9961</v>
      </c>
      <c r="I45" s="49" t="n">
        <v>-11617</v>
      </c>
      <c r="J45" s="49" t="n">
        <v>-380</v>
      </c>
      <c r="K45" s="49" t="n">
        <v>-5479</v>
      </c>
      <c r="L45" s="49" t="n">
        <v>-10004</v>
      </c>
      <c r="M45" s="49" t="n">
        <v>-13633</v>
      </c>
      <c r="N45" s="49" t="n">
        <v>-9345</v>
      </c>
      <c r="O45" s="49" t="n">
        <v>-19665</v>
      </c>
      <c r="P45" s="49" t="n">
        <v>-32410</v>
      </c>
      <c r="Q45" s="49" t="n">
        <v>-42359</v>
      </c>
      <c r="R45" s="49" t="n">
        <v>-15553</v>
      </c>
      <c r="S45" s="49" t="n">
        <v>-27386</v>
      </c>
    </row>
    <row r="47" customFormat="false" ht="14.25" hidden="false" customHeight="true" outlineLevel="0" collapsed="false">
      <c r="A47" s="1" t="s">
        <v>188</v>
      </c>
      <c r="B47" s="23" t="n">
        <v>131</v>
      </c>
      <c r="C47" s="23" t="n">
        <v>4781</v>
      </c>
      <c r="D47" s="23" t="n">
        <v>441</v>
      </c>
      <c r="E47" s="23" t="n">
        <v>1143</v>
      </c>
      <c r="F47" s="23" t="n">
        <v>1897</v>
      </c>
      <c r="G47" s="23" t="n">
        <v>1023</v>
      </c>
      <c r="H47" s="23" t="n">
        <v>810</v>
      </c>
      <c r="I47" s="23" t="n">
        <v>1399</v>
      </c>
      <c r="J47" s="23" t="n">
        <v>1690</v>
      </c>
      <c r="K47" s="23" t="n">
        <v>2493</v>
      </c>
      <c r="L47" s="23" t="n">
        <v>2130</v>
      </c>
      <c r="M47" s="23" t="n">
        <v>3891</v>
      </c>
      <c r="N47" s="23" t="n">
        <v>307</v>
      </c>
      <c r="O47" s="23" t="n">
        <v>1291</v>
      </c>
      <c r="P47" s="23" t="n">
        <v>1827</v>
      </c>
      <c r="Q47" s="23" t="n">
        <v>1309</v>
      </c>
      <c r="R47" s="23" t="n">
        <v>6645</v>
      </c>
      <c r="S47" s="23" t="n">
        <v>3050</v>
      </c>
    </row>
    <row r="48" customFormat="false" ht="14.25" hidden="false" customHeight="true" outlineLevel="0" collapsed="false">
      <c r="A48" s="1" t="s">
        <v>189</v>
      </c>
      <c r="B48" s="23" t="n">
        <v>847</v>
      </c>
      <c r="C48" s="23" t="n">
        <v>847</v>
      </c>
      <c r="D48" s="23" t="n">
        <v>847</v>
      </c>
      <c r="E48" s="23" t="n">
        <v>847</v>
      </c>
      <c r="F48" s="23" t="n">
        <v>1990</v>
      </c>
      <c r="G48" s="23" t="n">
        <v>1990</v>
      </c>
      <c r="H48" s="23" t="n">
        <v>1990</v>
      </c>
      <c r="I48" s="23" t="n">
        <v>1990</v>
      </c>
      <c r="J48" s="23" t="n">
        <v>3389</v>
      </c>
      <c r="K48" s="23" t="n">
        <v>3389</v>
      </c>
      <c r="L48" s="23" t="n">
        <v>3389</v>
      </c>
      <c r="M48" s="23" t="n">
        <v>3389</v>
      </c>
      <c r="N48" s="23" t="n">
        <v>7280</v>
      </c>
      <c r="O48" s="23" t="n">
        <v>7280</v>
      </c>
      <c r="P48" s="23" t="n">
        <v>7280</v>
      </c>
      <c r="Q48" s="23" t="n">
        <v>7280</v>
      </c>
      <c r="R48" s="23" t="n">
        <v>8589</v>
      </c>
      <c r="S48" s="23" t="n">
        <v>8589</v>
      </c>
    </row>
    <row r="49" customFormat="false" ht="14.25" hidden="false" customHeight="true" outlineLevel="0" collapsed="false">
      <c r="A49" s="39" t="s">
        <v>190</v>
      </c>
      <c r="B49" s="49" t="n">
        <v>978</v>
      </c>
      <c r="C49" s="49" t="n">
        <v>5628</v>
      </c>
      <c r="D49" s="49" t="n">
        <v>1288</v>
      </c>
      <c r="E49" s="49" t="n">
        <v>1990</v>
      </c>
      <c r="F49" s="49" t="n">
        <v>3887</v>
      </c>
      <c r="G49" s="49" t="n">
        <v>3013</v>
      </c>
      <c r="H49" s="49" t="n">
        <v>2800</v>
      </c>
      <c r="I49" s="49" t="n">
        <v>3389</v>
      </c>
      <c r="J49" s="49" t="n">
        <v>5079</v>
      </c>
      <c r="K49" s="49" t="n">
        <v>5882</v>
      </c>
      <c r="L49" s="49" t="n">
        <v>5519</v>
      </c>
      <c r="M49" s="49" t="n">
        <v>7280</v>
      </c>
      <c r="N49" s="49" t="n">
        <v>7587</v>
      </c>
      <c r="O49" s="49" t="n">
        <v>8571</v>
      </c>
      <c r="P49" s="49" t="n">
        <v>9107</v>
      </c>
      <c r="Q49" s="49" t="n">
        <v>8589</v>
      </c>
      <c r="R49" s="49" t="n">
        <v>15234</v>
      </c>
      <c r="S49" s="49" t="n">
        <v>11639</v>
      </c>
    </row>
    <row r="50" customFormat="false" ht="14.25" hidden="false" customHeight="true" outlineLevel="0" collapsed="false">
      <c r="B50" s="23"/>
      <c r="C50" s="23"/>
      <c r="D50" s="23"/>
      <c r="E50" s="23"/>
      <c r="F50" s="23"/>
      <c r="G50" s="23"/>
      <c r="H50" s="23"/>
      <c r="I50" s="23"/>
      <c r="J50" s="23"/>
      <c r="K50" s="23"/>
      <c r="L50" s="23"/>
      <c r="M50" s="23"/>
      <c r="N50" s="23"/>
      <c r="O50" s="23"/>
      <c r="P50" s="23"/>
      <c r="Q50" s="23"/>
      <c r="R50" s="23"/>
      <c r="S50" s="23"/>
    </row>
    <row r="51" customFormat="false" ht="14.25" hidden="false" customHeight="true" outlineLevel="0" collapsed="false">
      <c r="A51" s="28" t="s">
        <v>191</v>
      </c>
      <c r="B51" s="23"/>
      <c r="C51" s="23"/>
      <c r="D51" s="23"/>
      <c r="E51" s="23"/>
      <c r="F51" s="23"/>
      <c r="G51" s="23"/>
      <c r="H51" s="23"/>
      <c r="I51" s="23"/>
      <c r="J51" s="23"/>
      <c r="K51" s="23"/>
      <c r="L51" s="23"/>
      <c r="M51" s="23"/>
      <c r="N51" s="23"/>
      <c r="O51" s="23"/>
      <c r="P51" s="23"/>
      <c r="Q51" s="23"/>
      <c r="R51" s="23"/>
      <c r="S51" s="23"/>
    </row>
    <row r="52" customFormat="false" ht="14.25" hidden="false" customHeight="true" outlineLevel="0" collapsed="false">
      <c r="A52" s="1" t="s">
        <v>192</v>
      </c>
      <c r="B52" s="52" t="s">
        <v>92</v>
      </c>
      <c r="C52" s="23" t="n">
        <v>241</v>
      </c>
      <c r="D52" s="23" t="n">
        <v>313</v>
      </c>
      <c r="E52" s="23" t="n">
        <v>396</v>
      </c>
      <c r="F52" s="52" t="s">
        <v>92</v>
      </c>
      <c r="G52" s="23" t="n">
        <v>1108</v>
      </c>
      <c r="H52" s="23" t="n">
        <v>1372</v>
      </c>
      <c r="I52" s="23" t="n">
        <v>1404</v>
      </c>
      <c r="J52" s="52" t="s">
        <v>92</v>
      </c>
      <c r="K52" s="23" t="n">
        <v>328</v>
      </c>
      <c r="L52" s="23" t="n">
        <v>4676</v>
      </c>
      <c r="M52" s="23" t="n">
        <v>6549</v>
      </c>
      <c r="N52" s="52" t="s">
        <v>92</v>
      </c>
      <c r="O52" s="23" t="n">
        <v>7449</v>
      </c>
      <c r="P52" s="23" t="n">
        <v>10989</v>
      </c>
      <c r="Q52" s="23" t="n">
        <v>15118</v>
      </c>
      <c r="R52" s="52" t="s">
        <v>92</v>
      </c>
      <c r="S52" s="23" t="n">
        <v>8451</v>
      </c>
    </row>
    <row r="53" customFormat="false" ht="14.25" hidden="false" customHeight="true" outlineLevel="0" collapsed="false">
      <c r="A53" s="1" t="s">
        <v>193</v>
      </c>
      <c r="B53" s="52" t="s">
        <v>92</v>
      </c>
      <c r="C53" s="52" t="s">
        <v>92</v>
      </c>
      <c r="D53" s="52" t="s">
        <v>92</v>
      </c>
      <c r="E53" s="23" t="n">
        <v>246</v>
      </c>
      <c r="F53" s="52" t="s">
        <v>92</v>
      </c>
      <c r="G53" s="52" t="s">
        <v>92</v>
      </c>
      <c r="H53" s="52" t="s">
        <v>92</v>
      </c>
      <c r="I53" s="23" t="n">
        <v>254</v>
      </c>
      <c r="J53" s="52" t="s">
        <v>92</v>
      </c>
      <c r="K53" s="52" t="s">
        <v>92</v>
      </c>
      <c r="L53" s="52" t="s">
        <v>92</v>
      </c>
      <c r="M53" s="23" t="n">
        <v>252</v>
      </c>
      <c r="N53" s="52" t="s">
        <v>92</v>
      </c>
      <c r="O53" s="52" t="s">
        <v>92</v>
      </c>
      <c r="P53" s="52" t="s">
        <v>92</v>
      </c>
      <c r="Q53" s="23" t="n">
        <v>246</v>
      </c>
      <c r="R53" s="52" t="s">
        <v>92</v>
      </c>
      <c r="S53" s="52" t="s">
        <v>92</v>
      </c>
    </row>
    <row r="54" customFormat="false" ht="14.25" hidden="false" customHeight="true" outlineLevel="0" collapsed="false">
      <c r="A54" s="53" t="s">
        <v>194</v>
      </c>
      <c r="B54" s="23" t="n">
        <v>137</v>
      </c>
      <c r="C54" s="23" t="n">
        <v>138</v>
      </c>
      <c r="D54" s="23" t="n">
        <v>143</v>
      </c>
      <c r="E54" s="23" t="n">
        <v>145</v>
      </c>
      <c r="F54" s="23" t="n">
        <v>155</v>
      </c>
      <c r="G54" s="23" t="n">
        <v>182</v>
      </c>
      <c r="H54" s="23" t="n">
        <v>181</v>
      </c>
      <c r="I54" s="23" t="n">
        <v>181</v>
      </c>
      <c r="J54" s="23" t="n">
        <v>181</v>
      </c>
      <c r="K54" s="23" t="n">
        <v>146</v>
      </c>
      <c r="L54" s="23" t="n">
        <v>144</v>
      </c>
      <c r="M54" s="23" t="n">
        <v>143</v>
      </c>
      <c r="N54" s="23" t="n">
        <v>181</v>
      </c>
      <c r="O54" s="23" t="n">
        <v>181</v>
      </c>
      <c r="P54" s="23" t="n">
        <v>181</v>
      </c>
      <c r="Q54" s="23" t="n">
        <v>146</v>
      </c>
      <c r="R54" s="23" t="n">
        <v>144</v>
      </c>
      <c r="S54" s="23" t="n">
        <v>143</v>
      </c>
    </row>
    <row r="55" customFormat="false" ht="14.25" hidden="false" customHeight="true" outlineLevel="0" collapsed="false">
      <c r="A55" s="54" t="s">
        <v>195</v>
      </c>
      <c r="B55" s="23" t="n">
        <f aca="false">B54</f>
        <v>137</v>
      </c>
      <c r="C55" s="23" t="n">
        <f aca="false">C54+B55</f>
        <v>275</v>
      </c>
      <c r="D55" s="23" t="n">
        <f aca="false">D54+C55</f>
        <v>418</v>
      </c>
      <c r="E55" s="23" t="n">
        <f aca="false">E54+D55</f>
        <v>563</v>
      </c>
      <c r="F55" s="23" t="n">
        <f aca="false">F54</f>
        <v>155</v>
      </c>
      <c r="G55" s="23" t="n">
        <f aca="false">G54+F55</f>
        <v>337</v>
      </c>
      <c r="H55" s="23" t="n">
        <f aca="false">H54+G55</f>
        <v>518</v>
      </c>
      <c r="I55" s="23" t="n">
        <f aca="false">I54+H55</f>
        <v>699</v>
      </c>
      <c r="J55" s="23" t="n">
        <f aca="false">J54</f>
        <v>181</v>
      </c>
      <c r="K55" s="23" t="n">
        <f aca="false">K54+J55</f>
        <v>327</v>
      </c>
      <c r="L55" s="23" t="n">
        <f aca="false">L54+K55</f>
        <v>471</v>
      </c>
      <c r="M55" s="23" t="n">
        <f aca="false">M54+L55</f>
        <v>614</v>
      </c>
      <c r="N55" s="23" t="n">
        <v>795</v>
      </c>
      <c r="O55" s="23" t="n">
        <v>976</v>
      </c>
      <c r="P55" s="23" t="n">
        <v>1157</v>
      </c>
      <c r="Q55" s="23" t="n">
        <v>1303</v>
      </c>
      <c r="R55" s="23" t="n">
        <v>1447</v>
      </c>
      <c r="S55" s="23" t="n">
        <v>1590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41.88"/>
    <col collapsed="false" customWidth="true" hidden="false" outlineLevel="0" max="2" min="2" style="1" width="1.26"/>
    <col collapsed="false" customWidth="true" hidden="true" outlineLevel="0" max="3" min="3" style="1" width="8.61"/>
    <col collapsed="false" customWidth="true" hidden="false" outlineLevel="0" max="4" min="4" style="1" width="8.61"/>
    <col collapsed="false" customWidth="true" hidden="false" outlineLevel="0" max="9" min="5" style="1" width="8"/>
    <col collapsed="false" customWidth="true" hidden="false" outlineLevel="0" max="10" min="10" style="1" width="8.15"/>
    <col collapsed="false" customWidth="true" hidden="false" outlineLevel="0" max="12" min="11" style="1" width="8.26"/>
    <col collapsed="false" customWidth="true" hidden="false" outlineLevel="0" max="14" min="13" style="1" width="8.15"/>
    <col collapsed="false" customWidth="true" hidden="false" outlineLevel="0" max="29" min="15" style="1" width="8.26"/>
    <col collapsed="false" customWidth="true" hidden="false" outlineLevel="0" max="33" min="30" style="1" width="9.4"/>
  </cols>
  <sheetData>
    <row r="1" customFormat="false" ht="9" hidden="false" customHeight="true" outlineLevel="0" collapsed="false">
      <c r="S1" s="51"/>
    </row>
    <row r="2" customFormat="false" ht="26.25" hidden="false" customHeight="true" outlineLevel="0" collapsed="false">
      <c r="A2" s="55" t="s">
        <v>196</v>
      </c>
      <c r="L2" s="19"/>
      <c r="M2" s="19"/>
      <c r="N2" s="19"/>
      <c r="O2" s="20"/>
      <c r="P2" s="20"/>
      <c r="Q2" s="20"/>
      <c r="R2" s="20"/>
      <c r="S2" s="20"/>
    </row>
    <row r="4" customFormat="false" ht="14.25" hidden="false" customHeight="true" outlineLevel="0" collapsed="false">
      <c r="A4" s="28"/>
      <c r="D4" s="56" t="s">
        <v>197</v>
      </c>
      <c r="E4" s="56"/>
      <c r="F4" s="56"/>
      <c r="G4" s="56"/>
      <c r="H4" s="56"/>
      <c r="I4" s="56"/>
      <c r="J4" s="56"/>
      <c r="K4" s="56"/>
      <c r="L4" s="56"/>
      <c r="M4" s="56"/>
      <c r="N4" s="56"/>
      <c r="O4" s="56"/>
      <c r="P4" s="56"/>
      <c r="Q4" s="56"/>
      <c r="R4" s="56"/>
      <c r="S4" s="56"/>
      <c r="T4" s="56"/>
      <c r="U4" s="56"/>
      <c r="V4" s="56"/>
      <c r="W4" s="56" t="s">
        <v>198</v>
      </c>
      <c r="X4" s="56"/>
      <c r="Y4" s="56"/>
      <c r="Z4" s="56"/>
      <c r="AA4" s="56"/>
      <c r="AB4" s="56"/>
      <c r="AC4" s="56"/>
      <c r="AD4" s="56"/>
      <c r="AE4" s="56"/>
      <c r="AF4" s="56"/>
    </row>
    <row r="5" customFormat="false" ht="14.25" hidden="false" customHeight="true" outlineLevel="0" collapsed="false">
      <c r="A5" s="28" t="s">
        <v>199</v>
      </c>
      <c r="D5" s="57" t="s">
        <v>52</v>
      </c>
      <c r="E5" s="57" t="s">
        <v>53</v>
      </c>
      <c r="F5" s="57" t="str">
        <f aca="false">IF(MID(E5,2,1)="4","Q1 "&amp;RIGHT(E5,4)+1, "Q"&amp;MID(E5,2,1)+1&amp;" "&amp;RIGHT(E5,4))</f>
        <v>Q2 2022</v>
      </c>
      <c r="G5" s="57" t="str">
        <f aca="false">IF(MID(F5,2,1)="4","Q1 "&amp;RIGHT(F5,4)+1, "Q"&amp;MID(F5,2,1)+1&amp;" "&amp;RIGHT(F5,4))</f>
        <v>Q3 2022</v>
      </c>
      <c r="H5" s="57" t="str">
        <f aca="false">IF(MID(G5,2,1)="4","Q1 "&amp;RIGHT(G5,4)+1, "Q"&amp;MID(G5,2,1)+1&amp;" "&amp;RIGHT(G5,4))</f>
        <v>Q4 2022</v>
      </c>
      <c r="I5" s="57" t="str">
        <f aca="false">IF(MID(H5,2,1)="4","Q1 "&amp;RIGHT(H5,4)+1, "Q"&amp;MID(H5,2,1)+1&amp;" "&amp;RIGHT(H5,4))</f>
        <v>Q1 2023</v>
      </c>
      <c r="J5" s="57" t="str">
        <f aca="false">IF(MID(I5,2,1)="4","Q1 "&amp;RIGHT(I5,4)+1, "Q"&amp;MID(I5,2,1)+1&amp;" "&amp;RIGHT(I5,4))</f>
        <v>Q2 2023</v>
      </c>
      <c r="K5" s="57" t="str">
        <f aca="false">IF(MID(J5,2,1)="4","Q1 "&amp;RIGHT(J5,4)+1, "Q"&amp;MID(J5,2,1)+1&amp;" "&amp;RIGHT(J5,4))</f>
        <v>Q3 2023</v>
      </c>
      <c r="L5" s="57" t="str">
        <f aca="false">IF(MID(K5,2,1)="4","Q1 "&amp;RIGHT(K5,4)+1, "Q"&amp;MID(K5,2,1)+1&amp;" "&amp;RIGHT(K5,4))</f>
        <v>Q4 2023</v>
      </c>
      <c r="M5" s="57" t="str">
        <f aca="false">IF(MID(L5,2,1)="4","Q1 "&amp;RIGHT(L5,4)+1, "Q"&amp;MID(L5,2,1)+1&amp;" "&amp;RIGHT(L5,4))</f>
        <v>Q1 2024</v>
      </c>
      <c r="N5" s="57" t="str">
        <f aca="false">IF(MID(M5,2,1)="4","Q1 "&amp;RIGHT(M5,4)+1, "Q"&amp;MID(M5,2,1)+1&amp;" "&amp;RIGHT(M5,4))</f>
        <v>Q2 2024</v>
      </c>
      <c r="O5" s="57" t="str">
        <f aca="false">IF(MID(N5,2,1)="4","Q1 "&amp;RIGHT(N5,4)+1, "Q"&amp;MID(N5,2,1)+1&amp;" "&amp;RIGHT(N5,4))</f>
        <v>Q3 2024</v>
      </c>
      <c r="P5" s="57" t="str">
        <f aca="false">IF(MID(O5,2,1)="4","Q1 "&amp;RIGHT(O5,4)+1, "Q"&amp;MID(O5,2,1)+1&amp;" "&amp;RIGHT(O5,4))</f>
        <v>Q4 2024</v>
      </c>
      <c r="Q5" s="57" t="str">
        <f aca="false">IF(MID(P5,2,1)="4","Q1 "&amp;RIGHT(P5,4)+1, "Q"&amp;MID(P5,2,1)+1&amp;" "&amp;RIGHT(P5,4))</f>
        <v>Q1 2025</v>
      </c>
      <c r="R5" s="57" t="str">
        <f aca="false">IF(MID(Q5,2,1)="4","Q1 "&amp;RIGHT(Q5,4)+1, "Q"&amp;MID(Q5,2,1)+1&amp;" "&amp;RIGHT(Q5,4))</f>
        <v>Q2 2025</v>
      </c>
      <c r="S5" s="57" t="str">
        <f aca="false">IF(MID(R5,2,1)="4","Q1 "&amp;RIGHT(R5,4)+1, "Q"&amp;MID(R5,2,1)+1&amp;" "&amp;RIGHT(R5,4))</f>
        <v>Q3 2025</v>
      </c>
      <c r="T5" s="57" t="str">
        <f aca="false">IF(MID(S5,2,1)="4","Q1 "&amp;RIGHT(S5,4)+1, "Q"&amp;MID(S5,2,1)+1&amp;" "&amp;RIGHT(S5,4))</f>
        <v>Q4 2025</v>
      </c>
      <c r="U5" s="57" t="str">
        <f aca="false">IF(MID(T5,2,1)="4","Q1 "&amp;RIGHT(T5,4)+1, "Q"&amp;MID(T5,2,1)+1&amp;" "&amp;RIGHT(T5,4))</f>
        <v>Q1 2026</v>
      </c>
      <c r="V5" s="57" t="str">
        <f aca="false">IF(MID(U5,2,1)="4","Q1 "&amp;RIGHT(U5,4)+1, "Q"&amp;MID(U5,2,1)+1&amp;" "&amp;RIGHT(U5,4))</f>
        <v>Q2 2026</v>
      </c>
      <c r="W5" s="58" t="str">
        <f aca="false">IF(MID(V5,2,1)="4","Q1 "&amp;RIGHT(V5,4)+1, "Q"&amp;MID(V5,2,1)+1&amp;" "&amp;RIGHT(V5,4))</f>
        <v>Q3 2026</v>
      </c>
      <c r="X5" s="58" t="str">
        <f aca="false">IF(MID(W5,2,1)="4","Q1 "&amp;RIGHT(W5,4)+1, "Q"&amp;MID(W5,2,1)+1&amp;" "&amp;RIGHT(W5,4))</f>
        <v>Q4 2026</v>
      </c>
      <c r="Y5" s="58" t="str">
        <f aca="false">IF(MID(X5,2,1)="4","Q1 "&amp;RIGHT(X5,4)+1, "Q"&amp;MID(X5,2,1)+1&amp;" "&amp;RIGHT(X5,4))</f>
        <v>Q1 2027</v>
      </c>
      <c r="Z5" s="58" t="str">
        <f aca="false">IF(MID(Y5,2,1)="4","Q1 "&amp;RIGHT(Y5,4)+1, "Q"&amp;MID(Y5,2,1)+1&amp;" "&amp;RIGHT(Y5,4))</f>
        <v>Q2 2027</v>
      </c>
      <c r="AA5" s="58" t="str">
        <f aca="false">IF(MID(Z5,2,1)="4","Q1 "&amp;RIGHT(Z5,4)+1, "Q"&amp;MID(Z5,2,1)+1&amp;" "&amp;RIGHT(Z5,4))</f>
        <v>Q3 2027</v>
      </c>
      <c r="AB5" s="58" t="str">
        <f aca="false">IF(MID(AA5,2,1)="4","Q1 "&amp;RIGHT(AA5,4)+1, "Q"&amp;MID(AA5,2,1)+1&amp;" "&amp;RIGHT(AA5,4))</f>
        <v>Q4 2027</v>
      </c>
      <c r="AC5" s="58" t="str">
        <f aca="false">IF(MID(AB5,2,1)="4","Q1 "&amp;RIGHT(AB5,4)+1, "Q"&amp;MID(AB5,2,1)+1&amp;" "&amp;RIGHT(AB5,4))</f>
        <v>Q1 2028</v>
      </c>
      <c r="AD5" s="58" t="str">
        <f aca="false">IF(MID(AC5,2,1)="4","Q1 "&amp;RIGHT(AC5,4)+1, "Q"&amp;MID(AC5,2,1)+1&amp;" "&amp;RIGHT(AC5,4))</f>
        <v>Q2 2028</v>
      </c>
      <c r="AE5" s="58" t="str">
        <f aca="false">IF(MID(AD5,2,1)="4","Q1 "&amp;RIGHT(AD5,4)+1, "Q"&amp;MID(AD5,2,1)+1&amp;" "&amp;RIGHT(AD5,4))</f>
        <v>Q3 2028</v>
      </c>
      <c r="AF5" s="58" t="str">
        <f aca="false">IF(MID(AE5,2,1)="4","Q1 "&amp;RIGHT(AE5,4)+1, "Q"&amp;MID(AE5,2,1)+1&amp;" "&amp;RIGHT(AE5,4))</f>
        <v>Q4 2028</v>
      </c>
    </row>
    <row r="6" customFormat="false" ht="14.25" hidden="false" customHeight="true" outlineLevel="0" collapsed="false">
      <c r="A6" s="3" t="s">
        <v>200</v>
      </c>
      <c r="E6" s="22"/>
      <c r="F6" s="22"/>
      <c r="G6" s="22"/>
      <c r="H6" s="22"/>
      <c r="I6" s="22"/>
      <c r="J6" s="22"/>
      <c r="K6" s="22"/>
      <c r="L6" s="22"/>
      <c r="M6" s="22"/>
      <c r="N6" s="22"/>
      <c r="O6" s="22"/>
      <c r="P6" s="22"/>
      <c r="W6" s="22"/>
      <c r="X6" s="22"/>
      <c r="Y6" s="22"/>
      <c r="Z6" s="22"/>
      <c r="AA6" s="22"/>
      <c r="AB6" s="22"/>
      <c r="AC6" s="22"/>
      <c r="AD6" s="22"/>
    </row>
    <row r="7" customFormat="false" ht="14.25" hidden="false" customHeight="true" outlineLevel="0" collapsed="false">
      <c r="A7" s="1" t="s">
        <v>201</v>
      </c>
      <c r="D7" s="20" t="n">
        <f aca="false">'Balance Sheet'!B13</f>
        <v>2429</v>
      </c>
      <c r="E7" s="20" t="n">
        <f aca="false">'Balance Sheet'!C13</f>
        <v>3024</v>
      </c>
      <c r="F7" s="20" t="n">
        <f aca="false">'Balance Sheet'!D13</f>
        <v>3586</v>
      </c>
      <c r="G7" s="20" t="n">
        <f aca="false">'Balance Sheet'!E13</f>
        <v>3954</v>
      </c>
      <c r="H7" s="20" t="n">
        <f aca="false">'Balance Sheet'!F13</f>
        <v>4650</v>
      </c>
      <c r="I7" s="20" t="n">
        <f aca="false">'Balance Sheet'!G13</f>
        <v>5438</v>
      </c>
      <c r="J7" s="20" t="n">
        <f aca="false">'Balance Sheet'!H13</f>
        <v>5317</v>
      </c>
      <c r="K7" s="20" t="n">
        <f aca="false">'Balance Sheet'!I13</f>
        <v>4908</v>
      </c>
      <c r="L7" s="20" t="n">
        <f aca="false">'Balance Sheet'!J13</f>
        <v>3827</v>
      </c>
      <c r="M7" s="20" t="n">
        <f aca="false">'Balance Sheet'!K13</f>
        <v>4080</v>
      </c>
      <c r="N7" s="20" t="n">
        <f aca="false">'Balance Sheet'!L13</f>
        <v>7066</v>
      </c>
      <c r="O7" s="20" t="n">
        <f aca="false">'Balance Sheet'!M13</f>
        <v>8309</v>
      </c>
      <c r="P7" s="20" t="n">
        <f aca="false">'Balance Sheet'!N13</f>
        <v>9999</v>
      </c>
      <c r="Q7" s="20" t="n">
        <f aca="false">'Balance Sheet'!O13</f>
        <v>12365</v>
      </c>
      <c r="R7" s="20" t="n">
        <f aca="false">'Balance Sheet'!P13</f>
        <v>14132</v>
      </c>
      <c r="S7" s="20" t="n">
        <f aca="false">'Balance Sheet'!Q13</f>
        <v>17693</v>
      </c>
      <c r="T7" s="20" t="n">
        <f aca="false">'Balance Sheet'!R13</f>
        <v>23065</v>
      </c>
      <c r="U7" s="20" t="n">
        <f aca="false">'Balance Sheet'!S13</f>
        <v>22132</v>
      </c>
      <c r="V7" s="20" t="n">
        <f aca="false">'Balance Sheet'!T13</f>
        <v>27808</v>
      </c>
      <c r="W7" s="59" t="n">
        <f aca="false">(W20/90)*'DCF Valuation'!X$10</f>
        <v>24497.77239758</v>
      </c>
      <c r="X7" s="59" t="n">
        <f aca="false">(X20/90)*'DCF Valuation'!Y$10</f>
        <v>26479.1427331279</v>
      </c>
      <c r="Y7" s="59" t="n">
        <f aca="false">(Y20/90)*'DCF Valuation'!Z$10</f>
        <v>28898.7885346034</v>
      </c>
      <c r="Z7" s="59" t="n">
        <f aca="false">(Z20/90)*'DCF Valuation'!AA$10</f>
        <v>30933.9287768507</v>
      </c>
      <c r="AA7" s="59" t="n">
        <f aca="false">(AA20/90)*'DCF Valuation'!AB$10</f>
        <v>30578.844487326</v>
      </c>
      <c r="AB7" s="59" t="n">
        <f aca="false">(AB20/90)*'DCF Valuation'!AC$10</f>
        <v>32995.7848846908</v>
      </c>
      <c r="AC7" s="59" t="n">
        <f aca="false">(AC20/90)*'DCF Valuation'!AD$10</f>
        <v>34010.3114261899</v>
      </c>
      <c r="AD7" s="59" t="n">
        <f aca="false">(AD20/90)*'DCF Valuation'!AE$10</f>
        <v>35024.8379676891</v>
      </c>
      <c r="AE7" s="59" t="n">
        <f aca="false">(AE20/90)*'DCF Valuation'!AF$10</f>
        <v>39704.4270632336</v>
      </c>
      <c r="AF7" s="59" t="n">
        <f aca="false">(AF20/90)*'DCF Valuation'!AG$10</f>
        <v>44677.4283243543</v>
      </c>
    </row>
    <row r="8" customFormat="false" ht="14.25" hidden="false" customHeight="true" outlineLevel="0" collapsed="false">
      <c r="A8" s="1" t="s">
        <v>202</v>
      </c>
      <c r="D8" s="20" t="n">
        <f aca="false">'Balance Sheet'!B14</f>
        <v>1826</v>
      </c>
      <c r="E8" s="20" t="n">
        <f aca="false">'Balance Sheet'!C14</f>
        <v>1992</v>
      </c>
      <c r="F8" s="20" t="n">
        <f aca="false">'Balance Sheet'!D14</f>
        <v>2114</v>
      </c>
      <c r="G8" s="20" t="n">
        <f aca="false">'Balance Sheet'!E14</f>
        <v>2233</v>
      </c>
      <c r="H8" s="20" t="n">
        <f aca="false">'Balance Sheet'!F14</f>
        <v>2605</v>
      </c>
      <c r="I8" s="20" t="n">
        <f aca="false">'Balance Sheet'!G14</f>
        <v>3163</v>
      </c>
      <c r="J8" s="20" t="n">
        <f aca="false">'Balance Sheet'!H14</f>
        <v>3889</v>
      </c>
      <c r="K8" s="20" t="n">
        <f aca="false">'Balance Sheet'!I14</f>
        <v>4454</v>
      </c>
      <c r="L8" s="20" t="n">
        <f aca="false">'Balance Sheet'!J14</f>
        <v>5159</v>
      </c>
      <c r="M8" s="20" t="n">
        <f aca="false">'Balance Sheet'!K14</f>
        <v>4611</v>
      </c>
      <c r="N8" s="20" t="n">
        <f aca="false">'Balance Sheet'!L14</f>
        <v>4319</v>
      </c>
      <c r="O8" s="20" t="n">
        <f aca="false">'Balance Sheet'!M14</f>
        <v>4779</v>
      </c>
      <c r="P8" s="20" t="n">
        <f aca="false">'Balance Sheet'!N14</f>
        <v>5282</v>
      </c>
      <c r="Q8" s="20" t="n">
        <f aca="false">'Balance Sheet'!O14</f>
        <v>5864</v>
      </c>
      <c r="R8" s="20" t="n">
        <f aca="false">'Balance Sheet'!P14</f>
        <v>6675</v>
      </c>
      <c r="S8" s="20" t="n">
        <f aca="false">'Balance Sheet'!Q14</f>
        <v>7654</v>
      </c>
      <c r="T8" s="20" t="n">
        <f aca="false">'Balance Sheet'!R14</f>
        <v>10080</v>
      </c>
      <c r="U8" s="20" t="n">
        <f aca="false">'Balance Sheet'!S14</f>
        <v>11333</v>
      </c>
      <c r="V8" s="20" t="n">
        <f aca="false">'Balance Sheet'!T14</f>
        <v>14962</v>
      </c>
      <c r="W8" s="59" t="n">
        <f aca="false">(W21/90)*('DCF Valuation'!X$10-'DCF Valuation'!X$13)</f>
        <v>11544.8722456545</v>
      </c>
      <c r="X8" s="59" t="n">
        <f aca="false">(X21/90)*('DCF Valuation'!Y$10-'DCF Valuation'!Y$13)</f>
        <v>15725.5391039626</v>
      </c>
      <c r="Y8" s="59" t="n">
        <f aca="false">(Y21/90)*('DCF Valuation'!Z$10-'DCF Valuation'!Z$13)</f>
        <v>16912.0942907251</v>
      </c>
      <c r="Z8" s="59" t="n">
        <f aca="false">(Z21/90)*('DCF Valuation'!AA$10-'DCF Valuation'!AA$13)</f>
        <v>18548.3730755432</v>
      </c>
      <c r="AA8" s="59" t="n">
        <f aca="false">(AA21/90)*('DCF Valuation'!AB$10-'DCF Valuation'!AB$13)</f>
        <v>16808.464415242</v>
      </c>
      <c r="AB8" s="59" t="n">
        <f aca="false">(AB21/90)*('DCF Valuation'!AC$10-'DCF Valuation'!AC$13)</f>
        <v>18559.9377327138</v>
      </c>
      <c r="AC8" s="59" t="n">
        <f aca="false">(AC21/90)*('DCF Valuation'!AD$10-'DCF Valuation'!AD$13)</f>
        <v>19797.3252032622</v>
      </c>
      <c r="AD8" s="59" t="n">
        <f aca="false">(AD21/90)*('DCF Valuation'!AE$10-'DCF Valuation'!AE$13)</f>
        <v>20113.0232012087</v>
      </c>
      <c r="AE8" s="59" t="n">
        <f aca="false">(AE21/90)*('DCF Valuation'!AF$10-'DCF Valuation'!AF$13)</f>
        <v>22769.3054268769</v>
      </c>
      <c r="AF8" s="59" t="n">
        <f aca="false">(AF21/90)*('DCF Valuation'!AG$10-'DCF Valuation'!AG$13)</f>
        <v>25337.8928089698</v>
      </c>
    </row>
    <row r="9" customFormat="false" ht="14.25" hidden="false" customHeight="true" outlineLevel="0" collapsed="false">
      <c r="A9" s="1" t="s">
        <v>203</v>
      </c>
      <c r="D9" s="20" t="n">
        <f aca="false">'Balance Sheet'!B15</f>
        <v>239</v>
      </c>
      <c r="E9" s="20" t="n">
        <f aca="false">'Balance Sheet'!C15</f>
        <v>444</v>
      </c>
      <c r="F9" s="20" t="n">
        <f aca="false">'Balance Sheet'!D15</f>
        <v>452</v>
      </c>
      <c r="G9" s="20" t="n">
        <f aca="false">'Balance Sheet'!E15</f>
        <v>321</v>
      </c>
      <c r="H9" s="20" t="n">
        <f aca="false">'Balance Sheet'!F15</f>
        <v>366</v>
      </c>
      <c r="I9" s="20" t="n">
        <f aca="false">'Balance Sheet'!G15</f>
        <v>636</v>
      </c>
      <c r="J9" s="20" t="n">
        <f aca="false">'Balance Sheet'!H15</f>
        <v>1175</v>
      </c>
      <c r="K9" s="20" t="n">
        <f aca="false">'Balance Sheet'!I15</f>
        <v>718</v>
      </c>
      <c r="L9" s="20" t="str">
        <f aca="false">'Balance Sheet'!J15</f>
        <v>791</v>
      </c>
      <c r="M9" s="20" t="n">
        <f aca="false">'Balance Sheet'!K15</f>
        <v>872</v>
      </c>
      <c r="N9" s="20" t="n">
        <f aca="false">'Balance Sheet'!L15</f>
        <v>1389</v>
      </c>
      <c r="O9" s="20" t="n">
        <f aca="false">'Balance Sheet'!M15</f>
        <v>1289</v>
      </c>
      <c r="P9" s="20" t="n">
        <f aca="false">'Balance Sheet'!N15</f>
        <v>3080</v>
      </c>
      <c r="Q9" s="20" t="n">
        <f aca="false">'Balance Sheet'!O15</f>
        <v>4062</v>
      </c>
      <c r="R9" s="20" t="n">
        <f aca="false">'Balance Sheet'!P15</f>
        <v>4026</v>
      </c>
      <c r="S9" s="20" t="n">
        <f aca="false">'Balance Sheet'!Q15</f>
        <v>3806</v>
      </c>
      <c r="T9" s="20" t="n">
        <f aca="false">'Balance Sheet'!R15</f>
        <v>3771</v>
      </c>
      <c r="U9" s="20" t="n">
        <f aca="false">'Balance Sheet'!S15</f>
        <v>2779</v>
      </c>
      <c r="V9" s="20" t="n">
        <f aca="false">'Balance Sheet'!T15</f>
        <v>2658</v>
      </c>
      <c r="W9" s="59" t="n">
        <f aca="false">W22*'DCF Valuation'!X$10</f>
        <v>4356.79838023852</v>
      </c>
      <c r="X9" s="59" t="n">
        <f aca="false">X22*'DCF Valuation'!Y$10</f>
        <v>4709.17454442479</v>
      </c>
      <c r="Y9" s="59" t="n">
        <f aca="false">Y22*'DCF Valuation'!Z$10</f>
        <v>5139.49566658775</v>
      </c>
      <c r="Z9" s="59" t="n">
        <f aca="false">Z22*'DCF Valuation'!AA$10</f>
        <v>5501.43452237764</v>
      </c>
      <c r="AA9" s="59" t="n">
        <f aca="false">AA22*'DCF Valuation'!AB$10</f>
        <v>5438.28467216504</v>
      </c>
      <c r="AB9" s="59" t="n">
        <f aca="false">AB22*'DCF Valuation'!AC$10</f>
        <v>5868.12465261209</v>
      </c>
      <c r="AC9" s="59" t="n">
        <f aca="false">AC22*'DCF Valuation'!AD$10</f>
        <v>6048.55279607664</v>
      </c>
      <c r="AD9" s="59" t="n">
        <f aca="false">AD22*'DCF Valuation'!AE$10</f>
        <v>6228.9809395412</v>
      </c>
      <c r="AE9" s="59" t="n">
        <f aca="false">AE22*'DCF Valuation'!AF$10</f>
        <v>7061.22094327575</v>
      </c>
      <c r="AF9" s="59" t="n">
        <f aca="false">AF22*'DCF Valuation'!AG$10</f>
        <v>7945.64273835761</v>
      </c>
    </row>
    <row r="10" customFormat="false" ht="14.25" hidden="false" customHeight="true" outlineLevel="0" collapsed="false">
      <c r="A10" s="39" t="s">
        <v>131</v>
      </c>
      <c r="B10" s="51"/>
      <c r="C10" s="51"/>
      <c r="D10" s="41" t="n">
        <f aca="false">D7+D8+D9</f>
        <v>4494</v>
      </c>
      <c r="E10" s="41" t="n">
        <f aca="false">E7+E8+E9</f>
        <v>5460</v>
      </c>
      <c r="F10" s="41" t="n">
        <f aca="false">F7+F8+F9</f>
        <v>6152</v>
      </c>
      <c r="G10" s="41" t="n">
        <f aca="false">G7+G8+G9</f>
        <v>6508</v>
      </c>
      <c r="H10" s="41" t="n">
        <f aca="false">H7+H8+H9</f>
        <v>7621</v>
      </c>
      <c r="I10" s="41" t="n">
        <f aca="false">I7+I8+I9</f>
        <v>9237</v>
      </c>
      <c r="J10" s="41" t="n">
        <f aca="false">J7+J8+J9</f>
        <v>10381</v>
      </c>
      <c r="K10" s="41" t="n">
        <f aca="false">K7+K8+K9</f>
        <v>10080</v>
      </c>
      <c r="L10" s="41" t="n">
        <f aca="false">L7+L8+L9</f>
        <v>9777</v>
      </c>
      <c r="M10" s="41" t="n">
        <f aca="false">M7+M8+M9</f>
        <v>9563</v>
      </c>
      <c r="N10" s="41" t="n">
        <f aca="false">N7+N8+N9</f>
        <v>12774</v>
      </c>
      <c r="O10" s="41" t="n">
        <f aca="false">O7+O8+O9</f>
        <v>14377</v>
      </c>
      <c r="P10" s="41" t="n">
        <f aca="false">P7+P8+P9</f>
        <v>18361</v>
      </c>
      <c r="Q10" s="41" t="n">
        <f aca="false">Q7+Q8+Q9</f>
        <v>22291</v>
      </c>
      <c r="R10" s="41" t="n">
        <f aca="false">R7+R8+R9</f>
        <v>24833</v>
      </c>
      <c r="S10" s="41" t="n">
        <f aca="false">S7+S8+S9</f>
        <v>29153</v>
      </c>
      <c r="T10" s="41" t="n">
        <f aca="false">T7+T8+T9</f>
        <v>36916</v>
      </c>
      <c r="U10" s="41" t="n">
        <f aca="false">U7+U8+U9</f>
        <v>36244</v>
      </c>
      <c r="V10" s="41" t="n">
        <f aca="false">V7+V8+V9</f>
        <v>45428</v>
      </c>
      <c r="W10" s="60" t="n">
        <f aca="false">W7+W8+W9</f>
        <v>40399.4430234731</v>
      </c>
      <c r="X10" s="60" t="n">
        <f aca="false">X7+X8+X9</f>
        <v>46913.8563815153</v>
      </c>
      <c r="Y10" s="60" t="n">
        <f aca="false">Y7+Y8+Y9</f>
        <v>50950.3784919163</v>
      </c>
      <c r="Z10" s="60" t="n">
        <f aca="false">Z7+Z8+Z9</f>
        <v>54983.7363747715</v>
      </c>
      <c r="AA10" s="60" t="n">
        <f aca="false">AA7+AA8+AA9</f>
        <v>52825.593574733</v>
      </c>
      <c r="AB10" s="60" t="n">
        <f aca="false">AB7+AB8+AB9</f>
        <v>57423.8472700166</v>
      </c>
      <c r="AC10" s="60" t="n">
        <f aca="false">AC7+AC8+AC9</f>
        <v>59856.1894255288</v>
      </c>
      <c r="AD10" s="60" t="n">
        <f aca="false">AD7+AD8+AD9</f>
        <v>61366.842108439</v>
      </c>
      <c r="AE10" s="60" t="n">
        <f aca="false">AE7+AE8+AE9</f>
        <v>69534.9534333863</v>
      </c>
      <c r="AF10" s="60" t="n">
        <f aca="false">AF7+AF8+AF9</f>
        <v>77960.9638716817</v>
      </c>
    </row>
    <row r="11" customFormat="false" ht="14.25" hidden="false" customHeight="true" outlineLevel="0" collapsed="false">
      <c r="E11" s="20"/>
      <c r="F11" s="20"/>
      <c r="G11" s="20"/>
      <c r="H11" s="20"/>
      <c r="I11" s="20"/>
      <c r="J11" s="20"/>
      <c r="K11" s="20"/>
      <c r="L11" s="20"/>
      <c r="M11" s="20"/>
      <c r="N11" s="20"/>
      <c r="O11" s="20"/>
      <c r="P11" s="20"/>
      <c r="W11" s="20"/>
      <c r="X11" s="20"/>
      <c r="Y11" s="20"/>
      <c r="Z11" s="20"/>
      <c r="AA11" s="20"/>
      <c r="AB11" s="20"/>
      <c r="AC11" s="20"/>
      <c r="AD11" s="20"/>
      <c r="AE11" s="20"/>
      <c r="AF11" s="20"/>
    </row>
    <row r="12" customFormat="false" ht="14.25" hidden="false" customHeight="true" outlineLevel="0" collapsed="false">
      <c r="A12" s="3" t="s">
        <v>204</v>
      </c>
      <c r="E12" s="20"/>
      <c r="F12" s="20"/>
      <c r="G12" s="20"/>
      <c r="H12" s="20"/>
      <c r="I12" s="20"/>
      <c r="J12" s="20"/>
      <c r="K12" s="20"/>
      <c r="L12" s="20"/>
      <c r="M12" s="20"/>
      <c r="N12" s="20"/>
      <c r="O12" s="20"/>
      <c r="P12" s="20"/>
      <c r="W12" s="20"/>
      <c r="X12" s="20"/>
      <c r="Y12" s="20"/>
      <c r="Z12" s="20"/>
      <c r="AA12" s="20"/>
      <c r="AB12" s="20"/>
      <c r="AC12" s="20"/>
      <c r="AD12" s="20"/>
      <c r="AE12" s="20"/>
      <c r="AF12" s="20"/>
    </row>
    <row r="13" customFormat="false" ht="14.25" hidden="false" customHeight="true" outlineLevel="0" collapsed="false">
      <c r="A13" s="1" t="s">
        <v>205</v>
      </c>
      <c r="D13" s="20" t="n">
        <f aca="false">'Balance Sheet'!B27</f>
        <v>1201</v>
      </c>
      <c r="E13" s="20" t="n">
        <f aca="false">'Balance Sheet'!C27</f>
        <v>1218</v>
      </c>
      <c r="F13" s="20" t="n">
        <f aca="false">'Balance Sheet'!D27</f>
        <v>1474</v>
      </c>
      <c r="G13" s="20" t="n">
        <f aca="false">'Balance Sheet'!E27</f>
        <v>1664</v>
      </c>
      <c r="H13" s="20" t="n">
        <f aca="false">'Balance Sheet'!F27</f>
        <v>1783</v>
      </c>
      <c r="I13" s="20" t="n">
        <f aca="false">'Balance Sheet'!G27</f>
        <v>1999</v>
      </c>
      <c r="J13" s="20" t="n">
        <f aca="false">'Balance Sheet'!H27</f>
        <v>2421</v>
      </c>
      <c r="K13" s="20" t="n">
        <f aca="false">'Balance Sheet'!I27</f>
        <v>1491</v>
      </c>
      <c r="L13" s="20" t="n">
        <f aca="false">'Balance Sheet'!J27</f>
        <v>1193</v>
      </c>
      <c r="M13" s="20" t="n">
        <f aca="false">'Balance Sheet'!K27</f>
        <v>1141</v>
      </c>
      <c r="N13" s="20" t="n">
        <f aca="false">'Balance Sheet'!L27</f>
        <v>1929</v>
      </c>
      <c r="O13" s="20" t="n">
        <f aca="false">'Balance Sheet'!M27</f>
        <v>2380</v>
      </c>
      <c r="P13" s="20" t="n">
        <f aca="false">'Balance Sheet'!N27</f>
        <v>2699</v>
      </c>
      <c r="Q13" s="20" t="n">
        <f aca="false">'Balance Sheet'!O27</f>
        <v>2715</v>
      </c>
      <c r="R13" s="20" t="n">
        <f aca="false">'Balance Sheet'!P27</f>
        <v>3680</v>
      </c>
      <c r="S13" s="20" t="n">
        <f aca="false">'Balance Sheet'!Q27</f>
        <v>5353</v>
      </c>
      <c r="T13" s="20" t="n">
        <f aca="false">'Balance Sheet'!R27</f>
        <v>6310</v>
      </c>
      <c r="U13" s="20" t="n">
        <f aca="false">'Balance Sheet'!S27</f>
        <v>7331</v>
      </c>
      <c r="V13" s="20" t="n">
        <f aca="false">'Balance Sheet'!T27</f>
        <v>9064</v>
      </c>
      <c r="W13" s="59" t="n">
        <f aca="false">(W23/90)*('DCF Valuation'!X$10-'DCF Valuation'!X$13)</f>
        <v>5771.01344097548</v>
      </c>
      <c r="X13" s="59" t="n">
        <f aca="false">(X23/90)*('DCF Valuation'!Y$10-'DCF Valuation'!Y$13)</f>
        <v>7860.83168392901</v>
      </c>
      <c r="Y13" s="59" t="n">
        <f aca="false">(Y23/90)*('DCF Valuation'!Z$10-'DCF Valuation'!Z$13)</f>
        <v>8453.96305736999</v>
      </c>
      <c r="Z13" s="59" t="n">
        <f aca="false">(Z23/90)*('DCF Valuation'!AA$10-'DCF Valuation'!AA$13)</f>
        <v>9271.90081011754</v>
      </c>
      <c r="AA13" s="59" t="n">
        <f aca="false">(AA23/90)*('DCF Valuation'!AB$10-'DCF Valuation'!AB$13)</f>
        <v>8402.160890003</v>
      </c>
      <c r="AB13" s="59" t="n">
        <f aca="false">(AB23/90)*('DCF Valuation'!AC$10-'DCF Valuation'!AC$13)</f>
        <v>9277.68171358284</v>
      </c>
      <c r="AC13" s="59" t="n">
        <f aca="false">(AC23/90)*('DCF Valuation'!AD$10-'DCF Valuation'!AD$13)</f>
        <v>9896.22296482256</v>
      </c>
      <c r="AD13" s="59" t="n">
        <f aca="false">(AD23/90)*('DCF Valuation'!AE$10-'DCF Valuation'!AE$13)</f>
        <v>10054.0330601334</v>
      </c>
      <c r="AE13" s="59" t="n">
        <f aca="false">(AE23/90)*('DCF Valuation'!AF$10-'DCF Valuation'!AF$13)</f>
        <v>11381.8468376419</v>
      </c>
      <c r="AF13" s="59" t="n">
        <f aca="false">(AF23/90)*('DCF Valuation'!AG$10-'DCF Valuation'!AG$13)</f>
        <v>12665.8240000533</v>
      </c>
    </row>
    <row r="14" customFormat="false" ht="14.25" hidden="false" customHeight="true" outlineLevel="0" collapsed="false">
      <c r="A14" s="1" t="s">
        <v>206</v>
      </c>
      <c r="D14" s="20" t="n">
        <f aca="false">'Balance Sheet'!B28</f>
        <v>1725</v>
      </c>
      <c r="E14" s="20" t="n">
        <f aca="false">'Balance Sheet'!C28</f>
        <v>1787</v>
      </c>
      <c r="F14" s="20" t="n">
        <f aca="false">'Balance Sheet'!D28</f>
        <v>1974</v>
      </c>
      <c r="G14" s="20" t="n">
        <f aca="false">'Balance Sheet'!E28</f>
        <v>1948</v>
      </c>
      <c r="H14" s="20" t="n">
        <f aca="false">'Balance Sheet'!F28</f>
        <v>2552</v>
      </c>
      <c r="I14" s="20" t="n">
        <f aca="false">'Balance Sheet'!G28</f>
        <v>3563</v>
      </c>
      <c r="J14" s="20" t="n">
        <f aca="false">'Balance Sheet'!H28</f>
        <v>3903</v>
      </c>
      <c r="K14" s="20" t="n">
        <f aca="false">'Balance Sheet'!I28</f>
        <v>4115</v>
      </c>
      <c r="L14" s="20" t="n">
        <f aca="false">'Balance Sheet'!J28</f>
        <v>4120</v>
      </c>
      <c r="M14" s="20" t="n">
        <f aca="false">'Balance Sheet'!K28</f>
        <v>4869</v>
      </c>
      <c r="N14" s="20" t="n">
        <f aca="false">'Balance Sheet'!L28</f>
        <v>7156</v>
      </c>
      <c r="O14" s="20" t="n">
        <f aca="false">'Balance Sheet'!M28</f>
        <v>5472</v>
      </c>
      <c r="P14" s="20" t="n">
        <f aca="false">'Balance Sheet'!N28</f>
        <v>6682</v>
      </c>
      <c r="Q14" s="20" t="n">
        <f aca="false">'Balance Sheet'!O28</f>
        <v>11258</v>
      </c>
      <c r="R14" s="20" t="n">
        <f aca="false">'Balance Sheet'!P28</f>
        <v>10289</v>
      </c>
      <c r="S14" s="20" t="n">
        <f aca="false">'Balance Sheet'!Q28</f>
        <v>11126</v>
      </c>
      <c r="T14" s="20" t="n">
        <f aca="false">'Balance Sheet'!R28</f>
        <v>11737</v>
      </c>
      <c r="U14" s="20" t="n">
        <f aca="false">'Balance Sheet'!S28</f>
        <v>19211</v>
      </c>
      <c r="V14" s="20" t="n">
        <f aca="false">'Balance Sheet'!T28</f>
        <v>15193</v>
      </c>
      <c r="W14" s="59" t="n">
        <f aca="false">W24*('DCF Valuation'!X$13-'DCF Valuation'!X$16)</f>
        <v>13013.8347344405</v>
      </c>
      <c r="X14" s="59" t="n">
        <f aca="false">X24*('DCF Valuation'!Y$13-'DCF Valuation'!Y$16)</f>
        <v>14066.388643264</v>
      </c>
      <c r="Y14" s="59" t="n">
        <f aca="false">Y24*('DCF Valuation'!Z$13-'DCF Valuation'!Z$16)</f>
        <v>15351.7655365278</v>
      </c>
      <c r="Z14" s="59" t="n">
        <f aca="false">Z24*('DCF Valuation'!AA$13-'DCF Valuation'!AA$16)</f>
        <v>16432.8833763128</v>
      </c>
      <c r="AA14" s="59" t="n">
        <f aca="false">AA24*('DCF Valuation'!AB$13-'DCF Valuation'!AB$16)</f>
        <v>16244.2536435487</v>
      </c>
      <c r="AB14" s="59" t="n">
        <f aca="false">AB24*('DCF Valuation'!AC$13-'DCF Valuation'!AC$16)</f>
        <v>17528.1933578962</v>
      </c>
      <c r="AC14" s="59" t="n">
        <f aca="false">AC24*('DCF Valuation'!AD$13-'DCF Valuation'!AD$16)</f>
        <v>18067.1354515078</v>
      </c>
      <c r="AD14" s="59" t="n">
        <f aca="false">AD24*('DCF Valuation'!AE$13-'DCF Valuation'!AE$16)</f>
        <v>18606.0775451195</v>
      </c>
      <c r="AE14" s="59" t="n">
        <f aca="false">AE24*('DCF Valuation'!AF$13-'DCF Valuation'!AF$16)</f>
        <v>21091.993330692</v>
      </c>
      <c r="AF14" s="59" t="n">
        <f aca="false">AF24*('DCF Valuation'!AG$13-'DCF Valuation'!AG$16)</f>
        <v>23733.777060905</v>
      </c>
    </row>
    <row r="15" customFormat="false" ht="14.25" hidden="false" customHeight="true" outlineLevel="0" collapsed="false">
      <c r="A15" s="39" t="s">
        <v>144</v>
      </c>
      <c r="B15" s="51"/>
      <c r="C15" s="51"/>
      <c r="D15" s="41" t="n">
        <f aca="false">D13+D14</f>
        <v>2926</v>
      </c>
      <c r="E15" s="41" t="n">
        <f aca="false">E13+E14</f>
        <v>3005</v>
      </c>
      <c r="F15" s="41" t="n">
        <f aca="false">F13+F14</f>
        <v>3448</v>
      </c>
      <c r="G15" s="41" t="n">
        <f aca="false">G13+G14</f>
        <v>3612</v>
      </c>
      <c r="H15" s="41" t="n">
        <f aca="false">H13+H14</f>
        <v>4335</v>
      </c>
      <c r="I15" s="41" t="n">
        <f aca="false">I13+I14</f>
        <v>5562</v>
      </c>
      <c r="J15" s="41" t="n">
        <f aca="false">J13+J14</f>
        <v>6324</v>
      </c>
      <c r="K15" s="41" t="n">
        <f aca="false">K13+K14</f>
        <v>5606</v>
      </c>
      <c r="L15" s="41" t="n">
        <f aca="false">L13+L14</f>
        <v>5313</v>
      </c>
      <c r="M15" s="41" t="n">
        <f aca="false">M13+M14</f>
        <v>6010</v>
      </c>
      <c r="N15" s="41" t="n">
        <f aca="false">N13+N14</f>
        <v>9085</v>
      </c>
      <c r="O15" s="41" t="n">
        <f aca="false">O13+O14</f>
        <v>7852</v>
      </c>
      <c r="P15" s="41" t="n">
        <f aca="false">P13+P14</f>
        <v>9381</v>
      </c>
      <c r="Q15" s="41" t="n">
        <f aca="false">Q13+Q14</f>
        <v>13973</v>
      </c>
      <c r="R15" s="41" t="n">
        <f aca="false">R13+R14</f>
        <v>13969</v>
      </c>
      <c r="S15" s="41" t="n">
        <f aca="false">S13+S14</f>
        <v>16479</v>
      </c>
      <c r="T15" s="41" t="n">
        <f aca="false">T13+T14</f>
        <v>18047</v>
      </c>
      <c r="U15" s="41" t="n">
        <f aca="false">U13+U14</f>
        <v>26542</v>
      </c>
      <c r="V15" s="41" t="n">
        <f aca="false">V13+V14</f>
        <v>24257</v>
      </c>
      <c r="W15" s="60" t="n">
        <f aca="false">W13+W14</f>
        <v>18784.848175416</v>
      </c>
      <c r="X15" s="60" t="n">
        <f aca="false">X13+X14</f>
        <v>21927.220327193</v>
      </c>
      <c r="Y15" s="60" t="n">
        <f aca="false">Y13+Y14</f>
        <v>23805.7285938978</v>
      </c>
      <c r="Z15" s="60" t="n">
        <f aca="false">Z13+Z14</f>
        <v>25704.7841864303</v>
      </c>
      <c r="AA15" s="60" t="n">
        <f aca="false">AA13+AA14</f>
        <v>24646.4145335517</v>
      </c>
      <c r="AB15" s="60" t="n">
        <f aca="false">AB13+AB14</f>
        <v>26805.875071479</v>
      </c>
      <c r="AC15" s="60" t="n">
        <f aca="false">AC13+AC14</f>
        <v>27963.3584163304</v>
      </c>
      <c r="AD15" s="60" t="n">
        <f aca="false">AD13+AD14</f>
        <v>28660.1106052529</v>
      </c>
      <c r="AE15" s="60" t="n">
        <f aca="false">AE13+AE14</f>
        <v>32473.8401683339</v>
      </c>
      <c r="AF15" s="60" t="n">
        <f aca="false">AF13+AF14</f>
        <v>36399.6010609583</v>
      </c>
    </row>
    <row r="16" customFormat="false" ht="14.25" hidden="false" customHeight="true" outlineLevel="0" collapsed="false">
      <c r="D16" s="20"/>
      <c r="E16" s="20"/>
      <c r="F16" s="20"/>
      <c r="G16" s="20"/>
      <c r="H16" s="20"/>
      <c r="I16" s="20"/>
      <c r="J16" s="20"/>
      <c r="K16" s="20"/>
      <c r="L16" s="20"/>
      <c r="M16" s="20"/>
      <c r="N16" s="20"/>
      <c r="O16" s="20"/>
      <c r="P16" s="20"/>
      <c r="T16" s="23"/>
      <c r="W16" s="20"/>
      <c r="X16" s="20"/>
      <c r="Y16" s="20"/>
      <c r="Z16" s="20"/>
      <c r="AA16" s="20"/>
      <c r="AB16" s="20"/>
      <c r="AC16" s="20"/>
      <c r="AD16" s="20"/>
      <c r="AE16" s="20"/>
      <c r="AF16" s="20"/>
    </row>
    <row r="17" customFormat="false" ht="14.25" hidden="false" customHeight="true" outlineLevel="0" collapsed="false">
      <c r="A17" s="39" t="s">
        <v>207</v>
      </c>
      <c r="B17" s="51"/>
      <c r="C17" s="51"/>
      <c r="D17" s="41" t="n">
        <f aca="false">D10-D15</f>
        <v>1568</v>
      </c>
      <c r="E17" s="41" t="n">
        <f aca="false">E10-E15</f>
        <v>2455</v>
      </c>
      <c r="F17" s="41" t="n">
        <f aca="false">F10-F15</f>
        <v>2704</v>
      </c>
      <c r="G17" s="41" t="n">
        <f aca="false">G10-G15</f>
        <v>2896</v>
      </c>
      <c r="H17" s="41" t="n">
        <f aca="false">H10-H15</f>
        <v>3286</v>
      </c>
      <c r="I17" s="41" t="n">
        <f aca="false">I10-I15</f>
        <v>3675</v>
      </c>
      <c r="J17" s="41" t="n">
        <f aca="false">J10-J15</f>
        <v>4057</v>
      </c>
      <c r="K17" s="41" t="n">
        <f aca="false">K10-K15</f>
        <v>4474</v>
      </c>
      <c r="L17" s="41" t="n">
        <f aca="false">L10-L15</f>
        <v>4464</v>
      </c>
      <c r="M17" s="41" t="n">
        <f aca="false">M10-M15</f>
        <v>3553</v>
      </c>
      <c r="N17" s="41" t="n">
        <f aca="false">N10-N15</f>
        <v>3689</v>
      </c>
      <c r="O17" s="41" t="n">
        <f aca="false">O10-O15</f>
        <v>6525</v>
      </c>
      <c r="P17" s="41" t="n">
        <f aca="false">P10-P15</f>
        <v>8980</v>
      </c>
      <c r="Q17" s="41" t="n">
        <f aca="false">Q10-Q15</f>
        <v>8318</v>
      </c>
      <c r="R17" s="41" t="n">
        <f aca="false">R10-R15</f>
        <v>10864</v>
      </c>
      <c r="S17" s="41" t="n">
        <f aca="false">S10-S15</f>
        <v>12674</v>
      </c>
      <c r="T17" s="41" t="n">
        <f aca="false">T10-T15</f>
        <v>18869</v>
      </c>
      <c r="U17" s="41" t="n">
        <f aca="false">U10-U15</f>
        <v>9702</v>
      </c>
      <c r="V17" s="41" t="n">
        <f aca="false">V10-V15</f>
        <v>21171</v>
      </c>
      <c r="W17" s="60" t="n">
        <f aca="false">W10-W15</f>
        <v>21614.5948480571</v>
      </c>
      <c r="X17" s="60" t="n">
        <f aca="false">X10-X15</f>
        <v>24986.6360543223</v>
      </c>
      <c r="Y17" s="60" t="n">
        <f aca="false">Y10-Y15</f>
        <v>27144.6498980185</v>
      </c>
      <c r="Z17" s="60" t="n">
        <f aca="false">Z10-Z15</f>
        <v>29278.9521883412</v>
      </c>
      <c r="AA17" s="60" t="n">
        <f aca="false">AA10-AA15</f>
        <v>28179.1790411813</v>
      </c>
      <c r="AB17" s="60" t="n">
        <f aca="false">AB10-AB15</f>
        <v>30617.9721985376</v>
      </c>
      <c r="AC17" s="60" t="n">
        <f aca="false">AC10-AC15</f>
        <v>31892.8310091984</v>
      </c>
      <c r="AD17" s="60" t="n">
        <f aca="false">AD10-AD15</f>
        <v>32706.7315031861</v>
      </c>
      <c r="AE17" s="60" t="n">
        <f aca="false">AE10-AE15</f>
        <v>37061.1132650524</v>
      </c>
      <c r="AF17" s="60" t="n">
        <f aca="false">AF10-AF15</f>
        <v>41561.3628107233</v>
      </c>
    </row>
    <row r="18" customFormat="false" ht="14.25" hidden="false" customHeight="true" outlineLevel="0" collapsed="false">
      <c r="A18" s="28" t="s">
        <v>208</v>
      </c>
      <c r="E18" s="20" t="n">
        <f aca="false">E17-D17</f>
        <v>887</v>
      </c>
      <c r="F18" s="20" t="n">
        <f aca="false">F17-E17</f>
        <v>249</v>
      </c>
      <c r="G18" s="20" t="n">
        <f aca="false">G17-F17</f>
        <v>192</v>
      </c>
      <c r="H18" s="20" t="n">
        <f aca="false">H17-G17</f>
        <v>390</v>
      </c>
      <c r="I18" s="20" t="n">
        <f aca="false">I17-H17</f>
        <v>389</v>
      </c>
      <c r="J18" s="20" t="n">
        <f aca="false">J17-I17</f>
        <v>382</v>
      </c>
      <c r="K18" s="20" t="n">
        <f aca="false">K17-J17</f>
        <v>417</v>
      </c>
      <c r="L18" s="20" t="n">
        <f aca="false">L17-K17</f>
        <v>-10</v>
      </c>
      <c r="M18" s="20" t="n">
        <f aca="false">M17-L17</f>
        <v>-911</v>
      </c>
      <c r="N18" s="20" t="n">
        <f aca="false">N17-M17</f>
        <v>136</v>
      </c>
      <c r="O18" s="20" t="n">
        <f aca="false">O17-N17</f>
        <v>2836</v>
      </c>
      <c r="P18" s="20" t="n">
        <f aca="false">P17-O17</f>
        <v>2455</v>
      </c>
      <c r="Q18" s="20" t="n">
        <f aca="false">Q17-P17</f>
        <v>-662</v>
      </c>
      <c r="R18" s="20" t="n">
        <f aca="false">R17-Q17</f>
        <v>2546</v>
      </c>
      <c r="S18" s="20" t="n">
        <f aca="false">S17-R17</f>
        <v>1810</v>
      </c>
      <c r="T18" s="20" t="n">
        <f aca="false">T17-S17</f>
        <v>6195</v>
      </c>
      <c r="U18" s="20" t="n">
        <f aca="false">U17-T17</f>
        <v>-9167</v>
      </c>
      <c r="V18" s="20" t="n">
        <f aca="false">V17-U17</f>
        <v>11469</v>
      </c>
      <c r="W18" s="59" t="n">
        <f aca="false">W17-V17</f>
        <v>443.594848057124</v>
      </c>
      <c r="X18" s="59" t="n">
        <f aca="false">X17-W17</f>
        <v>3372.04120626513</v>
      </c>
      <c r="Y18" s="59" t="n">
        <f aca="false">Y17-X17</f>
        <v>2158.0138436962</v>
      </c>
      <c r="Z18" s="59" t="n">
        <f aca="false">Z17-Y17</f>
        <v>2134.30229032275</v>
      </c>
      <c r="AA18" s="59" t="n">
        <f aca="false">AA17-Z17</f>
        <v>-1099.77314715993</v>
      </c>
      <c r="AB18" s="59" t="n">
        <f aca="false">AB17-AA17</f>
        <v>2438.79315735631</v>
      </c>
      <c r="AC18" s="59" t="n">
        <f aca="false">AC17-AB17</f>
        <v>1274.8588106608</v>
      </c>
      <c r="AD18" s="59" t="n">
        <f aca="false">AD17-AC17</f>
        <v>813.900493987712</v>
      </c>
      <c r="AE18" s="59" t="n">
        <f aca="false">AE17-AD17</f>
        <v>4354.3817618663</v>
      </c>
      <c r="AF18" s="59" t="n">
        <f aca="false">AF17-AE17</f>
        <v>4500.24954567094</v>
      </c>
    </row>
    <row r="19" customFormat="false" ht="14.25" hidden="false" customHeight="true" outlineLevel="0" collapsed="false">
      <c r="E19" s="22"/>
      <c r="G19" s="22"/>
      <c r="H19" s="22"/>
      <c r="I19" s="22"/>
      <c r="J19" s="22"/>
      <c r="K19" s="22"/>
      <c r="L19" s="22"/>
      <c r="M19" s="22"/>
      <c r="N19" s="22"/>
      <c r="O19" s="22"/>
      <c r="P19" s="22"/>
      <c r="W19" s="22"/>
      <c r="X19" s="22"/>
      <c r="Y19" s="22"/>
      <c r="Z19" s="22"/>
      <c r="AA19" s="22"/>
      <c r="AB19" s="22"/>
      <c r="AC19" s="22"/>
      <c r="AD19" s="22"/>
      <c r="AE19" s="22"/>
      <c r="AF19" s="22"/>
    </row>
    <row r="20" customFormat="false" ht="14.25" hidden="false" customHeight="true" outlineLevel="0" collapsed="false">
      <c r="A20" s="1" t="s">
        <v>209</v>
      </c>
      <c r="E20" s="61" t="n">
        <f aca="false">(AVERAGE(E7,D7)/'DCF Valuation'!F10)*90</f>
        <v>43.3465818759936</v>
      </c>
      <c r="F20" s="61" t="n">
        <f aca="false">(AVERAGE(F7,E7)/'DCF Valuation'!G10)*90</f>
        <v>45.7123098201936</v>
      </c>
      <c r="G20" s="61" t="n">
        <f aca="false">(AVERAGE(G7,F7)/'DCF Valuation'!H10)*90</f>
        <v>47.7685485006335</v>
      </c>
      <c r="H20" s="61" t="n">
        <f aca="false">(AVERAGE(H7,G7)/'DCF Valuation'!I10)*90</f>
        <v>50.6581185398404</v>
      </c>
      <c r="I20" s="61" t="n">
        <f aca="false">(AVERAGE(I7,H7)/'DCF Valuation'!J10)*90</f>
        <v>54.773166023166</v>
      </c>
      <c r="J20" s="61" t="n">
        <f aca="false">(AVERAGE(J7,I7)/'DCF Valuation'!K10)*90</f>
        <v>72.1919749403341</v>
      </c>
      <c r="K20" s="61" t="n">
        <f aca="false">(AVERAGE(K7,J7)/'DCF Valuation'!L10)*90</f>
        <v>77.5796661608498</v>
      </c>
      <c r="L20" s="61" t="n">
        <f aca="false">(AVERAGE(L7,K7)/'DCF Valuation'!M10)*90</f>
        <v>64.960337134358</v>
      </c>
      <c r="M20" s="61" t="n">
        <f aca="false">(AVERAGE(M7,L7)/'DCF Valuation'!N10)*90</f>
        <v>49.4737208008899</v>
      </c>
      <c r="N20" s="61" t="n">
        <f aca="false">(AVERAGE(N7,M7)/'DCF Valuation'!O10)*90</f>
        <v>37.1340786258977</v>
      </c>
      <c r="O20" s="61" t="n">
        <f aca="false">(AVERAGE(O7,N7)/'DCF Valuation'!P10)*90</f>
        <v>38.1829470198676</v>
      </c>
      <c r="P20" s="61" t="n">
        <f aca="false">(AVERAGE(P7,O7)/'DCF Valuation'!Q10)*90</f>
        <v>37.2736732570239</v>
      </c>
      <c r="Q20" s="61" t="n">
        <f aca="false">(AVERAGE(Q7,P7)/'DCF Valuation'!X10)*90</f>
        <v>19.7075871904507</v>
      </c>
      <c r="R20" s="61" t="n">
        <f aca="false">(AVERAGE(R7,Q7)/'DCF Valuation'!Y10)*90</f>
        <v>21.602467159014</v>
      </c>
      <c r="S20" s="61" t="n">
        <f aca="false">(AVERAGE(S7,R7)/'DCF Valuation'!Z10)*90</f>
        <v>23.7738404469683</v>
      </c>
      <c r="T20" s="61" t="n">
        <f aca="false">(AVERAGE(T7,S7)/'DCF Valuation'!AA10)*90</f>
        <v>28.4438481976028</v>
      </c>
      <c r="U20" s="61" t="n">
        <f aca="false">(AVERAGE(U7,T7)/'DCF Valuation'!AB10)*90</f>
        <v>31.9079650142118</v>
      </c>
      <c r="V20" s="61" t="n">
        <f aca="false">(AVERAGE(V7,U7)/'DCF Valuation'!AC10)*90</f>
        <v>32.6738749757875</v>
      </c>
      <c r="W20" s="62" t="n">
        <f aca="false">AVERAGE($E20:$V20)</f>
        <v>43.1758169823935</v>
      </c>
      <c r="X20" s="62" t="n">
        <f aca="false">AVERAGE($E20:$V20)</f>
        <v>43.1758169823935</v>
      </c>
      <c r="Y20" s="62" t="n">
        <f aca="false">AVERAGE($E20:$V20)</f>
        <v>43.1758169823935</v>
      </c>
      <c r="Z20" s="62" t="n">
        <f aca="false">AVERAGE($E20:$V20)</f>
        <v>43.1758169823935</v>
      </c>
      <c r="AA20" s="62" t="n">
        <f aca="false">AVERAGE($E20:$V20)</f>
        <v>43.1758169823935</v>
      </c>
      <c r="AB20" s="62" t="n">
        <f aca="false">AVERAGE($E20:$V20)</f>
        <v>43.1758169823935</v>
      </c>
      <c r="AC20" s="62" t="n">
        <f aca="false">AVERAGE($E20:$V20)</f>
        <v>43.1758169823935</v>
      </c>
      <c r="AD20" s="62" t="n">
        <f aca="false">AVERAGE($E20:$V20)</f>
        <v>43.1758169823935</v>
      </c>
      <c r="AE20" s="62" t="n">
        <f aca="false">AVERAGE($E20:$V20)</f>
        <v>43.1758169823935</v>
      </c>
      <c r="AF20" s="62" t="n">
        <f aca="false">AVERAGE($E20:$V20)</f>
        <v>43.1758169823935</v>
      </c>
    </row>
    <row r="21" customFormat="false" ht="14.25" hidden="false" customHeight="true" outlineLevel="0" collapsed="false">
      <c r="A21" s="1" t="s">
        <v>210</v>
      </c>
      <c r="E21" s="63" t="n">
        <f aca="false">(AVERAGE(E8,D8)/('DCF Valuation'!F10-'DCF Valuation'!F13))*90</f>
        <v>84.5521653543307</v>
      </c>
      <c r="F21" s="63" t="n">
        <f aca="false">(AVERAGE(F8,E8)/('DCF Valuation'!G10-'DCF Valuation'!G13))*90</f>
        <v>80.6151832460733</v>
      </c>
      <c r="G21" s="63" t="n">
        <f aca="false">(AVERAGE(G8,F8)/('DCF Valuation'!H10-'DCF Valuation'!H13))*90</f>
        <v>79.1322815533981</v>
      </c>
      <c r="H21" s="63" t="n">
        <f aca="false">(AVERAGE(H8,G8)/('DCF Valuation'!I10-'DCF Valuation'!I13))*90</f>
        <v>82.372304199773</v>
      </c>
      <c r="I21" s="63" t="n">
        <f aca="false">(AVERAGE(I8,H8)/('DCF Valuation'!J10-'DCF Valuation'!J13))*90</f>
        <v>90.8505425271264</v>
      </c>
      <c r="J21" s="63" t="n">
        <f aca="false">(AVERAGE(J8,I8)/('DCF Valuation'!K10-'DCF Valuation'!K13))*90</f>
        <v>83.7529691211401</v>
      </c>
      <c r="K21" s="63" t="n">
        <f aca="false">(AVERAGE(K8,J8)/('DCF Valuation'!L10-'DCF Valuation'!L13))*90</f>
        <v>136.323529411765</v>
      </c>
      <c r="L21" s="63" t="n">
        <f aca="false">(AVERAGE(L8,K8)/('DCF Valuation'!M10-'DCF Valuation'!M13))*90</f>
        <v>195.033814247069</v>
      </c>
      <c r="M21" s="63" t="n">
        <f aca="false">(AVERAGE(M8,L8)/('DCF Valuation'!N10-'DCF Valuation'!N13))*90</f>
        <v>172.818396226415</v>
      </c>
      <c r="N21" s="63" t="n">
        <f aca="false">(AVERAGE(N8,M8)/('DCF Valuation'!O10-'DCF Valuation'!O13))*90</f>
        <v>99.344870210136</v>
      </c>
      <c r="O21" s="63" t="n">
        <f aca="false">(AVERAGE(O8,N8)/('DCF Valuation'!P10-'DCF Valuation'!P13))*90</f>
        <v>86.739406779661</v>
      </c>
      <c r="P21" s="63" t="n">
        <f aca="false">(AVERAGE(P8,O8)/('DCF Valuation'!Q10-'DCF Valuation'!Q13))*90</f>
        <v>85.230609939759</v>
      </c>
      <c r="Q21" s="63" t="n">
        <f aca="false">(AVERAGE(Q8,P8)/('DCF Valuation'!X10-'DCF Valuation'!X13))*90</f>
        <v>41.4433320776917</v>
      </c>
      <c r="R21" s="63" t="n">
        <f aca="false">(AVERAGE(R8,Q8)/('DCF Valuation'!Y10-'DCF Valuation'!Y13))*90</f>
        <v>34.2280468662775</v>
      </c>
      <c r="S21" s="63" t="n">
        <f aca="false">(AVERAGE(S8,R8)/('DCF Valuation'!Z10-'DCF Valuation'!Z13))*90</f>
        <v>36.3699957110093</v>
      </c>
      <c r="T21" s="63" t="n">
        <f aca="false">(AVERAGE(T8,S8)/('DCF Valuation'!AA10-'DCF Valuation'!AA13))*90</f>
        <v>41.0417282116941</v>
      </c>
      <c r="U21" s="63" t="n">
        <f aca="false">(AVERAGE(U8,T8)/('DCF Valuation'!AB10-'DCF Valuation'!AB13))*90</f>
        <v>54.6857580210037</v>
      </c>
      <c r="V21" s="64" t="n">
        <f aca="false">(AVERAGE(V8,U8)/('DCF Valuation'!AC10-'DCF Valuation'!AC13))*90</f>
        <v>60.8164994342686</v>
      </c>
      <c r="W21" s="62" t="n">
        <f aca="false">AVERAGE($E21:$V21)</f>
        <v>85.8528573965884</v>
      </c>
      <c r="X21" s="62" t="n">
        <f aca="false">AVERAGE($E21:$V21)</f>
        <v>85.8528573965884</v>
      </c>
      <c r="Y21" s="62" t="n">
        <f aca="false">AVERAGE($E21:$V21)</f>
        <v>85.8528573965884</v>
      </c>
      <c r="Z21" s="62" t="n">
        <f aca="false">AVERAGE($E21:$V21)</f>
        <v>85.8528573965884</v>
      </c>
      <c r="AA21" s="62" t="n">
        <f aca="false">AVERAGE($E21:$V21)</f>
        <v>85.8528573965884</v>
      </c>
      <c r="AB21" s="62" t="n">
        <f aca="false">AVERAGE($E21:$V21)</f>
        <v>85.8528573965884</v>
      </c>
      <c r="AC21" s="62" t="n">
        <f aca="false">AVERAGE($E21:$V21)</f>
        <v>85.8528573965884</v>
      </c>
      <c r="AD21" s="62" t="n">
        <f aca="false">AVERAGE($E21:$V21)</f>
        <v>85.8528573965884</v>
      </c>
      <c r="AE21" s="62" t="n">
        <f aca="false">AVERAGE($E21:$V21)</f>
        <v>85.8528573965884</v>
      </c>
      <c r="AF21" s="62" t="n">
        <f aca="false">AVERAGE($E21:$V21)</f>
        <v>85.8528573965884</v>
      </c>
    </row>
    <row r="22" customFormat="false" ht="14.25" hidden="false" customHeight="true" outlineLevel="0" collapsed="false">
      <c r="A22" s="1" t="s">
        <v>211</v>
      </c>
      <c r="E22" s="65" t="n">
        <f aca="false">E9/'DCF Valuation'!F10</f>
        <v>0.0784313725490196</v>
      </c>
      <c r="F22" s="65" t="n">
        <f aca="false">F9/'DCF Valuation'!G10</f>
        <v>0.0694636545258952</v>
      </c>
      <c r="G22" s="65" t="n">
        <f aca="false">G9/'DCF Valuation'!H10</f>
        <v>0.0451921723215543</v>
      </c>
      <c r="H22" s="65" t="n">
        <f aca="false">H9/'DCF Valuation'!I10</f>
        <v>0.0478869553840115</v>
      </c>
      <c r="I22" s="65" t="n">
        <f aca="false">I9/'DCF Valuation'!J10</f>
        <v>0.0767374517374517</v>
      </c>
      <c r="J22" s="65" t="n">
        <f aca="false">J9/'DCF Valuation'!K10</f>
        <v>0.175268496420048</v>
      </c>
      <c r="K22" s="65" t="n">
        <f aca="false">K9/'DCF Valuation'!L10</f>
        <v>0.121058843365368</v>
      </c>
      <c r="L22" s="65" t="n">
        <f aca="false">L9/'DCF Valuation'!M10</f>
        <v>0.130722194678566</v>
      </c>
      <c r="M22" s="65" t="n">
        <f aca="false">M9/'DCF Valuation'!N10</f>
        <v>0.121245828698554</v>
      </c>
      <c r="N22" s="65" t="n">
        <f aca="false">N9/'DCF Valuation'!O10</f>
        <v>0.10283556674317</v>
      </c>
      <c r="O22" s="65" t="n">
        <f aca="false">O9/'DCF Valuation'!P10</f>
        <v>0.0711368653421634</v>
      </c>
      <c r="P22" s="65" t="n">
        <f aca="false">P9/'DCF Valuation'!Q10</f>
        <v>0.13934759987332</v>
      </c>
      <c r="Q22" s="65" t="n">
        <f aca="false">Q9/'DCF Valuation'!X10</f>
        <v>0.0795447238295779</v>
      </c>
      <c r="R22" s="65" t="n">
        <f aca="false">R9/'DCF Valuation'!Y10</f>
        <v>0.0729403603612908</v>
      </c>
      <c r="S22" s="65" t="n">
        <f aca="false">S9/'DCF Valuation'!Z10</f>
        <v>0.0631811027257825</v>
      </c>
      <c r="T22" s="65" t="n">
        <f aca="false">T9/'DCF Valuation'!AA10</f>
        <v>0.0584816349909003</v>
      </c>
      <c r="U22" s="65" t="n">
        <f aca="false">U9/'DCF Valuation'!AB10</f>
        <v>0.043597896013007</v>
      </c>
      <c r="V22" s="65" t="n">
        <f aca="false">V9/'DCF Valuation'!AC10</f>
        <v>0.0386451117721903</v>
      </c>
      <c r="W22" s="66" t="n">
        <f aca="false">AVERAGE($E22:$V22)</f>
        <v>0.085317657296215</v>
      </c>
      <c r="X22" s="66" t="n">
        <f aca="false">AVERAGE($E22:$V22)</f>
        <v>0.085317657296215</v>
      </c>
      <c r="Y22" s="66" t="n">
        <f aca="false">AVERAGE($E22:$V22)</f>
        <v>0.085317657296215</v>
      </c>
      <c r="Z22" s="66" t="n">
        <f aca="false">AVERAGE($E22:$V22)</f>
        <v>0.085317657296215</v>
      </c>
      <c r="AA22" s="66" t="n">
        <f aca="false">AVERAGE($E22:$V22)</f>
        <v>0.085317657296215</v>
      </c>
      <c r="AB22" s="66" t="n">
        <f aca="false">AVERAGE($E22:$V22)</f>
        <v>0.085317657296215</v>
      </c>
      <c r="AC22" s="66" t="n">
        <f aca="false">AVERAGE($E22:$V22)</f>
        <v>0.085317657296215</v>
      </c>
      <c r="AD22" s="66" t="n">
        <f aca="false">AVERAGE($E22:$V22)</f>
        <v>0.085317657296215</v>
      </c>
      <c r="AE22" s="66" t="n">
        <f aca="false">AVERAGE($E22:$V22)</f>
        <v>0.085317657296215</v>
      </c>
      <c r="AF22" s="66" t="n">
        <f aca="false">AVERAGE($E22:$V22)</f>
        <v>0.085317657296215</v>
      </c>
    </row>
    <row r="23" customFormat="false" ht="14.25" hidden="false" customHeight="true" outlineLevel="0" collapsed="false">
      <c r="A23" s="1" t="s">
        <v>212</v>
      </c>
      <c r="E23" s="63" t="n">
        <f aca="false">(AVERAGE(E13,D13)/('DCF Valuation'!F10-'DCF Valuation'!F13))*90</f>
        <v>53.570374015748</v>
      </c>
      <c r="F23" s="63" t="n">
        <f aca="false">(AVERAGE(F13,E13)/('DCF Valuation'!G10-'DCF Valuation'!G13))*90</f>
        <v>52.8534031413613</v>
      </c>
      <c r="G23" s="63" t="n">
        <f aca="false">(AVERAGE(G13,F13)/('DCF Valuation'!H10-'DCF Valuation'!H13))*90</f>
        <v>57.123786407767</v>
      </c>
      <c r="H23" s="63" t="n">
        <f aca="false">(AVERAGE(H13,G13)/('DCF Valuation'!I10-'DCF Valuation'!I13))*90</f>
        <v>58.688989784336</v>
      </c>
      <c r="I23" s="63" t="n">
        <f aca="false">(AVERAGE(I13,H13)/('DCF Valuation'!J10-'DCF Valuation'!J13))*90</f>
        <v>59.5694784739237</v>
      </c>
      <c r="J23" s="63" t="n">
        <f aca="false">(AVERAGE(J13,I13)/('DCF Valuation'!K10-'DCF Valuation'!K13))*90</f>
        <v>52.4940617577197</v>
      </c>
      <c r="K23" s="63" t="n">
        <f aca="false">(AVERAGE(K13,J13)/('DCF Valuation'!L10-'DCF Valuation'!L13))*90</f>
        <v>63.921568627451</v>
      </c>
      <c r="L23" s="63" t="n">
        <f aca="false">(AVERAGE(L13,K13)/('DCF Valuation'!M10-'DCF Valuation'!M13))*90</f>
        <v>54.4544634806132</v>
      </c>
      <c r="M23" s="63" t="n">
        <f aca="false">(AVERAGE(M13,L13)/('DCF Valuation'!N10-'DCF Valuation'!N13))*90</f>
        <v>41.2853773584906</v>
      </c>
      <c r="N23" s="63" t="n">
        <f aca="false">(AVERAGE(N13,M13)/('DCF Valuation'!O10-'DCF Valuation'!O13))*90</f>
        <v>34.1532756489493</v>
      </c>
      <c r="O23" s="63" t="n">
        <f aca="false">(AVERAGE(O13,N13)/('DCF Valuation'!P10-'DCF Valuation'!P13))*90</f>
        <v>41.0815677966102</v>
      </c>
      <c r="P23" s="63" t="n">
        <f aca="false">(AVERAGE(P13,O13)/('DCF Valuation'!Q10-'DCF Valuation'!Q13))*90</f>
        <v>43.0261671686747</v>
      </c>
      <c r="Q23" s="63" t="n">
        <f aca="false">(AVERAGE(Q13,P13)/('DCF Valuation'!X10-'DCF Valuation'!X13))*90</f>
        <v>20.1304683176586</v>
      </c>
      <c r="R23" s="63" t="n">
        <f aca="false">(AVERAGE(R13,Q13)/('DCF Valuation'!Y10-'DCF Valuation'!Y13))*90</f>
        <v>17.4566041717716</v>
      </c>
      <c r="S23" s="63" t="n">
        <f aca="false">(AVERAGE(S13,R13)/('DCF Valuation'!Z10-'DCF Valuation'!Z13))*90</f>
        <v>22.927641235086</v>
      </c>
      <c r="T23" s="63" t="n">
        <f aca="false">(AVERAGE(T13,S13)/('DCF Valuation'!AA10-'DCF Valuation'!AA13))*90</f>
        <v>26.9916361865901</v>
      </c>
      <c r="U23" s="63" t="n">
        <f aca="false">(AVERAGE(U13,T13)/('DCF Valuation'!AB10-'DCF Valuation'!AB13))*90</f>
        <v>34.8371748547383</v>
      </c>
      <c r="V23" s="63" t="n">
        <f aca="false">(AVERAGE(V13,U13)/('DCF Valuation'!AC10-'DCF Valuation'!AC13))*90</f>
        <v>37.9192435149205</v>
      </c>
      <c r="W23" s="62" t="n">
        <f aca="false">AVERAGE($E23:$V23)</f>
        <v>42.9158489968005</v>
      </c>
      <c r="X23" s="62" t="n">
        <f aca="false">AVERAGE($E23:$V23)</f>
        <v>42.9158489968005</v>
      </c>
      <c r="Y23" s="62" t="n">
        <f aca="false">AVERAGE($E23:$V23)</f>
        <v>42.9158489968005</v>
      </c>
      <c r="Z23" s="62" t="n">
        <f aca="false">AVERAGE($E23:$V23)</f>
        <v>42.9158489968005</v>
      </c>
      <c r="AA23" s="62" t="n">
        <f aca="false">AVERAGE($E23:$V23)</f>
        <v>42.9158489968005</v>
      </c>
      <c r="AB23" s="62" t="n">
        <f aca="false">AVERAGE($E23:$V23)</f>
        <v>42.9158489968005</v>
      </c>
      <c r="AC23" s="62" t="n">
        <f aca="false">AVERAGE($E23:$V23)</f>
        <v>42.9158489968005</v>
      </c>
      <c r="AD23" s="62" t="n">
        <f aca="false">AVERAGE($E23:$V23)</f>
        <v>42.9158489968005</v>
      </c>
      <c r="AE23" s="62" t="n">
        <f aca="false">AVERAGE($E23:$V23)</f>
        <v>42.9158489968005</v>
      </c>
      <c r="AF23" s="62" t="n">
        <f aca="false">AVERAGE($E23:$V23)</f>
        <v>42.9158489968005</v>
      </c>
    </row>
    <row r="24" customFormat="false" ht="14.25" hidden="false" customHeight="true" outlineLevel="0" collapsed="false">
      <c r="A24" s="1" t="s">
        <v>206</v>
      </c>
      <c r="E24" s="65" t="n">
        <f aca="false">E14/'Income Statement'!B17</f>
        <v>1.0830303030303</v>
      </c>
      <c r="F24" s="65" t="n">
        <f aca="false">F14/'Income Statement'!C17</f>
        <v>1.17991631799163</v>
      </c>
      <c r="G24" s="65" t="n">
        <f aca="false">G14/'Income Statement'!D17</f>
        <v>1.09994353472614</v>
      </c>
      <c r="H24" s="65" t="n">
        <f aca="false">H14/'Income Statement'!E17</f>
        <v>1.30204081632653</v>
      </c>
      <c r="I24" s="65" t="n">
        <f aca="false">I14/'Income Statement'!F17</f>
        <v>1.7551724137931</v>
      </c>
      <c r="J24" s="65" t="n">
        <f aca="false">J14/'Income Statement'!G17</f>
        <v>1.09542520348021</v>
      </c>
      <c r="K24" s="65" t="n">
        <f aca="false">K14/'Income Statement'!H17</f>
        <v>1.70322847682119</v>
      </c>
      <c r="L24" s="65" t="n">
        <f aca="false">L14/'Income Statement'!I17</f>
        <v>1.59937888198758</v>
      </c>
      <c r="M24" s="65" t="n">
        <f aca="false">M14/'Income Statement'!J17</f>
        <v>1.88940628637951</v>
      </c>
      <c r="N24" s="65" t="n">
        <f aca="false">N14/'Income Statement'!K17</f>
        <v>2.85326953748006</v>
      </c>
      <c r="O24" s="65" t="n">
        <f aca="false">O14/'Income Statement'!L17</f>
        <v>2.05559729526672</v>
      </c>
      <c r="P24" s="65" t="n">
        <f aca="false">P14/'Income Statement'!M17</f>
        <v>2.24002681863895</v>
      </c>
      <c r="Q24" s="65" t="n">
        <f aca="false">Q14/'Income Statement'!N17</f>
        <v>3.54471032745592</v>
      </c>
      <c r="R24" s="65" t="n">
        <f aca="false">R14/'Income Statement'!O17</f>
        <v>2.94223620245925</v>
      </c>
      <c r="S24" s="65" t="n">
        <f aca="false">S14/'Income Statement'!P17</f>
        <v>2.82960325534079</v>
      </c>
      <c r="T24" s="65" t="n">
        <f aca="false">T14/'Income Statement'!Q17</f>
        <v>2.73781198973641</v>
      </c>
      <c r="U24" s="65" t="n">
        <f aca="false">U14/'Income Statement'!R17</f>
        <v>4.09703561526978</v>
      </c>
      <c r="V24" s="65" t="n">
        <f aca="false">V14/'Income Statement'!S17</f>
        <v>3.02047713717694</v>
      </c>
      <c r="W24" s="66" t="n">
        <f aca="false">AVERAGE($E24:$V24)</f>
        <v>2.16823946740895</v>
      </c>
      <c r="X24" s="66" t="n">
        <f aca="false">AVERAGE($E24:$V24)</f>
        <v>2.16823946740895</v>
      </c>
      <c r="Y24" s="66" t="n">
        <f aca="false">AVERAGE($E24:$V24)</f>
        <v>2.16823946740895</v>
      </c>
      <c r="Z24" s="66" t="n">
        <f aca="false">AVERAGE($E24:$V24)</f>
        <v>2.16823946740895</v>
      </c>
      <c r="AA24" s="66" t="n">
        <f aca="false">AVERAGE($E24:$V24)</f>
        <v>2.16823946740895</v>
      </c>
      <c r="AB24" s="66" t="n">
        <f aca="false">AVERAGE($E24:$V24)</f>
        <v>2.16823946740895</v>
      </c>
      <c r="AC24" s="66" t="n">
        <f aca="false">AVERAGE($E24:$V24)</f>
        <v>2.16823946740895</v>
      </c>
      <c r="AD24" s="66" t="n">
        <f aca="false">AVERAGE($E24:$V24)</f>
        <v>2.16823946740895</v>
      </c>
      <c r="AE24" s="66" t="n">
        <f aca="false">AVERAGE($E24:$V24)</f>
        <v>2.16823946740895</v>
      </c>
      <c r="AF24" s="66" t="n">
        <f aca="false">AVERAGE($E24:$V24)</f>
        <v>2.16823946740895</v>
      </c>
    </row>
    <row r="25" customFormat="false" ht="14.25" hidden="false" customHeight="true" outlineLevel="0" collapsed="false">
      <c r="A25" s="1" t="s">
        <v>213</v>
      </c>
      <c r="W25" s="67"/>
      <c r="X25" s="67"/>
      <c r="Y25" s="67"/>
      <c r="Z25" s="67"/>
      <c r="AA25" s="67"/>
      <c r="AB25" s="67"/>
      <c r="AC25" s="67"/>
      <c r="AD25" s="67"/>
      <c r="AE25" s="67"/>
      <c r="AF25" s="67"/>
    </row>
    <row r="26" customFormat="false" ht="14.25" hidden="false" customHeight="true" outlineLevel="0" collapsed="false">
      <c r="A26" s="1" t="s">
        <v>214</v>
      </c>
      <c r="E26" s="61" t="n">
        <f aca="false">E21+E20-E23</f>
        <v>74.3283732145763</v>
      </c>
      <c r="F26" s="61" t="n">
        <f aca="false">F21+F20-F23</f>
        <v>73.4740899249057</v>
      </c>
      <c r="G26" s="61" t="n">
        <f aca="false">G21+G20-G23</f>
        <v>69.7770436462646</v>
      </c>
      <c r="H26" s="61" t="n">
        <f aca="false">H21+H20-H23</f>
        <v>74.3414329552774</v>
      </c>
      <c r="I26" s="61" t="n">
        <f aca="false">I21+I20-I23</f>
        <v>86.0542300763687</v>
      </c>
      <c r="J26" s="61" t="n">
        <f aca="false">J21+J20-J23</f>
        <v>103.450882303755</v>
      </c>
      <c r="K26" s="61" t="n">
        <f aca="false">K21+K20-K23</f>
        <v>149.981626945164</v>
      </c>
      <c r="L26" s="61" t="n">
        <f aca="false">L21+L20-L23</f>
        <v>205.539687900814</v>
      </c>
      <c r="M26" s="61" t="n">
        <f aca="false">M21+M20-M23</f>
        <v>181.006739668814</v>
      </c>
      <c r="N26" s="61" t="n">
        <f aca="false">N21+N20-N23</f>
        <v>102.325673187084</v>
      </c>
      <c r="O26" s="61" t="n">
        <f aca="false">O21+O20-O23</f>
        <v>83.8407860029184</v>
      </c>
      <c r="P26" s="61" t="n">
        <f aca="false">P21+P20-P23</f>
        <v>79.4781160281083</v>
      </c>
      <c r="Q26" s="61" t="n">
        <f aca="false">Q21+Q20-Q23</f>
        <v>41.0204509504838</v>
      </c>
      <c r="R26" s="61" t="n">
        <f aca="false">R21+R20-R23</f>
        <v>38.3739098535199</v>
      </c>
      <c r="S26" s="61" t="n">
        <f aca="false">S21+S20-S23</f>
        <v>37.2161949228916</v>
      </c>
      <c r="T26" s="61" t="n">
        <f aca="false">T21+T20-T23</f>
        <v>42.4939402227068</v>
      </c>
      <c r="U26" s="61" t="n">
        <f aca="false">U21+U20-U23</f>
        <v>51.7565481804772</v>
      </c>
      <c r="V26" s="61" t="n">
        <f aca="false">V21+V20-V23</f>
        <v>55.5711308951356</v>
      </c>
      <c r="W26" s="62" t="n">
        <f aca="false">AVERAGE($E26:$V26)</f>
        <v>86.1128253821814</v>
      </c>
      <c r="X26" s="62" t="n">
        <f aca="false">AVERAGE($E26:$V26)</f>
        <v>86.1128253821814</v>
      </c>
      <c r="Y26" s="62" t="n">
        <f aca="false">AVERAGE($E26:$V26)</f>
        <v>86.1128253821814</v>
      </c>
      <c r="Z26" s="62" t="n">
        <f aca="false">AVERAGE($E26:$V26)</f>
        <v>86.1128253821814</v>
      </c>
      <c r="AA26" s="62" t="n">
        <f aca="false">AVERAGE($E26:$V26)</f>
        <v>86.1128253821814</v>
      </c>
      <c r="AB26" s="62" t="n">
        <f aca="false">AVERAGE($E26:$V26)</f>
        <v>86.1128253821814</v>
      </c>
      <c r="AC26" s="62" t="n">
        <f aca="false">AVERAGE($E26:$V26)</f>
        <v>86.1128253821814</v>
      </c>
      <c r="AD26" s="62" t="n">
        <f aca="false">AVERAGE($E26:$V26)</f>
        <v>86.1128253821814</v>
      </c>
      <c r="AE26" s="62" t="n">
        <f aca="false">AVERAGE($E26:$V26)</f>
        <v>86.1128253821814</v>
      </c>
      <c r="AF26" s="62" t="n">
        <f aca="false">AVERAGE($E26:$V26)</f>
        <v>86.1128253821814</v>
      </c>
    </row>
  </sheetData>
  <mergeCells count="2">
    <mergeCell ref="D4:V4"/>
    <mergeCell ref="W4:AF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
  <sheetViews>
    <sheetView showFormulas="false" showGridLines="false" showRowColHeaders="true" showZeros="true" rightToLeft="false" tabSelected="false" showOutlineSymbols="true" defaultGridColor="true" view="normal" topLeftCell="A1" colorId="64" zoomScale="66" zoomScaleNormal="66" zoomScalePageLayoutView="100" workbookViewId="0">
      <selection pane="topLeft" activeCell="P21" activeCellId="0" sqref="P21"/>
    </sheetView>
  </sheetViews>
  <sheetFormatPr defaultColWidth="8.6796875" defaultRowHeight="14.25" zeroHeight="false" outlineLevelRow="0" outlineLevelCol="0"/>
  <cols>
    <col collapsed="false" customWidth="true" hidden="false" outlineLevel="0" max="2" min="2" style="1" width="9.26"/>
    <col collapsed="false" customWidth="true" hidden="false" outlineLevel="0" max="3" min="3" style="1" width="11.58"/>
    <col collapsed="false" customWidth="true" hidden="false" outlineLevel="0" max="31" min="4" style="1" width="8.4"/>
    <col collapsed="false" customWidth="true" hidden="false" outlineLevel="0" max="32" min="32" style="1" width="7.88"/>
  </cols>
  <sheetData>
    <row r="1" customFormat="false" ht="11.25" hidden="false" customHeight="true" outlineLevel="0" collapsed="false">
      <c r="S1" s="51"/>
    </row>
    <row r="2" customFormat="false" ht="19.5" hidden="false" customHeight="true" outlineLevel="0" collapsed="false">
      <c r="A2" s="17" t="s">
        <v>215</v>
      </c>
      <c r="B2" s="18"/>
      <c r="C2" s="18"/>
      <c r="D2" s="18"/>
      <c r="E2" s="18"/>
      <c r="L2" s="19"/>
      <c r="M2" s="19"/>
      <c r="N2" s="19"/>
      <c r="O2" s="20"/>
      <c r="P2" s="20"/>
      <c r="Q2" s="20"/>
      <c r="R2" s="20"/>
      <c r="S2" s="20"/>
    </row>
    <row r="4" customFormat="false" ht="14.25" hidden="false" customHeight="true" outlineLevel="0" collapsed="false">
      <c r="A4" s="28"/>
      <c r="D4" s="56" t="s">
        <v>197</v>
      </c>
      <c r="E4" s="56"/>
      <c r="F4" s="56"/>
      <c r="G4" s="56"/>
      <c r="H4" s="56"/>
      <c r="I4" s="56"/>
      <c r="J4" s="56"/>
      <c r="K4" s="56"/>
      <c r="L4" s="56"/>
      <c r="M4" s="56"/>
      <c r="N4" s="56"/>
      <c r="O4" s="56"/>
      <c r="P4" s="56"/>
      <c r="Q4" s="56"/>
      <c r="R4" s="56"/>
      <c r="S4" s="56"/>
      <c r="T4" s="56"/>
      <c r="U4" s="56"/>
      <c r="V4" s="56" t="s">
        <v>198</v>
      </c>
      <c r="W4" s="56"/>
      <c r="X4" s="56"/>
      <c r="Y4" s="56"/>
      <c r="Z4" s="56"/>
      <c r="AA4" s="56"/>
      <c r="AB4" s="56"/>
      <c r="AC4" s="56"/>
      <c r="AD4" s="56"/>
      <c r="AE4" s="56"/>
    </row>
    <row r="5" customFormat="false" ht="14.25" hidden="false" customHeight="true" outlineLevel="0" collapsed="false">
      <c r="A5" s="28" t="s">
        <v>199</v>
      </c>
      <c r="D5" s="57" t="s">
        <v>53</v>
      </c>
      <c r="E5" s="57" t="str">
        <f aca="false">IF(MID(D5,2,1)="4","Q1 "&amp;RIGHT(D5,4)+1, "Q"&amp;MID(D5,2,1)+1&amp;" "&amp;RIGHT(D5,4))</f>
        <v>Q2 2022</v>
      </c>
      <c r="F5" s="57" t="str">
        <f aca="false">IF(MID(E5,2,1)="4","Q1 "&amp;RIGHT(E5,4)+1, "Q"&amp;MID(E5,2,1)+1&amp;" "&amp;RIGHT(E5,4))</f>
        <v>Q3 2022</v>
      </c>
      <c r="G5" s="57" t="str">
        <f aca="false">IF(MID(F5,2,1)="4","Q1 "&amp;RIGHT(F5,4)+1, "Q"&amp;MID(F5,2,1)+1&amp;" "&amp;RIGHT(F5,4))</f>
        <v>Q4 2022</v>
      </c>
      <c r="H5" s="57" t="str">
        <f aca="false">IF(MID(G5,2,1)="4","Q1 "&amp;RIGHT(G5,4)+1, "Q"&amp;MID(G5,2,1)+1&amp;" "&amp;RIGHT(G5,4))</f>
        <v>Q1 2023</v>
      </c>
      <c r="I5" s="57" t="str">
        <f aca="false">IF(MID(H5,2,1)="4","Q1 "&amp;RIGHT(H5,4)+1, "Q"&amp;MID(H5,2,1)+1&amp;" "&amp;RIGHT(H5,4))</f>
        <v>Q2 2023</v>
      </c>
      <c r="J5" s="57" t="str">
        <f aca="false">IF(MID(I5,2,1)="4","Q1 "&amp;RIGHT(I5,4)+1, "Q"&amp;MID(I5,2,1)+1&amp;" "&amp;RIGHT(I5,4))</f>
        <v>Q3 2023</v>
      </c>
      <c r="K5" s="57" t="str">
        <f aca="false">IF(MID(J5,2,1)="4","Q1 "&amp;RIGHT(J5,4)+1, "Q"&amp;MID(J5,2,1)+1&amp;" "&amp;RIGHT(J5,4))</f>
        <v>Q4 2023</v>
      </c>
      <c r="L5" s="57" t="str">
        <f aca="false">IF(MID(K5,2,1)="4","Q1 "&amp;RIGHT(K5,4)+1, "Q"&amp;MID(K5,2,1)+1&amp;" "&amp;RIGHT(K5,4))</f>
        <v>Q1 2024</v>
      </c>
      <c r="M5" s="57" t="str">
        <f aca="false">IF(MID(L5,2,1)="4","Q1 "&amp;RIGHT(L5,4)+1, "Q"&amp;MID(L5,2,1)+1&amp;" "&amp;RIGHT(L5,4))</f>
        <v>Q2 2024</v>
      </c>
      <c r="N5" s="57" t="str">
        <f aca="false">IF(MID(M5,2,1)="4","Q1 "&amp;RIGHT(M5,4)+1, "Q"&amp;MID(M5,2,1)+1&amp;" "&amp;RIGHT(M5,4))</f>
        <v>Q3 2024</v>
      </c>
      <c r="O5" s="57" t="str">
        <f aca="false">IF(MID(N5,2,1)="4","Q1 "&amp;RIGHT(N5,4)+1, "Q"&amp;MID(N5,2,1)+1&amp;" "&amp;RIGHT(N5,4))</f>
        <v>Q4 2024</v>
      </c>
      <c r="P5" s="57" t="str">
        <f aca="false">IF(MID(O5,2,1)="4","Q1 "&amp;RIGHT(O5,4)+1, "Q"&amp;MID(O5,2,1)+1&amp;" "&amp;RIGHT(O5,4))</f>
        <v>Q1 2025</v>
      </c>
      <c r="Q5" s="57" t="str">
        <f aca="false">IF(MID(P5,2,1)="4","Q1 "&amp;RIGHT(P5,4)+1, "Q"&amp;MID(P5,2,1)+1&amp;" "&amp;RIGHT(P5,4))</f>
        <v>Q2 2025</v>
      </c>
      <c r="R5" s="57" t="str">
        <f aca="false">IF(MID(Q5,2,1)="4","Q1 "&amp;RIGHT(Q5,4)+1, "Q"&amp;MID(Q5,2,1)+1&amp;" "&amp;RIGHT(Q5,4))</f>
        <v>Q3 2025</v>
      </c>
      <c r="S5" s="57" t="str">
        <f aca="false">IF(MID(R5,2,1)="4","Q1 "&amp;RIGHT(R5,4)+1, "Q"&amp;MID(R5,2,1)+1&amp;" "&amp;RIGHT(R5,4))</f>
        <v>Q4 2025</v>
      </c>
      <c r="T5" s="57" t="str">
        <f aca="false">IF(MID(S5,2,1)="4","Q1 "&amp;RIGHT(S5,4)+1, "Q"&amp;MID(S5,2,1)+1&amp;" "&amp;RIGHT(S5,4))</f>
        <v>Q1 2026</v>
      </c>
      <c r="U5" s="57" t="str">
        <f aca="false">IF(MID(T5,2,1)="4","Q1 "&amp;RIGHT(T5,4)+1, "Q"&amp;MID(T5,2,1)+1&amp;" "&amp;RIGHT(T5,4))</f>
        <v>Q2 2026</v>
      </c>
      <c r="V5" s="58" t="str">
        <f aca="false">IF(MID(U5,2,1)="4","Q1 "&amp;RIGHT(U5,4)+1, "Q"&amp;MID(U5,2,1)+1&amp;" "&amp;RIGHT(U5,4))</f>
        <v>Q3 2026</v>
      </c>
      <c r="W5" s="58" t="str">
        <f aca="false">IF(MID(V5,2,1)="4","Q1 "&amp;RIGHT(V5,4)+1, "Q"&amp;MID(V5,2,1)+1&amp;" "&amp;RIGHT(V5,4))</f>
        <v>Q4 2026</v>
      </c>
      <c r="X5" s="58" t="str">
        <f aca="false">IF(MID(W5,2,1)="4","Q1 "&amp;RIGHT(W5,4)+1, "Q"&amp;MID(W5,2,1)+1&amp;" "&amp;RIGHT(W5,4))</f>
        <v>Q1 2027</v>
      </c>
      <c r="Y5" s="58" t="str">
        <f aca="false">IF(MID(X5,2,1)="4","Q1 "&amp;RIGHT(X5,4)+1, "Q"&amp;MID(X5,2,1)+1&amp;" "&amp;RIGHT(X5,4))</f>
        <v>Q2 2027</v>
      </c>
      <c r="Z5" s="58" t="str">
        <f aca="false">IF(MID(Y5,2,1)="4","Q1 "&amp;RIGHT(Y5,4)+1, "Q"&amp;MID(Y5,2,1)+1&amp;" "&amp;RIGHT(Y5,4))</f>
        <v>Q3 2027</v>
      </c>
      <c r="AA5" s="58" t="str">
        <f aca="false">IF(MID(Z5,2,1)="4","Q1 "&amp;RIGHT(Z5,4)+1, "Q"&amp;MID(Z5,2,1)+1&amp;" "&amp;RIGHT(Z5,4))</f>
        <v>Q4 2027</v>
      </c>
      <c r="AB5" s="58" t="str">
        <f aca="false">IF(MID(AA5,2,1)="4","Q1 "&amp;RIGHT(AA5,4)+1, "Q"&amp;MID(AA5,2,1)+1&amp;" "&amp;RIGHT(AA5,4))</f>
        <v>Q1 2028</v>
      </c>
      <c r="AC5" s="58" t="str">
        <f aca="false">IF(MID(AB5,2,1)="4","Q1 "&amp;RIGHT(AB5,4)+1, "Q"&amp;MID(AB5,2,1)+1&amp;" "&amp;RIGHT(AB5,4))</f>
        <v>Q2 2028</v>
      </c>
      <c r="AD5" s="58" t="str">
        <f aca="false">IF(MID(AC5,2,1)="4","Q1 "&amp;RIGHT(AC5,4)+1, "Q"&amp;MID(AC5,2,1)+1&amp;" "&amp;RIGHT(AC5,4))</f>
        <v>Q3 2028</v>
      </c>
      <c r="AE5" s="58" t="str">
        <f aca="false">IF(MID(AD5,2,1)="4","Q1 "&amp;RIGHT(AD5,4)+1, "Q"&amp;MID(AD5,2,1)+1&amp;" "&amp;RIGHT(AD5,4))</f>
        <v>Q4 2028</v>
      </c>
    </row>
    <row r="6" customFormat="false" ht="14.25" hidden="false" customHeight="true" outlineLevel="0" collapsed="false">
      <c r="A6" s="1" t="s">
        <v>216</v>
      </c>
      <c r="D6" s="68" t="n">
        <f aca="false">'Balance Sheet'!B29+'Balance Sheet'!B31</f>
        <v>6963</v>
      </c>
      <c r="E6" s="68" t="n">
        <f aca="false">'Balance Sheet'!C29+'Balance Sheet'!C31</f>
        <v>6963</v>
      </c>
      <c r="F6" s="68" t="n">
        <f aca="false">'Balance Sheet'!D29+'Balance Sheet'!D31</f>
        <v>11943</v>
      </c>
      <c r="G6" s="68" t="n">
        <f aca="false">'Balance Sheet'!E29+'Balance Sheet'!E31</f>
        <v>10944</v>
      </c>
      <c r="H6" s="68" t="n">
        <f aca="false">'Balance Sheet'!F29+'Balance Sheet'!F31</f>
        <v>10946</v>
      </c>
      <c r="I6" s="68" t="n">
        <f aca="false">'Balance Sheet'!G29+'Balance Sheet'!G31</f>
        <v>10947</v>
      </c>
      <c r="J6" s="68" t="n">
        <f aca="false">'Balance Sheet'!H29+'Balance Sheet'!H31</f>
        <v>10949</v>
      </c>
      <c r="K6" s="68" t="n">
        <f aca="false">'Balance Sheet'!I29+'Balance Sheet'!I31</f>
        <v>10950</v>
      </c>
      <c r="L6" s="68" t="n">
        <f aca="false">'Balance Sheet'!J29+'Balance Sheet'!J31</f>
        <v>10953</v>
      </c>
      <c r="M6" s="68" t="n">
        <f aca="false">'Balance Sheet'!K29+'Balance Sheet'!K31</f>
        <v>10954</v>
      </c>
      <c r="N6" s="68" t="n">
        <f aca="false">'Balance Sheet'!L29+'Balance Sheet'!L31</f>
        <v>9705</v>
      </c>
      <c r="O6" s="68" t="n">
        <f aca="false">'Balance Sheet'!M29+'Balance Sheet'!M31</f>
        <v>9706</v>
      </c>
      <c r="P6" s="68" t="n">
        <f aca="false">'Balance Sheet'!N29+'Balance Sheet'!N31</f>
        <v>9709</v>
      </c>
      <c r="Q6" s="68" t="n">
        <f aca="false">'Balance Sheet'!O29+'Balance Sheet'!O31</f>
        <v>9710</v>
      </c>
      <c r="R6" s="68" t="n">
        <f aca="false">'Balance Sheet'!P29+'Balance Sheet'!P31</f>
        <v>8461</v>
      </c>
      <c r="S6" s="68" t="n">
        <f aca="false">'Balance Sheet'!Q29+'Balance Sheet'!Q31</f>
        <v>8462</v>
      </c>
      <c r="T6" s="68" t="n">
        <f aca="false">'Balance Sheet'!R29+'Balance Sheet'!R31</f>
        <v>8463</v>
      </c>
      <c r="U6" s="68" t="n">
        <f aca="false">'Balance Sheet'!S29+'Balance Sheet'!S31</f>
        <v>8464</v>
      </c>
      <c r="V6" s="69" t="n">
        <f aca="false">U8</f>
        <v>8466</v>
      </c>
      <c r="W6" s="69" t="n">
        <f aca="false">V8</f>
        <v>8467</v>
      </c>
      <c r="X6" s="69" t="n">
        <f aca="false">W8</f>
        <v>7218</v>
      </c>
      <c r="Y6" s="69" t="n">
        <f aca="false">X8</f>
        <v>7219</v>
      </c>
      <c r="Z6" s="69" t="n">
        <f aca="false">Y8</f>
        <v>7220</v>
      </c>
      <c r="AA6" s="69" t="n">
        <f aca="false">Z8</f>
        <v>7221</v>
      </c>
      <c r="AB6" s="69" t="n">
        <f aca="false">AA8</f>
        <v>7222</v>
      </c>
      <c r="AC6" s="69" t="n">
        <f aca="false">AB8</f>
        <v>7223</v>
      </c>
      <c r="AD6" s="69" t="n">
        <f aca="false">AC8</f>
        <v>7224</v>
      </c>
      <c r="AE6" s="69" t="n">
        <f aca="false">AD8</f>
        <v>7225</v>
      </c>
    </row>
    <row r="7" customFormat="false" ht="14.25" hidden="false" customHeight="true" outlineLevel="0" collapsed="false">
      <c r="A7" s="70" t="s">
        <v>217</v>
      </c>
      <c r="B7" s="70"/>
      <c r="C7" s="70"/>
      <c r="D7" s="68" t="n">
        <f aca="false">D8-D6</f>
        <v>0</v>
      </c>
      <c r="E7" s="68" t="n">
        <f aca="false">E8-E6</f>
        <v>4980</v>
      </c>
      <c r="F7" s="68" t="n">
        <f aca="false">F8-F6</f>
        <v>-999</v>
      </c>
      <c r="G7" s="68" t="n">
        <f aca="false">G8-G6</f>
        <v>2</v>
      </c>
      <c r="H7" s="68" t="n">
        <f aca="false">H8-H6</f>
        <v>1</v>
      </c>
      <c r="I7" s="68" t="n">
        <f aca="false">I8-I6</f>
        <v>2</v>
      </c>
      <c r="J7" s="68" t="n">
        <f aca="false">J8-J6</f>
        <v>1</v>
      </c>
      <c r="K7" s="68" t="n">
        <f aca="false">K8-K6</f>
        <v>3</v>
      </c>
      <c r="L7" s="68" t="n">
        <f aca="false">L8-L6</f>
        <v>1</v>
      </c>
      <c r="M7" s="68" t="n">
        <f aca="false">M8-M6</f>
        <v>-1249</v>
      </c>
      <c r="N7" s="68" t="n">
        <f aca="false">N8-N6</f>
        <v>1</v>
      </c>
      <c r="O7" s="68" t="n">
        <f aca="false">O8-O6</f>
        <v>3</v>
      </c>
      <c r="P7" s="68" t="n">
        <f aca="false">P8-P6</f>
        <v>1</v>
      </c>
      <c r="Q7" s="68" t="n">
        <f aca="false">Q8-Q6</f>
        <v>-1249</v>
      </c>
      <c r="R7" s="68" t="n">
        <f aca="false">R8-R6</f>
        <v>1</v>
      </c>
      <c r="S7" s="68" t="n">
        <f aca="false">S8-S6</f>
        <v>1</v>
      </c>
      <c r="T7" s="68" t="n">
        <f aca="false">T8-T6</f>
        <v>1</v>
      </c>
      <c r="U7" s="68" t="n">
        <f aca="false">U8-U6</f>
        <v>2</v>
      </c>
      <c r="V7" s="71" t="n">
        <v>1</v>
      </c>
      <c r="W7" s="69" t="n">
        <v>-1249</v>
      </c>
      <c r="X7" s="71" t="n">
        <v>1</v>
      </c>
      <c r="Y7" s="69" t="n">
        <v>1</v>
      </c>
      <c r="Z7" s="71" t="n">
        <v>1</v>
      </c>
      <c r="AA7" s="71" t="n">
        <v>1</v>
      </c>
      <c r="AB7" s="71" t="n">
        <v>1</v>
      </c>
      <c r="AC7" s="71" t="n">
        <v>1</v>
      </c>
      <c r="AD7" s="71" t="n">
        <v>1</v>
      </c>
      <c r="AE7" s="71" t="n">
        <v>1</v>
      </c>
    </row>
    <row r="8" customFormat="false" ht="14.25" hidden="false" customHeight="true" outlineLevel="0" collapsed="false">
      <c r="A8" s="39" t="s">
        <v>218</v>
      </c>
      <c r="B8" s="51"/>
      <c r="C8" s="72" t="n">
        <f aca="false">'Balance Sheet'!B29+'Balance Sheet'!B31</f>
        <v>6963</v>
      </c>
      <c r="D8" s="73" t="n">
        <f aca="false">'Balance Sheet'!C29+'Balance Sheet'!C31</f>
        <v>6963</v>
      </c>
      <c r="E8" s="73" t="n">
        <f aca="false">'Balance Sheet'!D29+'Balance Sheet'!D31</f>
        <v>11943</v>
      </c>
      <c r="F8" s="73" t="n">
        <f aca="false">'Balance Sheet'!E29+'Balance Sheet'!E31</f>
        <v>10944</v>
      </c>
      <c r="G8" s="73" t="n">
        <f aca="false">'Balance Sheet'!F29+'Balance Sheet'!F31</f>
        <v>10946</v>
      </c>
      <c r="H8" s="73" t="n">
        <f aca="false">'Balance Sheet'!G29+'Balance Sheet'!G31</f>
        <v>10947</v>
      </c>
      <c r="I8" s="73" t="n">
        <f aca="false">'Balance Sheet'!H29+'Balance Sheet'!H31</f>
        <v>10949</v>
      </c>
      <c r="J8" s="73" t="n">
        <f aca="false">'Balance Sheet'!I29+'Balance Sheet'!I31</f>
        <v>10950</v>
      </c>
      <c r="K8" s="73" t="n">
        <f aca="false">'Balance Sheet'!J29+'Balance Sheet'!J31</f>
        <v>10953</v>
      </c>
      <c r="L8" s="73" t="n">
        <f aca="false">'Balance Sheet'!K29+'Balance Sheet'!K31</f>
        <v>10954</v>
      </c>
      <c r="M8" s="73" t="n">
        <f aca="false">'Balance Sheet'!L29+'Balance Sheet'!L31</f>
        <v>9705</v>
      </c>
      <c r="N8" s="73" t="n">
        <f aca="false">'Balance Sheet'!M29+'Balance Sheet'!M31</f>
        <v>9706</v>
      </c>
      <c r="O8" s="73" t="n">
        <f aca="false">'Balance Sheet'!N29+'Balance Sheet'!N31</f>
        <v>9709</v>
      </c>
      <c r="P8" s="73" t="n">
        <f aca="false">'Balance Sheet'!O29+'Balance Sheet'!O31</f>
        <v>9710</v>
      </c>
      <c r="Q8" s="73" t="n">
        <f aca="false">'Balance Sheet'!P29+'Balance Sheet'!P31</f>
        <v>8461</v>
      </c>
      <c r="R8" s="73" t="n">
        <f aca="false">'Balance Sheet'!Q29+'Balance Sheet'!Q31</f>
        <v>8462</v>
      </c>
      <c r="S8" s="73" t="n">
        <f aca="false">'Balance Sheet'!R29+'Balance Sheet'!R31</f>
        <v>8463</v>
      </c>
      <c r="T8" s="73" t="n">
        <f aca="false">'Balance Sheet'!S29+'Balance Sheet'!S31</f>
        <v>8464</v>
      </c>
      <c r="U8" s="73" t="n">
        <f aca="false">'Balance Sheet'!T29+'Balance Sheet'!T31</f>
        <v>8466</v>
      </c>
      <c r="V8" s="74" t="n">
        <f aca="false">V6+V7</f>
        <v>8467</v>
      </c>
      <c r="W8" s="74" t="n">
        <f aca="false">W6+W7</f>
        <v>7218</v>
      </c>
      <c r="X8" s="74" t="n">
        <f aca="false">X6+X7</f>
        <v>7219</v>
      </c>
      <c r="Y8" s="74" t="n">
        <f aca="false">Y6+Y7</f>
        <v>7220</v>
      </c>
      <c r="Z8" s="74" t="n">
        <f aca="false">Z6+Z7</f>
        <v>7221</v>
      </c>
      <c r="AA8" s="74" t="n">
        <f aca="false">AA6+AA7</f>
        <v>7222</v>
      </c>
      <c r="AB8" s="74" t="n">
        <f aca="false">AB6+AB7</f>
        <v>7223</v>
      </c>
      <c r="AC8" s="74" t="n">
        <f aca="false">AC6+AC7</f>
        <v>7224</v>
      </c>
      <c r="AD8" s="74" t="n">
        <f aca="false">AD6+AD7</f>
        <v>7225</v>
      </c>
      <c r="AE8" s="74" t="n">
        <f aca="false">AE6+AE7</f>
        <v>7226</v>
      </c>
    </row>
    <row r="10" customFormat="false" ht="14.25" hidden="false" customHeight="true" outlineLevel="0" collapsed="false">
      <c r="A10" s="1" t="s">
        <v>219</v>
      </c>
      <c r="D10" s="42" t="n">
        <f aca="false">'Income Statement'!C21</f>
        <v>-53</v>
      </c>
      <c r="E10" s="42" t="n">
        <f aca="false">'Income Statement'!D21</f>
        <v>-60</v>
      </c>
      <c r="F10" s="42" t="n">
        <f aca="false">'Income Statement'!E21</f>
        <v>-62</v>
      </c>
      <c r="G10" s="42" t="n">
        <f aca="false">'Income Statement'!F21</f>
        <v>-61</v>
      </c>
      <c r="H10" s="42" t="n">
        <f aca="false">'Income Statement'!G21</f>
        <v>-68</v>
      </c>
      <c r="I10" s="42" t="n">
        <f aca="false">'Income Statement'!H21</f>
        <v>-65</v>
      </c>
      <c r="J10" s="42" t="n">
        <f aca="false">'Income Statement'!I21</f>
        <v>-65</v>
      </c>
      <c r="K10" s="42" t="n">
        <f aca="false">'Income Statement'!J21</f>
        <v>-64</v>
      </c>
      <c r="L10" s="42" t="n">
        <f aca="false">'Income Statement'!K21</f>
        <v>-66</v>
      </c>
      <c r="M10" s="42" t="n">
        <f aca="false">'Income Statement'!L21</f>
        <v>-65</v>
      </c>
      <c r="N10" s="42" t="n">
        <f aca="false">'Income Statement'!M21</f>
        <v>-63</v>
      </c>
      <c r="O10" s="42" t="n">
        <f aca="false">'Income Statement'!N21</f>
        <v>-63</v>
      </c>
      <c r="P10" s="42" t="n">
        <f aca="false">'Income Statement'!O21</f>
        <v>-64</v>
      </c>
      <c r="Q10" s="42" t="n">
        <f aca="false">'Income Statement'!P21</f>
        <v>-61</v>
      </c>
      <c r="R10" s="42" t="n">
        <f aca="false">'Income Statement'!Q21</f>
        <v>-61</v>
      </c>
      <c r="S10" s="42" t="n">
        <f aca="false">'Income Statement'!R21</f>
        <v>-61</v>
      </c>
      <c r="T10" s="42" t="n">
        <f aca="false">'Income Statement'!S21</f>
        <v>-63</v>
      </c>
      <c r="U10" s="42" t="n">
        <f aca="false">'Income Statement'!T21</f>
        <v>-62</v>
      </c>
      <c r="V10" s="75" t="n">
        <f aca="false">V6*V12</f>
        <v>-55.4658063482465</v>
      </c>
      <c r="W10" s="75" t="n">
        <f aca="false">W6*W12</f>
        <v>-55.4723579436101</v>
      </c>
      <c r="X10" s="75" t="n">
        <f aca="false">X6*X12</f>
        <v>-47.2894153344724</v>
      </c>
      <c r="Y10" s="75" t="n">
        <f aca="false">Y6*Y12</f>
        <v>-47.295966929836</v>
      </c>
      <c r="Z10" s="75" t="n">
        <f aca="false">Z6*Z12</f>
        <v>-47.3025185251996</v>
      </c>
      <c r="AA10" s="75" t="n">
        <f aca="false">AA6*AA12</f>
        <v>-47.3090701205632</v>
      </c>
      <c r="AB10" s="75" t="n">
        <f aca="false">AB6*AB12</f>
        <v>-47.3156217159268</v>
      </c>
      <c r="AC10" s="75" t="n">
        <f aca="false">AC6*AC12</f>
        <v>-47.3221733112904</v>
      </c>
      <c r="AD10" s="75" t="n">
        <f aca="false">AD6*AD12</f>
        <v>-47.328724906654</v>
      </c>
      <c r="AE10" s="75" t="n">
        <f aca="false">AE6*AE12</f>
        <v>-47.3352765020176</v>
      </c>
    </row>
    <row r="11" customFormat="false" ht="14.25" hidden="false" customHeight="true" outlineLevel="0" collapsed="false">
      <c r="A11" s="1" t="s">
        <v>220</v>
      </c>
      <c r="D11" s="68" t="n">
        <f aca="false">'Income Statement'!B21+'Income Statement'!$B20</f>
        <v>-45</v>
      </c>
      <c r="E11" s="68" t="n">
        <f aca="false">'Income Statement'!C21+'Income Statement'!$B20</f>
        <v>-46</v>
      </c>
      <c r="F11" s="68" t="n">
        <f aca="false">'Income Statement'!D21+'Income Statement'!$B20</f>
        <v>-53</v>
      </c>
      <c r="G11" s="68" t="n">
        <f aca="false">'Income Statement'!E21+'Income Statement'!$B20</f>
        <v>-55</v>
      </c>
      <c r="H11" s="68" t="n">
        <f aca="false">'Income Statement'!F21+'Income Statement'!$B20</f>
        <v>-54</v>
      </c>
      <c r="I11" s="68" t="n">
        <f aca="false">'Income Statement'!G21+'Income Statement'!$B20</f>
        <v>-61</v>
      </c>
      <c r="J11" s="68" t="n">
        <f aca="false">'Income Statement'!H21+'Income Statement'!$B20</f>
        <v>-58</v>
      </c>
      <c r="K11" s="68" t="n">
        <f aca="false">'Income Statement'!I21+'Income Statement'!$B20</f>
        <v>-58</v>
      </c>
      <c r="L11" s="68" t="n">
        <f aca="false">'Income Statement'!J21+'Income Statement'!$B20</f>
        <v>-57</v>
      </c>
      <c r="M11" s="68" t="n">
        <f aca="false">'Income Statement'!K21+'Income Statement'!$B20</f>
        <v>-59</v>
      </c>
      <c r="N11" s="68" t="n">
        <f aca="false">'Income Statement'!L21+'Income Statement'!$B20</f>
        <v>-58</v>
      </c>
      <c r="O11" s="68" t="n">
        <f aca="false">'Income Statement'!M21+'Income Statement'!$B20</f>
        <v>-56</v>
      </c>
      <c r="P11" s="68" t="n">
        <f aca="false">'Income Statement'!N21+'Income Statement'!$B20</f>
        <v>-56</v>
      </c>
      <c r="Q11" s="68" t="n">
        <f aca="false">'Income Statement'!O21+'Income Statement'!$B20</f>
        <v>-57</v>
      </c>
      <c r="R11" s="68" t="n">
        <f aca="false">'Income Statement'!P21+'Income Statement'!$B20</f>
        <v>-54</v>
      </c>
      <c r="S11" s="68" t="n">
        <f aca="false">'Income Statement'!Q21+'Income Statement'!$B20</f>
        <v>-54</v>
      </c>
      <c r="T11" s="68" t="n">
        <f aca="false">'Income Statement'!R21+'Income Statement'!$B20</f>
        <v>-54</v>
      </c>
      <c r="U11" s="68" t="n">
        <f aca="false">'Income Statement'!S21+'Income Statement'!$B20</f>
        <v>-56</v>
      </c>
    </row>
    <row r="12" customFormat="false" ht="14.25" hidden="false" customHeight="true" outlineLevel="0" collapsed="false">
      <c r="A12" s="1" t="s">
        <v>221</v>
      </c>
      <c r="D12" s="76" t="n">
        <f aca="false">D10/D6</f>
        <v>-0.00761166164009766</v>
      </c>
      <c r="E12" s="76" t="n">
        <f aca="false">E10/E6</f>
        <v>-0.00861697544161999</v>
      </c>
      <c r="F12" s="76" t="n">
        <f aca="false">F10/F6</f>
        <v>-0.00519132546261408</v>
      </c>
      <c r="G12" s="76" t="n">
        <f aca="false">G10/G6</f>
        <v>-0.00557383040935673</v>
      </c>
      <c r="H12" s="76" t="n">
        <f aca="false">H10/H6</f>
        <v>-0.00621231500091358</v>
      </c>
      <c r="I12" s="76" t="n">
        <f aca="false">I10/I6</f>
        <v>-0.00593769982643647</v>
      </c>
      <c r="J12" s="76" t="n">
        <f aca="false">J10/J6</f>
        <v>-0.00593661521600146</v>
      </c>
      <c r="K12" s="76" t="n">
        <f aca="false">K10/K6</f>
        <v>-0.00584474885844749</v>
      </c>
      <c r="L12" s="76" t="n">
        <f aca="false">L10/L6</f>
        <v>-0.0060257463708573</v>
      </c>
      <c r="M12" s="76" t="n">
        <f aca="false">M10/M6</f>
        <v>-0.00593390542267665</v>
      </c>
      <c r="N12" s="76" t="n">
        <f aca="false">N10/N6</f>
        <v>-0.00649149922720247</v>
      </c>
      <c r="O12" s="76" t="n">
        <f aca="false">O10/O6</f>
        <v>-0.0064908304141768</v>
      </c>
      <c r="P12" s="76" t="n">
        <f aca="false">P10/P6</f>
        <v>-0.00659182202080544</v>
      </c>
      <c r="Q12" s="76" t="n">
        <f aca="false">Q10/Q6</f>
        <v>-0.0062821833161689</v>
      </c>
      <c r="R12" s="76" t="n">
        <f aca="false">R10/R6</f>
        <v>-0.00720954969861719</v>
      </c>
      <c r="S12" s="76" t="n">
        <f aca="false">S10/S6</f>
        <v>-0.00720869770739778</v>
      </c>
      <c r="T12" s="76" t="n">
        <f aca="false">T10/T6</f>
        <v>-0.00744416873449132</v>
      </c>
      <c r="U12" s="76" t="n">
        <f aca="false">U10/U6</f>
        <v>-0.00732514177693762</v>
      </c>
      <c r="V12" s="77" t="n">
        <f aca="false">AVERAGE($D12:$U12)</f>
        <v>-0.00655159536360105</v>
      </c>
      <c r="W12" s="77" t="n">
        <f aca="false">AVERAGE($D12:$U12)</f>
        <v>-0.00655159536360105</v>
      </c>
      <c r="X12" s="77" t="n">
        <f aca="false">AVERAGE($D12:$U12)</f>
        <v>-0.00655159536360105</v>
      </c>
      <c r="Y12" s="77" t="n">
        <f aca="false">AVERAGE($D12:$U12)</f>
        <v>-0.00655159536360105</v>
      </c>
      <c r="Z12" s="77" t="n">
        <f aca="false">AVERAGE($D12:$U12)</f>
        <v>-0.00655159536360105</v>
      </c>
      <c r="AA12" s="77" t="n">
        <f aca="false">AVERAGE($D12:$U12)</f>
        <v>-0.00655159536360105</v>
      </c>
      <c r="AB12" s="77" t="n">
        <f aca="false">AVERAGE($D12:$U12)</f>
        <v>-0.00655159536360105</v>
      </c>
      <c r="AC12" s="77" t="n">
        <f aca="false">AVERAGE($D12:$U12)</f>
        <v>-0.00655159536360105</v>
      </c>
      <c r="AD12" s="77" t="n">
        <f aca="false">AVERAGE($D12:$U12)</f>
        <v>-0.00655159536360105</v>
      </c>
      <c r="AE12" s="77" t="n">
        <f aca="false">AVERAGE($D12:$U12)</f>
        <v>-0.00655159536360105</v>
      </c>
    </row>
    <row r="14" customFormat="false" ht="26.25" hidden="false" customHeight="true" outlineLevel="0" collapsed="false"/>
    <row r="15" customFormat="false" ht="14.25" hidden="false" customHeight="true" outlineLevel="0" collapsed="false">
      <c r="D15" s="78"/>
      <c r="E15" s="78"/>
      <c r="F15" s="78"/>
      <c r="G15" s="78"/>
    </row>
    <row r="16" customFormat="false" ht="14.25" hidden="false" customHeight="true" outlineLevel="0" collapsed="false">
      <c r="D16" s="22"/>
      <c r="E16" s="22"/>
      <c r="F16" s="79"/>
      <c r="G16" s="79"/>
      <c r="H16" s="22"/>
    </row>
    <row r="17" customFormat="false" ht="14.25" hidden="false" customHeight="true" outlineLevel="0" collapsed="false">
      <c r="D17" s="22"/>
      <c r="E17" s="22"/>
      <c r="F17" s="79"/>
      <c r="G17" s="79"/>
      <c r="H17" s="29"/>
    </row>
    <row r="18" customFormat="false" ht="14.25" hidden="false" customHeight="true" outlineLevel="0" collapsed="false">
      <c r="D18" s="22"/>
      <c r="E18" s="22"/>
      <c r="F18" s="79"/>
      <c r="G18" s="79"/>
      <c r="H18" s="29"/>
    </row>
    <row r="24" customFormat="false" ht="14.25" hidden="false" customHeight="true" outlineLevel="0" collapsed="false">
      <c r="B24" s="31"/>
    </row>
    <row r="29" customFormat="false" ht="14.25" hidden="false" customHeight="true" outlineLevel="0" collapsed="false">
      <c r="B29" s="31"/>
    </row>
    <row r="33" customFormat="false" ht="14.25" hidden="false" customHeight="true" outlineLevel="0" collapsed="false">
      <c r="B33" s="31"/>
    </row>
  </sheetData>
  <mergeCells count="3">
    <mergeCell ref="D4:U4"/>
    <mergeCell ref="V4:AE4"/>
    <mergeCell ref="A7:C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5"/>
  <sheetViews>
    <sheetView showFormulas="false" showGridLines="false" showRowColHeaders="true" showZeros="true" rightToLeft="false" tabSelected="false" showOutlineSymbols="true" defaultGridColor="true" view="normal" topLeftCell="A1" colorId="64" zoomScale="63" zoomScaleNormal="63"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1.73"/>
    <col collapsed="false" customWidth="true" hidden="false" outlineLevel="0" max="2" min="2" style="1" width="7.88"/>
    <col collapsed="false" customWidth="true" hidden="false" outlineLevel="0" max="3" min="3" style="1" width="8.26"/>
    <col collapsed="false" customWidth="true" hidden="false" outlineLevel="0" max="4" min="4" style="1" width="9.14"/>
    <col collapsed="false" customWidth="true" hidden="false" outlineLevel="0" max="7" min="5" style="1" width="9.6"/>
    <col collapsed="false" customWidth="true" hidden="false" outlineLevel="0" max="8" min="8" style="1" width="9.14"/>
    <col collapsed="false" customWidth="true" hidden="false" outlineLevel="0" max="11" min="9" style="1" width="9.6"/>
    <col collapsed="false" customWidth="true" hidden="false" outlineLevel="0" max="12" min="12" style="1" width="9.14"/>
    <col collapsed="false" customWidth="true" hidden="false" outlineLevel="0" max="15" min="13" style="1" width="9.6"/>
    <col collapsed="false" customWidth="true" hidden="false" outlineLevel="0" max="16" min="16" style="1" width="9.14"/>
    <col collapsed="false" customWidth="true" hidden="false" outlineLevel="0" max="19" min="17" style="1" width="9.6"/>
    <col collapsed="false" customWidth="true" hidden="false" outlineLevel="0" max="20" min="20" style="1" width="9.14"/>
    <col collapsed="false" customWidth="true" hidden="false" outlineLevel="0" max="23" min="21" style="1" width="9.6"/>
    <col collapsed="false" customWidth="true" hidden="false" outlineLevel="0" max="24" min="24" style="1" width="9.14"/>
    <col collapsed="false" customWidth="true" hidden="false" outlineLevel="0" max="27" min="25" style="1" width="9.6"/>
    <col collapsed="false" customWidth="true" hidden="false" outlineLevel="0" max="28" min="28" style="1" width="9.26"/>
    <col collapsed="false" customWidth="true" hidden="false" outlineLevel="0" max="31" min="29" style="1" width="9.6"/>
    <col collapsed="false" customWidth="true" hidden="false" outlineLevel="0" max="32" min="32" style="1" width="8.87"/>
  </cols>
  <sheetData>
    <row r="1" customFormat="false" ht="9" hidden="false" customHeight="true" outlineLevel="0" collapsed="false">
      <c r="U1" s="51"/>
      <c r="V1" s="51"/>
      <c r="W1" s="51"/>
      <c r="X1" s="51"/>
      <c r="Y1" s="51"/>
      <c r="Z1" s="51"/>
      <c r="AA1" s="51"/>
      <c r="AB1" s="51"/>
      <c r="AC1" s="51"/>
      <c r="AD1" s="51"/>
      <c r="AE1" s="51"/>
    </row>
    <row r="2" customFormat="false" ht="21.75" hidden="false" customHeight="true" outlineLevel="0" collapsed="false">
      <c r="A2" s="17" t="s">
        <v>222</v>
      </c>
      <c r="L2" s="19"/>
      <c r="M2" s="19"/>
      <c r="N2" s="19"/>
      <c r="O2" s="20"/>
      <c r="P2" s="20"/>
      <c r="Q2" s="20"/>
      <c r="R2" s="20"/>
      <c r="S2" s="20"/>
    </row>
    <row r="4" customFormat="false" ht="14.25" hidden="false" customHeight="true" outlineLevel="0" collapsed="false">
      <c r="A4" s="28"/>
      <c r="D4" s="80" t="s">
        <v>197</v>
      </c>
      <c r="E4" s="80"/>
      <c r="F4" s="80"/>
      <c r="G4" s="80"/>
      <c r="H4" s="80"/>
      <c r="I4" s="80"/>
      <c r="J4" s="80"/>
      <c r="K4" s="80"/>
      <c r="L4" s="80"/>
      <c r="M4" s="80"/>
      <c r="N4" s="80"/>
      <c r="O4" s="80"/>
      <c r="P4" s="80"/>
      <c r="Q4" s="80"/>
      <c r="R4" s="80"/>
      <c r="S4" s="80"/>
      <c r="T4" s="80"/>
      <c r="U4" s="80"/>
      <c r="V4" s="80" t="s">
        <v>198</v>
      </c>
      <c r="W4" s="80"/>
      <c r="X4" s="80"/>
      <c r="Y4" s="80"/>
      <c r="Z4" s="80"/>
      <c r="AA4" s="80"/>
      <c r="AB4" s="80"/>
      <c r="AC4" s="80"/>
      <c r="AD4" s="80"/>
      <c r="AE4" s="80"/>
    </row>
    <row r="5" customFormat="false" ht="14.25" hidden="false" customHeight="true" outlineLevel="0" collapsed="false">
      <c r="A5" s="28" t="s">
        <v>199</v>
      </c>
      <c r="D5" s="57" t="s">
        <v>53</v>
      </c>
      <c r="E5" s="57" t="str">
        <f aca="false">IF(MID(D5,2,1)="4","Q1 "&amp;RIGHT(D5,4)+1, "Q"&amp;MID(D5,2,1)+1&amp;" "&amp;RIGHT(D5,4))</f>
        <v>Q2 2022</v>
      </c>
      <c r="F5" s="57" t="str">
        <f aca="false">IF(MID(E5,2,1)="4","Q1 "&amp;RIGHT(E5,4)+1, "Q"&amp;MID(E5,2,1)+1&amp;" "&amp;RIGHT(E5,4))</f>
        <v>Q3 2022</v>
      </c>
      <c r="G5" s="57" t="str">
        <f aca="false">IF(MID(F5,2,1)="4","Q1 "&amp;RIGHT(F5,4)+1, "Q"&amp;MID(F5,2,1)+1&amp;" "&amp;RIGHT(F5,4))</f>
        <v>Q4 2022</v>
      </c>
      <c r="H5" s="57" t="str">
        <f aca="false">IF(MID(G5,2,1)="4","Q1 "&amp;RIGHT(G5,4)+1, "Q"&amp;MID(G5,2,1)+1&amp;" "&amp;RIGHT(G5,4))</f>
        <v>Q1 2023</v>
      </c>
      <c r="I5" s="57" t="str">
        <f aca="false">IF(MID(H5,2,1)="4","Q1 "&amp;RIGHT(H5,4)+1, "Q"&amp;MID(H5,2,1)+1&amp;" "&amp;RIGHT(H5,4))</f>
        <v>Q2 2023</v>
      </c>
      <c r="J5" s="57" t="str">
        <f aca="false">IF(MID(I5,2,1)="4","Q1 "&amp;RIGHT(I5,4)+1, "Q"&amp;MID(I5,2,1)+1&amp;" "&amp;RIGHT(I5,4))</f>
        <v>Q3 2023</v>
      </c>
      <c r="K5" s="57" t="str">
        <f aca="false">IF(MID(J5,2,1)="4","Q1 "&amp;RIGHT(J5,4)+1, "Q"&amp;MID(J5,2,1)+1&amp;" "&amp;RIGHT(J5,4))</f>
        <v>Q4 2023</v>
      </c>
      <c r="L5" s="57" t="str">
        <f aca="false">IF(MID(K5,2,1)="4","Q1 "&amp;RIGHT(K5,4)+1, "Q"&amp;MID(K5,2,1)+1&amp;" "&amp;RIGHT(K5,4))</f>
        <v>Q1 2024</v>
      </c>
      <c r="M5" s="57" t="str">
        <f aca="false">IF(MID(L5,2,1)="4","Q1 "&amp;RIGHT(L5,4)+1, "Q"&amp;MID(L5,2,1)+1&amp;" "&amp;RIGHT(L5,4))</f>
        <v>Q2 2024</v>
      </c>
      <c r="N5" s="57" t="str">
        <f aca="false">IF(MID(M5,2,1)="4","Q1 "&amp;RIGHT(M5,4)+1, "Q"&amp;MID(M5,2,1)+1&amp;" "&amp;RIGHT(M5,4))</f>
        <v>Q3 2024</v>
      </c>
      <c r="O5" s="57" t="str">
        <f aca="false">IF(MID(N5,2,1)="4","Q1 "&amp;RIGHT(N5,4)+1, "Q"&amp;MID(N5,2,1)+1&amp;" "&amp;RIGHT(N5,4))</f>
        <v>Q4 2024</v>
      </c>
      <c r="P5" s="57" t="str">
        <f aca="false">IF(MID(O5,2,1)="4","Q1 "&amp;RIGHT(O5,4)+1, "Q"&amp;MID(O5,2,1)+1&amp;" "&amp;RIGHT(O5,4))</f>
        <v>Q1 2025</v>
      </c>
      <c r="Q5" s="57" t="str">
        <f aca="false">IF(MID(P5,2,1)="4","Q1 "&amp;RIGHT(P5,4)+1, "Q"&amp;MID(P5,2,1)+1&amp;" "&amp;RIGHT(P5,4))</f>
        <v>Q2 2025</v>
      </c>
      <c r="R5" s="57" t="str">
        <f aca="false">IF(MID(Q5,2,1)="4","Q1 "&amp;RIGHT(Q5,4)+1, "Q"&amp;MID(Q5,2,1)+1&amp;" "&amp;RIGHT(Q5,4))</f>
        <v>Q3 2025</v>
      </c>
      <c r="S5" s="57" t="str">
        <f aca="false">IF(MID(R5,2,1)="4","Q1 "&amp;RIGHT(R5,4)+1, "Q"&amp;MID(R5,2,1)+1&amp;" "&amp;RIGHT(R5,4))</f>
        <v>Q4 2025</v>
      </c>
      <c r="T5" s="57" t="str">
        <f aca="false">IF(MID(S5,2,1)="4","Q1 "&amp;RIGHT(S5,4)+1, "Q"&amp;MID(S5,2,1)+1&amp;" "&amp;RIGHT(S5,4))</f>
        <v>Q1 2026</v>
      </c>
      <c r="U5" s="57" t="str">
        <f aca="false">IF(MID(T5,2,1)="4","Q1 "&amp;RIGHT(T5,4)+1, "Q"&amp;MID(T5,2,1)+1&amp;" "&amp;RIGHT(T5,4))</f>
        <v>Q2 2026</v>
      </c>
      <c r="V5" s="58" t="str">
        <f aca="false">IF(MID(U5,2,1)="4","Q1 "&amp;RIGHT(U5,4)+1, "Q"&amp;MID(U5,2,1)+1&amp;" "&amp;RIGHT(U5,4))</f>
        <v>Q3 2026</v>
      </c>
      <c r="W5" s="58" t="str">
        <f aca="false">IF(MID(V5,2,1)="4","Q1 "&amp;RIGHT(V5,4)+1, "Q"&amp;MID(V5,2,1)+1&amp;" "&amp;RIGHT(V5,4))</f>
        <v>Q4 2026</v>
      </c>
      <c r="X5" s="58" t="str">
        <f aca="false">IF(MID(W5,2,1)="4","Q1 "&amp;RIGHT(W5,4)+1, "Q"&amp;MID(W5,2,1)+1&amp;" "&amp;RIGHT(W5,4))</f>
        <v>Q1 2027</v>
      </c>
      <c r="Y5" s="58" t="str">
        <f aca="false">IF(MID(X5,2,1)="4","Q1 "&amp;RIGHT(X5,4)+1, "Q"&amp;MID(X5,2,1)+1&amp;" "&amp;RIGHT(X5,4))</f>
        <v>Q2 2027</v>
      </c>
      <c r="Z5" s="58" t="str">
        <f aca="false">IF(MID(Y5,2,1)="4","Q1 "&amp;RIGHT(Y5,4)+1, "Q"&amp;MID(Y5,2,1)+1&amp;" "&amp;RIGHT(Y5,4))</f>
        <v>Q3 2027</v>
      </c>
      <c r="AA5" s="58" t="str">
        <f aca="false">IF(MID(Z5,2,1)="4","Q1 "&amp;RIGHT(Z5,4)+1, "Q"&amp;MID(Z5,2,1)+1&amp;" "&amp;RIGHT(Z5,4))</f>
        <v>Q4 2027</v>
      </c>
      <c r="AB5" s="58" t="str">
        <f aca="false">IF(MID(AA5,2,1)="4","Q1 "&amp;RIGHT(AA5,4)+1, "Q"&amp;MID(AA5,2,1)+1&amp;" "&amp;RIGHT(AA5,4))</f>
        <v>Q1 2028</v>
      </c>
      <c r="AC5" s="58" t="str">
        <f aca="false">IF(MID(AB5,2,1)="4","Q1 "&amp;RIGHT(AB5,4)+1, "Q"&amp;MID(AB5,2,1)+1&amp;" "&amp;RIGHT(AB5,4))</f>
        <v>Q2 2028</v>
      </c>
      <c r="AD5" s="58" t="str">
        <f aca="false">IF(MID(AC5,2,1)="4","Q1 "&amp;RIGHT(AC5,4)+1, "Q"&amp;MID(AC5,2,1)+1&amp;" "&amp;RIGHT(AC5,4))</f>
        <v>Q3 2028</v>
      </c>
      <c r="AE5" s="58" t="str">
        <f aca="false">IF(MID(AD5,2,1)="4","Q1 "&amp;RIGHT(AD5,4)+1, "Q"&amp;MID(AD5,2,1)+1&amp;" "&amp;RIGHT(AD5,4))</f>
        <v>Q4 2028</v>
      </c>
    </row>
    <row r="6" customFormat="false" ht="14.25" hidden="false" customHeight="true" outlineLevel="0" collapsed="false">
      <c r="C6" s="22"/>
      <c r="D6" s="22"/>
      <c r="E6" s="22"/>
      <c r="F6" s="22"/>
      <c r="G6" s="22"/>
      <c r="H6" s="22"/>
      <c r="I6" s="22"/>
      <c r="J6" s="22"/>
      <c r="K6" s="22"/>
      <c r="L6" s="22"/>
      <c r="M6" s="22"/>
      <c r="N6" s="22"/>
      <c r="O6" s="22"/>
      <c r="P6" s="22"/>
      <c r="Q6" s="22"/>
      <c r="R6" s="22"/>
      <c r="S6" s="22"/>
      <c r="T6" s="22"/>
      <c r="U6" s="22"/>
      <c r="V6" s="22"/>
      <c r="W6" s="22"/>
    </row>
    <row r="7" customFormat="false" ht="14.25" hidden="false" customHeight="true" outlineLevel="0" collapsed="false">
      <c r="A7" s="28" t="s">
        <v>223</v>
      </c>
      <c r="C7" s="22"/>
      <c r="D7" s="22"/>
      <c r="E7" s="22"/>
      <c r="F7" s="22"/>
      <c r="G7" s="22"/>
      <c r="H7" s="22"/>
      <c r="I7" s="22"/>
      <c r="J7" s="22"/>
      <c r="K7" s="22"/>
      <c r="L7" s="22"/>
      <c r="M7" s="22"/>
      <c r="N7" s="22"/>
      <c r="O7" s="22"/>
      <c r="P7" s="22"/>
      <c r="Q7" s="22"/>
      <c r="R7" s="22"/>
      <c r="S7" s="22"/>
      <c r="T7" s="22"/>
      <c r="U7" s="22"/>
      <c r="V7" s="22"/>
      <c r="W7" s="22"/>
    </row>
    <row r="8" customFormat="false" ht="14.25" hidden="false" customHeight="true" outlineLevel="0" collapsed="false">
      <c r="A8" s="1" t="s">
        <v>216</v>
      </c>
      <c r="C8" s="22"/>
      <c r="D8" s="68" t="n">
        <f aca="false">'Balance Sheet'!B17</f>
        <v>2149</v>
      </c>
      <c r="E8" s="68" t="n">
        <f aca="false">'Balance Sheet'!C17</f>
        <v>2268</v>
      </c>
      <c r="F8" s="68" t="n">
        <f aca="false">'Balance Sheet'!D17</f>
        <v>2364</v>
      </c>
      <c r="G8" s="68" t="n">
        <f aca="false">'Balance Sheet'!E17</f>
        <v>2509</v>
      </c>
      <c r="H8" s="68" t="n">
        <f aca="false">'Balance Sheet'!F17</f>
        <v>2778</v>
      </c>
      <c r="I8" s="68" t="n">
        <f aca="false">'Balance Sheet'!G17</f>
        <v>2916</v>
      </c>
      <c r="J8" s="68" t="n">
        <f aca="false">'Balance Sheet'!H17</f>
        <v>3233</v>
      </c>
      <c r="K8" s="68" t="n">
        <f aca="false">'Balance Sheet'!I17</f>
        <v>3774</v>
      </c>
      <c r="L8" s="68" t="n">
        <f aca="false">'Balance Sheet'!J17</f>
        <v>3807</v>
      </c>
      <c r="M8" s="68" t="n">
        <f aca="false">'Balance Sheet'!K17</f>
        <v>3740</v>
      </c>
      <c r="N8" s="68" t="n">
        <f aca="false">'Balance Sheet'!L17</f>
        <v>3799</v>
      </c>
      <c r="O8" s="68" t="n">
        <f aca="false">'Balance Sheet'!M17</f>
        <v>3844</v>
      </c>
      <c r="P8" s="68" t="n">
        <f aca="false">'Balance Sheet'!N17</f>
        <v>3914</v>
      </c>
      <c r="Q8" s="68" t="n">
        <f aca="false">'Balance Sheet'!O17</f>
        <v>4006</v>
      </c>
      <c r="R8" s="68" t="n">
        <f aca="false">'Balance Sheet'!P17</f>
        <v>4885</v>
      </c>
      <c r="S8" s="68" t="n">
        <f aca="false">'Balance Sheet'!Q17</f>
        <v>5343</v>
      </c>
      <c r="T8" s="68" t="n">
        <f aca="false">'Balance Sheet'!R17</f>
        <v>6283</v>
      </c>
      <c r="U8" s="68" t="n">
        <f aca="false">'Balance Sheet'!S17</f>
        <v>7136</v>
      </c>
      <c r="V8" s="69" t="n">
        <f aca="false">U12</f>
        <v>9141</v>
      </c>
      <c r="W8" s="69" t="n">
        <f aca="false">V12</f>
        <v>8305.26460529285</v>
      </c>
      <c r="X8" s="69" t="n">
        <f aca="false">W12</f>
        <v>8976.99118723416</v>
      </c>
      <c r="Y8" s="69" t="n">
        <f aca="false">X12</f>
        <v>9797.30245089522</v>
      </c>
      <c r="Z8" s="69" t="n">
        <f aca="false">Y12</f>
        <v>10487.258172029</v>
      </c>
      <c r="AA8" s="69" t="n">
        <f aca="false">Z12</f>
        <v>10366.8770641542</v>
      </c>
      <c r="AB8" s="69" t="n">
        <f aca="false">AA12</f>
        <v>11186.2711384219</v>
      </c>
      <c r="AC8" s="69" t="n">
        <f aca="false">AB12</f>
        <v>11530.2171609213</v>
      </c>
      <c r="AD8" s="69" t="n">
        <f aca="false">AC12</f>
        <v>11874.1631834207</v>
      </c>
      <c r="AE8" s="69" t="n">
        <f aca="false">AD12</f>
        <v>13460.6431723678</v>
      </c>
    </row>
    <row r="9" customFormat="false" ht="14.25" hidden="false" customHeight="true" outlineLevel="0" collapsed="false">
      <c r="A9" s="1" t="s">
        <v>224</v>
      </c>
      <c r="C9" s="22"/>
      <c r="D9" s="68" t="n">
        <f aca="false">D10-D8</f>
        <v>263</v>
      </c>
      <c r="E9" s="68" t="n">
        <f aca="false">E10-E8</f>
        <v>244</v>
      </c>
      <c r="F9" s="68" t="n">
        <f aca="false">F10-F8</f>
        <v>300</v>
      </c>
      <c r="G9" s="68" t="n">
        <f aca="false">G10-G8</f>
        <v>433</v>
      </c>
      <c r="H9" s="68" t="n">
        <f aca="false">H10-H8</f>
        <v>317</v>
      </c>
      <c r="I9" s="68" t="n">
        <f aca="false">I10-I8</f>
        <v>513</v>
      </c>
      <c r="J9" s="68" t="n">
        <f aca="false">J10-J8</f>
        <v>766</v>
      </c>
      <c r="K9" s="68" t="n">
        <f aca="false">K10-K8</f>
        <v>278</v>
      </c>
      <c r="L9" s="68" t="n">
        <f aca="false">L10-L8</f>
        <v>136</v>
      </c>
      <c r="M9" s="68" t="n">
        <f aca="false">M10-M8</f>
        <v>278</v>
      </c>
      <c r="N9" s="68" t="n">
        <f aca="false">N10-N8</f>
        <v>273</v>
      </c>
      <c r="O9" s="68" t="n">
        <f aca="false">O10-O8</f>
        <v>314</v>
      </c>
      <c r="P9" s="68" t="n">
        <f aca="false">P10-P8</f>
        <v>321</v>
      </c>
      <c r="Q9" s="68" t="n">
        <f aca="false">Q10-Q8</f>
        <v>1131</v>
      </c>
      <c r="R9" s="68" t="n">
        <f aca="false">R10-R8</f>
        <v>755</v>
      </c>
      <c r="S9" s="68" t="n">
        <f aca="false">S10-S8</f>
        <v>1337</v>
      </c>
      <c r="T9" s="68" t="n">
        <f aca="false">T10-T8</f>
        <v>1320</v>
      </c>
      <c r="U9" s="68" t="n">
        <f aca="false">U10-U8</f>
        <v>2531</v>
      </c>
      <c r="V9" s="69" t="n">
        <f aca="false">V10-V8</f>
        <v>-320.418884333807</v>
      </c>
      <c r="W9" s="69" t="n">
        <f aca="false">W10-W8</f>
        <v>1228.72169192368</v>
      </c>
      <c r="X9" s="69" t="n">
        <f aca="false">X10-X8</f>
        <v>1428.20420265905</v>
      </c>
      <c r="Y9" s="69" t="n">
        <f aca="false">Y10-Y8</f>
        <v>1340.65832260782</v>
      </c>
      <c r="Z9" s="69" t="n">
        <f aca="false">Z10-Z8</f>
        <v>522.852210515197</v>
      </c>
      <c r="AA9" s="69" t="n">
        <f aca="false">AA10-AA8</f>
        <v>1513.46831284984</v>
      </c>
      <c r="AB9" s="69" t="n">
        <f aca="false">AB10-AB8</f>
        <v>1059.3610698931</v>
      </c>
      <c r="AC9" s="69" t="n">
        <f aca="false">AC10-AC8</f>
        <v>1080.70187870468</v>
      </c>
      <c r="AD9" s="69" t="n">
        <f aca="false">AD10-AD8</f>
        <v>2421.67212268652</v>
      </c>
      <c r="AE9" s="69" t="n">
        <f aca="false">AE10-AE8</f>
        <v>2625.75334478076</v>
      </c>
    </row>
    <row r="10" customFormat="false" ht="14.25" hidden="false" customHeight="true" outlineLevel="0" collapsed="false">
      <c r="A10" s="39" t="s">
        <v>225</v>
      </c>
      <c r="B10" s="51"/>
      <c r="C10" s="81"/>
      <c r="D10" s="82" t="n">
        <f aca="false">D12+D11</f>
        <v>2412</v>
      </c>
      <c r="E10" s="82" t="n">
        <f aca="false">E12+E11</f>
        <v>2512</v>
      </c>
      <c r="F10" s="82" t="n">
        <f aca="false">F12+F11</f>
        <v>2664</v>
      </c>
      <c r="G10" s="82" t="n">
        <f aca="false">G12+G11</f>
        <v>2942</v>
      </c>
      <c r="H10" s="82" t="n">
        <f aca="false">H12+H11</f>
        <v>3095</v>
      </c>
      <c r="I10" s="82" t="n">
        <f aca="false">I12+I11</f>
        <v>3429</v>
      </c>
      <c r="J10" s="82" t="n">
        <f aca="false">J12+J11</f>
        <v>3999</v>
      </c>
      <c r="K10" s="82" t="n">
        <f aca="false">K12+K11</f>
        <v>4052</v>
      </c>
      <c r="L10" s="82" t="n">
        <f aca="false">L12+L11</f>
        <v>3943</v>
      </c>
      <c r="M10" s="82" t="n">
        <f aca="false">M12+M11</f>
        <v>4018</v>
      </c>
      <c r="N10" s="82" t="n">
        <f aca="false">N12+N11</f>
        <v>4072</v>
      </c>
      <c r="O10" s="82" t="n">
        <f aca="false">O12+O11</f>
        <v>4158</v>
      </c>
      <c r="P10" s="82" t="n">
        <f aca="false">P12+P11</f>
        <v>4235</v>
      </c>
      <c r="Q10" s="82" t="n">
        <f aca="false">Q12+Q11</f>
        <v>5137</v>
      </c>
      <c r="R10" s="82" t="n">
        <f aca="false">R12+R11</f>
        <v>5640</v>
      </c>
      <c r="S10" s="82" t="n">
        <f aca="false">S12+S11</f>
        <v>6680</v>
      </c>
      <c r="T10" s="82" t="n">
        <f aca="false">T12+T11</f>
        <v>7603</v>
      </c>
      <c r="U10" s="82" t="n">
        <f aca="false">U12+U11</f>
        <v>9667</v>
      </c>
      <c r="V10" s="83" t="n">
        <f aca="false">'DCF Valuation'!X10/V16</f>
        <v>8820.58111566619</v>
      </c>
      <c r="W10" s="83" t="n">
        <f aca="false">'DCF Valuation'!Y10/W16</f>
        <v>9533.98629721653</v>
      </c>
      <c r="X10" s="83" t="n">
        <f aca="false">'DCF Valuation'!Z10/X16</f>
        <v>10405.1953898932</v>
      </c>
      <c r="Y10" s="83" t="n">
        <f aca="false">'DCF Valuation'!AA10/Y16</f>
        <v>11137.960773503</v>
      </c>
      <c r="Z10" s="83" t="n">
        <f aca="false">'DCF Valuation'!AB10/Z16</f>
        <v>11010.1103825442</v>
      </c>
      <c r="AA10" s="83" t="n">
        <f aca="false">'DCF Valuation'!AC10/AA16</f>
        <v>11880.345377004</v>
      </c>
      <c r="AB10" s="83" t="n">
        <f aca="false">'DCF Valuation'!AD10/AB16</f>
        <v>12245.632208315</v>
      </c>
      <c r="AC10" s="83" t="n">
        <f aca="false">'DCF Valuation'!AE10/AC16</f>
        <v>12610.919039626</v>
      </c>
      <c r="AD10" s="83" t="n">
        <f aca="false">'DCF Valuation'!AF10/AD16</f>
        <v>14295.8353061072</v>
      </c>
      <c r="AE10" s="83" t="n">
        <f aca="false">'DCF Valuation'!AG10/AE16</f>
        <v>16086.3965171485</v>
      </c>
    </row>
    <row r="11" customFormat="false" ht="14.25" hidden="false" customHeight="true" outlineLevel="0" collapsed="false">
      <c r="A11" s="1" t="s">
        <v>226</v>
      </c>
      <c r="C11" s="22"/>
      <c r="D11" s="22" t="n">
        <f aca="false">'DCF Valuation'!F24</f>
        <v>144</v>
      </c>
      <c r="E11" s="22" t="n">
        <f aca="false">'DCF Valuation'!G24</f>
        <v>148</v>
      </c>
      <c r="F11" s="22" t="n">
        <f aca="false">'DCF Valuation'!H24</f>
        <v>155</v>
      </c>
      <c r="G11" s="22" t="n">
        <f aca="false">'DCF Valuation'!I24</f>
        <v>164</v>
      </c>
      <c r="H11" s="22" t="n">
        <f aca="false">'DCF Valuation'!J24</f>
        <v>179</v>
      </c>
      <c r="I11" s="22" t="n">
        <f aca="false">'DCF Valuation'!K24</f>
        <v>196</v>
      </c>
      <c r="J11" s="22" t="n">
        <f aca="false">'DCF Valuation'!L24</f>
        <v>225</v>
      </c>
      <c r="K11" s="22" t="n">
        <f aca="false">'DCF Valuation'!M24</f>
        <v>245</v>
      </c>
      <c r="L11" s="22" t="n">
        <f aca="false">'DCF Valuation'!N24</f>
        <v>203</v>
      </c>
      <c r="M11" s="22" t="n">
        <f aca="false">'DCF Valuation'!O24</f>
        <v>219</v>
      </c>
      <c r="N11" s="22" t="n">
        <f aca="false">'DCF Valuation'!P24</f>
        <v>228</v>
      </c>
      <c r="O11" s="22" t="n">
        <f aca="false">'DCF Valuation'!Q24</f>
        <v>244</v>
      </c>
      <c r="P11" s="22" t="n">
        <f aca="false">'DCF Valuation'!R24</f>
        <v>229</v>
      </c>
      <c r="Q11" s="22" t="n">
        <f aca="false">'DCF Valuation'!S24</f>
        <v>252</v>
      </c>
      <c r="R11" s="22" t="n">
        <f aca="false">'DCF Valuation'!T24</f>
        <v>297</v>
      </c>
      <c r="S11" s="22" t="n">
        <f aca="false">'DCF Valuation'!U24</f>
        <v>397</v>
      </c>
      <c r="T11" s="22" t="n">
        <f aca="false">'DCF Valuation'!V24</f>
        <v>467</v>
      </c>
      <c r="U11" s="22" t="n">
        <f aca="false">'DCF Valuation'!W24</f>
        <v>526</v>
      </c>
      <c r="V11" s="84" t="n">
        <f aca="false">V10*V14</f>
        <v>515.316510373344</v>
      </c>
      <c r="W11" s="84" t="n">
        <f aca="false">W10*W14</f>
        <v>556.995109982369</v>
      </c>
      <c r="X11" s="84" t="n">
        <f aca="false">X10*X14</f>
        <v>607.892938998</v>
      </c>
      <c r="Y11" s="84" t="n">
        <f aca="false">Y10*Y14</f>
        <v>650.702601474039</v>
      </c>
      <c r="Z11" s="84" t="n">
        <f aca="false">Z10*Z14</f>
        <v>643.233318389984</v>
      </c>
      <c r="AA11" s="84" t="n">
        <f aca="false">AA10*AA14</f>
        <v>694.074238582117</v>
      </c>
      <c r="AB11" s="84" t="n">
        <f aca="false">AB10*AB14</f>
        <v>715.415047393702</v>
      </c>
      <c r="AC11" s="84" t="n">
        <f aca="false">AC10*AC14</f>
        <v>736.755856205287</v>
      </c>
      <c r="AD11" s="84" t="n">
        <f aca="false">AD10*AD14</f>
        <v>835.192133739459</v>
      </c>
      <c r="AE11" s="84" t="n">
        <f aca="false">AE10*AE14</f>
        <v>939.800406458005</v>
      </c>
    </row>
    <row r="12" customFormat="false" ht="14.25" hidden="false" customHeight="true" outlineLevel="0" collapsed="false">
      <c r="A12" s="39" t="s">
        <v>218</v>
      </c>
      <c r="B12" s="51"/>
      <c r="C12" s="73" t="n">
        <f aca="false">'Balance Sheet'!B17</f>
        <v>2149</v>
      </c>
      <c r="D12" s="73" t="n">
        <f aca="false">'Balance Sheet'!C17</f>
        <v>2268</v>
      </c>
      <c r="E12" s="73" t="n">
        <f aca="false">'Balance Sheet'!D17</f>
        <v>2364</v>
      </c>
      <c r="F12" s="73" t="n">
        <f aca="false">'Balance Sheet'!E17</f>
        <v>2509</v>
      </c>
      <c r="G12" s="73" t="n">
        <f aca="false">'Balance Sheet'!F17</f>
        <v>2778</v>
      </c>
      <c r="H12" s="73" t="n">
        <f aca="false">'Balance Sheet'!G17</f>
        <v>2916</v>
      </c>
      <c r="I12" s="73" t="n">
        <f aca="false">'Balance Sheet'!H17</f>
        <v>3233</v>
      </c>
      <c r="J12" s="73" t="n">
        <f aca="false">'Balance Sheet'!I17</f>
        <v>3774</v>
      </c>
      <c r="K12" s="73" t="n">
        <f aca="false">'Balance Sheet'!J17</f>
        <v>3807</v>
      </c>
      <c r="L12" s="73" t="n">
        <f aca="false">'Balance Sheet'!K17</f>
        <v>3740</v>
      </c>
      <c r="M12" s="73" t="n">
        <f aca="false">'Balance Sheet'!L17</f>
        <v>3799</v>
      </c>
      <c r="N12" s="73" t="n">
        <f aca="false">'Balance Sheet'!M17</f>
        <v>3844</v>
      </c>
      <c r="O12" s="73" t="n">
        <f aca="false">'Balance Sheet'!N17</f>
        <v>3914</v>
      </c>
      <c r="P12" s="73" t="n">
        <f aca="false">'Balance Sheet'!O17</f>
        <v>4006</v>
      </c>
      <c r="Q12" s="73" t="n">
        <f aca="false">'Balance Sheet'!P17</f>
        <v>4885</v>
      </c>
      <c r="R12" s="73" t="n">
        <f aca="false">'Balance Sheet'!Q17</f>
        <v>5343</v>
      </c>
      <c r="S12" s="73" t="n">
        <f aca="false">'Balance Sheet'!R17</f>
        <v>6283</v>
      </c>
      <c r="T12" s="73" t="n">
        <f aca="false">'Balance Sheet'!S17</f>
        <v>7136</v>
      </c>
      <c r="U12" s="73" t="n">
        <f aca="false">'Balance Sheet'!T17</f>
        <v>9141</v>
      </c>
      <c r="V12" s="74" t="n">
        <f aca="false">V10-V11</f>
        <v>8305.26460529285</v>
      </c>
      <c r="W12" s="74" t="n">
        <f aca="false">W10-W11</f>
        <v>8976.99118723416</v>
      </c>
      <c r="X12" s="74" t="n">
        <f aca="false">X10-X11</f>
        <v>9797.30245089522</v>
      </c>
      <c r="Y12" s="74" t="n">
        <f aca="false">Y10-Y11</f>
        <v>10487.258172029</v>
      </c>
      <c r="Z12" s="74" t="n">
        <f aca="false">Z10-Z11</f>
        <v>10366.8770641542</v>
      </c>
      <c r="AA12" s="74" t="n">
        <f aca="false">AA10-AA11</f>
        <v>11186.2711384219</v>
      </c>
      <c r="AB12" s="74" t="n">
        <f aca="false">AB10-AB11</f>
        <v>11530.2171609213</v>
      </c>
      <c r="AC12" s="74" t="n">
        <f aca="false">AC10-AC11</f>
        <v>11874.1631834207</v>
      </c>
      <c r="AD12" s="74" t="n">
        <f aca="false">AD10-AD11</f>
        <v>13460.6431723678</v>
      </c>
      <c r="AE12" s="74" t="n">
        <f aca="false">AE10-AE11</f>
        <v>15146.5961106905</v>
      </c>
    </row>
    <row r="13" customFormat="false" ht="14.25" hidden="false" customHeight="true" outlineLevel="0" collapsed="false">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row>
    <row r="14" customFormat="false" ht="14.25" hidden="false" customHeight="true" outlineLevel="0" collapsed="false">
      <c r="A14" s="28" t="s">
        <v>227</v>
      </c>
      <c r="C14" s="22"/>
      <c r="D14" s="76" t="n">
        <f aca="false">D11/D10</f>
        <v>0.0597014925373134</v>
      </c>
      <c r="E14" s="76" t="n">
        <f aca="false">E11/E10</f>
        <v>0.0589171974522293</v>
      </c>
      <c r="F14" s="76" t="n">
        <f aca="false">F11/F10</f>
        <v>0.0581831831831832</v>
      </c>
      <c r="G14" s="76" t="n">
        <f aca="false">G11/G10</f>
        <v>0.0557443915703603</v>
      </c>
      <c r="H14" s="76" t="n">
        <f aca="false">H11/H10</f>
        <v>0.0578352180936995</v>
      </c>
      <c r="I14" s="76" t="n">
        <f aca="false">I11/I10</f>
        <v>0.0571595217264509</v>
      </c>
      <c r="J14" s="76" t="n">
        <f aca="false">J11/J10</f>
        <v>0.0562640660165041</v>
      </c>
      <c r="K14" s="76" t="n">
        <f aca="false">K11/K10</f>
        <v>0.0604639684106614</v>
      </c>
      <c r="L14" s="76" t="n">
        <f aca="false">L11/L10</f>
        <v>0.0514836418970327</v>
      </c>
      <c r="M14" s="76" t="n">
        <f aca="false">M11/M10</f>
        <v>0.0545047287207566</v>
      </c>
      <c r="N14" s="76" t="n">
        <f aca="false">N11/N10</f>
        <v>0.055992141453831</v>
      </c>
      <c r="O14" s="76" t="n">
        <f aca="false">O11/O10</f>
        <v>0.0586820586820587</v>
      </c>
      <c r="P14" s="76" t="n">
        <f aca="false">P11/P10</f>
        <v>0.054073199527745</v>
      </c>
      <c r="Q14" s="76" t="n">
        <f aca="false">Q11/Q10</f>
        <v>0.0490558691843488</v>
      </c>
      <c r="R14" s="76" t="n">
        <f aca="false">R11/R10</f>
        <v>0.0526595744680851</v>
      </c>
      <c r="S14" s="76" t="n">
        <f aca="false">S11/S10</f>
        <v>0.0594311377245509</v>
      </c>
      <c r="T14" s="76" t="n">
        <f aca="false">T11/T10</f>
        <v>0.0614231224516638</v>
      </c>
      <c r="U14" s="76" t="n">
        <f aca="false">U11/U10</f>
        <v>0.0544119168304541</v>
      </c>
      <c r="V14" s="77" t="n">
        <f aca="false">AVERAGE($S14:$U14)</f>
        <v>0.0584220590022229</v>
      </c>
      <c r="W14" s="77" t="n">
        <f aca="false">AVERAGE($S14:$U14)</f>
        <v>0.0584220590022229</v>
      </c>
      <c r="X14" s="77" t="n">
        <f aca="false">AVERAGE($S14:$U14)</f>
        <v>0.0584220590022229</v>
      </c>
      <c r="Y14" s="77" t="n">
        <f aca="false">AVERAGE($S14:$U14)</f>
        <v>0.0584220590022229</v>
      </c>
      <c r="Z14" s="77" t="n">
        <f aca="false">AVERAGE($S14:$U14)</f>
        <v>0.0584220590022229</v>
      </c>
      <c r="AA14" s="77" t="n">
        <f aca="false">AVERAGE($S14:$U14)</f>
        <v>0.0584220590022229</v>
      </c>
      <c r="AB14" s="77" t="n">
        <f aca="false">AVERAGE($S14:$U14)</f>
        <v>0.0584220590022229</v>
      </c>
      <c r="AC14" s="77" t="n">
        <f aca="false">AVERAGE($S14:$U14)</f>
        <v>0.0584220590022229</v>
      </c>
      <c r="AD14" s="77" t="n">
        <f aca="false">AVERAGE($S14:$U14)</f>
        <v>0.0584220590022229</v>
      </c>
      <c r="AE14" s="77" t="n">
        <f aca="false">AVERAGE($S14:$U14)</f>
        <v>0.0584220590022229</v>
      </c>
    </row>
    <row r="15" customFormat="false" ht="14.25" hidden="false" customHeight="true" outlineLevel="0" collapsed="false">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row>
    <row r="16" customFormat="false" ht="14.25" hidden="false" customHeight="true" outlineLevel="0" collapsed="false">
      <c r="A16" s="28" t="s">
        <v>228</v>
      </c>
      <c r="C16" s="22"/>
      <c r="D16" s="85" t="n">
        <f aca="false">'DCF Valuation'!F10/D10</f>
        <v>2.34701492537313</v>
      </c>
      <c r="E16" s="85" t="n">
        <f aca="false">'DCF Valuation'!G10/E10</f>
        <v>2.59036624203822</v>
      </c>
      <c r="F16" s="85" t="n">
        <f aca="false">'DCF Valuation'!H10/F10</f>
        <v>2.66629129129129</v>
      </c>
      <c r="G16" s="85" t="n">
        <f aca="false">'DCF Valuation'!I10/G10</f>
        <v>2.59789259007478</v>
      </c>
      <c r="H16" s="85" t="n">
        <f aca="false">'DCF Valuation'!J10/H10</f>
        <v>2.67786752827141</v>
      </c>
      <c r="I16" s="85" t="n">
        <f aca="false">'DCF Valuation'!K10/I10</f>
        <v>1.95508894721493</v>
      </c>
      <c r="J16" s="85" t="n">
        <f aca="false">'DCF Valuation'!L10/J10</f>
        <v>1.48312078019505</v>
      </c>
      <c r="K16" s="85" t="n">
        <f aca="false">'DCF Valuation'!M10/K10</f>
        <v>1.49333662388944</v>
      </c>
      <c r="L16" s="85" t="n">
        <f aca="false">'DCF Valuation'!N10/L10</f>
        <v>1.82399188435202</v>
      </c>
      <c r="M16" s="85" t="n">
        <f aca="false">'DCF Valuation'!O10/M10</f>
        <v>3.36162269785963</v>
      </c>
      <c r="N16" s="85" t="n">
        <f aca="false">'DCF Valuation'!P10/N10</f>
        <v>4.44990176817289</v>
      </c>
      <c r="O16" s="85" t="n">
        <f aca="false">'DCF Valuation'!Q10/O10</f>
        <v>5.31577681577682</v>
      </c>
      <c r="P16" s="85" t="n">
        <f aca="false">'DCF Valuation'!R10/P10</f>
        <v>6.14970484061393</v>
      </c>
      <c r="Q16" s="85" t="n">
        <f aca="false">'DCF Valuation'!S10/Q10</f>
        <v>5.84777107261047</v>
      </c>
      <c r="R16" s="85" t="n">
        <f aca="false">'DCF Valuation'!T10/R10</f>
        <v>6.22021276595745</v>
      </c>
      <c r="S16" s="85" t="n">
        <f aca="false">'DCF Valuation'!U10/S10</f>
        <v>5.88787425149701</v>
      </c>
      <c r="T16" s="85" t="n">
        <f aca="false">'DCF Valuation'!V10/T10</f>
        <v>5.79534394318032</v>
      </c>
      <c r="U16" s="85" t="n">
        <f aca="false">'DCF Valuation'!W10/U10</f>
        <v>4.83531602358539</v>
      </c>
      <c r="V16" s="86" t="n">
        <f aca="false">AVERAGE($P16:$U16)</f>
        <v>5.78937048290743</v>
      </c>
      <c r="W16" s="86" t="n">
        <f aca="false">AVERAGE($P16:$U16)</f>
        <v>5.78937048290743</v>
      </c>
      <c r="X16" s="86" t="n">
        <f aca="false">AVERAGE($P16:$U16)</f>
        <v>5.78937048290743</v>
      </c>
      <c r="Y16" s="86" t="n">
        <f aca="false">AVERAGE($P16:$U16)</f>
        <v>5.78937048290743</v>
      </c>
      <c r="Z16" s="86" t="n">
        <f aca="false">AVERAGE($P16:$U16)</f>
        <v>5.78937048290743</v>
      </c>
      <c r="AA16" s="86" t="n">
        <f aca="false">AVERAGE($P16:$U16)</f>
        <v>5.78937048290743</v>
      </c>
      <c r="AB16" s="86" t="n">
        <f aca="false">AVERAGE($P16:$U16)</f>
        <v>5.78937048290743</v>
      </c>
      <c r="AC16" s="86" t="n">
        <f aca="false">AVERAGE($P16:$U16)</f>
        <v>5.78937048290743</v>
      </c>
      <c r="AD16" s="86" t="n">
        <f aca="false">AVERAGE($P16:$U16)</f>
        <v>5.78937048290743</v>
      </c>
      <c r="AE16" s="86" t="n">
        <f aca="false">AVERAGE($P16:$U16)</f>
        <v>5.78937048290743</v>
      </c>
    </row>
    <row r="17" customFormat="false" ht="14.25" hidden="false" customHeight="true" outlineLevel="0" collapsed="false">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row>
    <row r="18" customFormat="false" ht="14.25" hidden="false" customHeight="true" outlineLevel="0" collapsed="false">
      <c r="A18" s="28" t="s">
        <v>229</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row>
    <row r="19" customFormat="false" ht="14.25" hidden="false" customHeight="true" outlineLevel="0" collapsed="false">
      <c r="A19" s="1" t="s">
        <v>216</v>
      </c>
      <c r="C19" s="22"/>
      <c r="D19" s="68" t="n">
        <f aca="false">'Balance Sheet'!B20</f>
        <v>2737</v>
      </c>
      <c r="E19" s="68" t="n">
        <f aca="false">'Balance Sheet'!C20</f>
        <v>2613</v>
      </c>
      <c r="F19" s="68" t="n">
        <f aca="false">'Balance Sheet'!D20</f>
        <v>2478</v>
      </c>
      <c r="G19" s="68" t="n">
        <f aca="false">'Balance Sheet'!E20</f>
        <v>2454</v>
      </c>
      <c r="H19" s="68" t="n">
        <f aca="false">'Balance Sheet'!F20</f>
        <v>2339</v>
      </c>
      <c r="I19" s="68" t="n">
        <f aca="false">'Balance Sheet'!G20</f>
        <v>2211</v>
      </c>
      <c r="J19" s="68" t="n">
        <f aca="false">'Balance Sheet'!H20</f>
        <v>2036</v>
      </c>
      <c r="K19" s="68" t="n">
        <f aca="false">'Balance Sheet'!I20</f>
        <v>1850</v>
      </c>
      <c r="L19" s="68" t="n">
        <f aca="false">'Balance Sheet'!J20</f>
        <v>1676</v>
      </c>
      <c r="M19" s="68" t="n">
        <f aca="false">'Balance Sheet'!K20</f>
        <v>1541</v>
      </c>
      <c r="N19" s="68" t="n">
        <f aca="false">'Balance Sheet'!L20</f>
        <v>1395</v>
      </c>
      <c r="O19" s="68" t="n">
        <f aca="false">'Balance Sheet'!M20</f>
        <v>1251</v>
      </c>
      <c r="P19" s="68" t="n">
        <f aca="false">'Balance Sheet'!N20</f>
        <v>1112</v>
      </c>
      <c r="Q19" s="68" t="n">
        <f aca="false">'Balance Sheet'!O20</f>
        <v>986</v>
      </c>
      <c r="R19" s="68" t="n">
        <f aca="false">'Balance Sheet'!P20</f>
        <v>952</v>
      </c>
      <c r="S19" s="68" t="n">
        <f aca="false">'Balance Sheet'!Q20</f>
        <v>838</v>
      </c>
      <c r="T19" s="68" t="n">
        <f aca="false">'Balance Sheet'!R20</f>
        <v>807</v>
      </c>
      <c r="U19" s="68" t="n">
        <f aca="false">'Balance Sheet'!S20</f>
        <v>769</v>
      </c>
      <c r="V19" s="69" t="n">
        <f aca="false">U23</f>
        <v>755</v>
      </c>
      <c r="W19" s="69" t="n">
        <f aca="false">V23</f>
        <v>683.828461167827</v>
      </c>
      <c r="X19" s="69" t="n">
        <f aca="false">W23</f>
        <v>628.091852790839</v>
      </c>
      <c r="Y19" s="69" t="n">
        <f aca="false">X23</f>
        <v>584.88464268381</v>
      </c>
      <c r="Z19" s="69" t="n">
        <f aca="false">Y23</f>
        <v>549.81873686363</v>
      </c>
      <c r="AA19" s="69" t="n">
        <f aca="false">Z23</f>
        <v>524.964933472768</v>
      </c>
      <c r="AB19" s="69" t="n">
        <f aca="false">AA23</f>
        <v>509.115817831482</v>
      </c>
      <c r="AC19" s="69" t="n">
        <f aca="false">AB23</f>
        <v>501.004864091531</v>
      </c>
      <c r="AD19" s="69" t="n">
        <f aca="false">AC23</f>
        <v>496.273256915457</v>
      </c>
      <c r="AE19" s="69" t="n">
        <f aca="false">AD23</f>
        <v>488.101927593078</v>
      </c>
    </row>
    <row r="20" customFormat="false" ht="14.25" hidden="false" customHeight="true" outlineLevel="0" collapsed="false">
      <c r="A20" s="1" t="s">
        <v>224</v>
      </c>
      <c r="C20" s="22"/>
      <c r="D20" s="68" t="n">
        <f aca="false">D21-D19</f>
        <v>13</v>
      </c>
      <c r="E20" s="68" t="n">
        <f aca="false">E21-E19</f>
        <v>3</v>
      </c>
      <c r="F20" s="68" t="n">
        <f aca="false">F21-F19</f>
        <v>119</v>
      </c>
      <c r="G20" s="68" t="n">
        <f aca="false">G21-G19</f>
        <v>30</v>
      </c>
      <c r="H20" s="68" t="n">
        <f aca="false">H21-H19</f>
        <v>27</v>
      </c>
      <c r="I20" s="68" t="n">
        <f aca="false">I21-I19</f>
        <v>7</v>
      </c>
      <c r="J20" s="68" t="n">
        <f aca="false">J21-J19</f>
        <v>-5</v>
      </c>
      <c r="K20" s="68" t="n">
        <f aca="false">K21-K19</f>
        <v>7</v>
      </c>
      <c r="L20" s="68" t="n">
        <f aca="false">L21-L19</f>
        <v>46</v>
      </c>
      <c r="M20" s="68" t="n">
        <f aca="false">M21-M19</f>
        <v>0</v>
      </c>
      <c r="N20" s="68" t="n">
        <f aca="false">N21-N19</f>
        <v>0</v>
      </c>
      <c r="O20" s="68" t="n">
        <f aca="false">O21-O19</f>
        <v>4</v>
      </c>
      <c r="P20" s="68" t="n">
        <f aca="false">P21-P19</f>
        <v>55</v>
      </c>
      <c r="Q20" s="68" t="n">
        <f aca="false">Q21-Q19</f>
        <v>147</v>
      </c>
      <c r="R20" s="68" t="n">
        <f aca="false">R21-R19</f>
        <v>67</v>
      </c>
      <c r="S20" s="68" t="n">
        <f aca="false">S21-S19</f>
        <v>115</v>
      </c>
      <c r="T20" s="68" t="n">
        <f aca="false">T21-T19</f>
        <v>106</v>
      </c>
      <c r="U20" s="68" t="n">
        <f aca="false">U21-U19</f>
        <v>129</v>
      </c>
      <c r="V20" s="69" t="n">
        <f aca="false">AVERAGE(J20:U20)</f>
        <v>55.9166666666667</v>
      </c>
      <c r="W20" s="69" t="n">
        <f aca="false">AVERAGE(K20:V20)</f>
        <v>60.9930555555556</v>
      </c>
      <c r="X20" s="69" t="n">
        <f aca="false">AVERAGE(L20:W20)</f>
        <v>65.4924768518519</v>
      </c>
      <c r="Y20" s="69" t="n">
        <f aca="false">AVERAGE(M20:X20)</f>
        <v>67.1168499228395</v>
      </c>
      <c r="Z20" s="69" t="n">
        <f aca="false">AVERAGE(N20:Y20)</f>
        <v>72.7099207497428</v>
      </c>
      <c r="AA20" s="69" t="n">
        <f aca="false">AVERAGE(O20:Z20)</f>
        <v>78.7690808122214</v>
      </c>
      <c r="AB20" s="69" t="n">
        <f aca="false">AVERAGE(P20:AA20)</f>
        <v>84.9998375465732</v>
      </c>
      <c r="AC20" s="69" t="n">
        <f aca="false">AVERAGE(Q20:AB20)</f>
        <v>87.4998240087876</v>
      </c>
      <c r="AD20" s="69" t="n">
        <f aca="false">AVERAGE(R20:AC20)</f>
        <v>82.5414760095199</v>
      </c>
      <c r="AE20" s="69" t="n">
        <f aca="false">AVERAGE(S20:AD20)</f>
        <v>83.8365990103132</v>
      </c>
    </row>
    <row r="21" customFormat="false" ht="14.25" hidden="false" customHeight="true" outlineLevel="0" collapsed="false">
      <c r="A21" s="39" t="s">
        <v>230</v>
      </c>
      <c r="B21" s="51"/>
      <c r="C21" s="81"/>
      <c r="D21" s="82" t="n">
        <f aca="false">D23+D22</f>
        <v>2750</v>
      </c>
      <c r="E21" s="82" t="n">
        <f aca="false">E23+E22</f>
        <v>2616</v>
      </c>
      <c r="F21" s="82" t="n">
        <f aca="false">F23+F22</f>
        <v>2597</v>
      </c>
      <c r="G21" s="82" t="n">
        <f aca="false">G23+G22</f>
        <v>2484</v>
      </c>
      <c r="H21" s="82" t="n">
        <f aca="false">H23+H22</f>
        <v>2366</v>
      </c>
      <c r="I21" s="82" t="n">
        <f aca="false">I23+I22</f>
        <v>2218</v>
      </c>
      <c r="J21" s="82" t="n">
        <f aca="false">J23+J22</f>
        <v>2031</v>
      </c>
      <c r="K21" s="82" t="n">
        <f aca="false">K23+K22</f>
        <v>1857</v>
      </c>
      <c r="L21" s="82" t="n">
        <f aca="false">L23+L22</f>
        <v>1722</v>
      </c>
      <c r="M21" s="82" t="n">
        <f aca="false">M23+M22</f>
        <v>1541</v>
      </c>
      <c r="N21" s="82" t="n">
        <f aca="false">N23+N22</f>
        <v>1395</v>
      </c>
      <c r="O21" s="82" t="n">
        <f aca="false">O23+O22</f>
        <v>1255</v>
      </c>
      <c r="P21" s="82" t="n">
        <f aca="false">P23+P22</f>
        <v>1167</v>
      </c>
      <c r="Q21" s="82" t="n">
        <f aca="false">Q23+Q22</f>
        <v>1133</v>
      </c>
      <c r="R21" s="82" t="n">
        <f aca="false">R23+R22</f>
        <v>1019</v>
      </c>
      <c r="S21" s="82" t="n">
        <f aca="false">S23+S22</f>
        <v>953</v>
      </c>
      <c r="T21" s="82" t="n">
        <f aca="false">T23+T22</f>
        <v>913</v>
      </c>
      <c r="U21" s="82" t="n">
        <f aca="false">U23+U22</f>
        <v>898</v>
      </c>
      <c r="V21" s="83" t="n">
        <f aca="false">V19+V20</f>
        <v>810.916666666667</v>
      </c>
      <c r="W21" s="83" t="n">
        <f aca="false">W19+W20</f>
        <v>744.821516723383</v>
      </c>
      <c r="X21" s="83" t="n">
        <f aca="false">X19+X20</f>
        <v>693.584329642691</v>
      </c>
      <c r="Y21" s="83" t="n">
        <f aca="false">Y19+Y20</f>
        <v>652.00149260665</v>
      </c>
      <c r="Z21" s="83" t="n">
        <f aca="false">Z19+Z20</f>
        <v>622.528657613373</v>
      </c>
      <c r="AA21" s="83" t="n">
        <f aca="false">AA19+AA20</f>
        <v>603.73401428499</v>
      </c>
      <c r="AB21" s="83" t="n">
        <f aca="false">AB19+AB20</f>
        <v>594.115655378055</v>
      </c>
      <c r="AC21" s="83" t="n">
        <f aca="false">AC19+AC20</f>
        <v>588.504688100318</v>
      </c>
      <c r="AD21" s="83" t="n">
        <f aca="false">AD19+AD20</f>
        <v>578.814732924977</v>
      </c>
      <c r="AE21" s="83" t="n">
        <f aca="false">AE19+AE20</f>
        <v>571.938526603392</v>
      </c>
    </row>
    <row r="22" customFormat="false" ht="14.25" hidden="false" customHeight="true" outlineLevel="0" collapsed="false">
      <c r="A22" s="1" t="s">
        <v>231</v>
      </c>
      <c r="C22" s="22"/>
      <c r="D22" s="68" t="n">
        <f aca="false">'Cash Flow Statement'!B54</f>
        <v>137</v>
      </c>
      <c r="E22" s="68" t="n">
        <f aca="false">'Cash Flow Statement'!C54</f>
        <v>138</v>
      </c>
      <c r="F22" s="68" t="n">
        <f aca="false">'Cash Flow Statement'!D54</f>
        <v>143</v>
      </c>
      <c r="G22" s="68" t="n">
        <f aca="false">'Cash Flow Statement'!E54</f>
        <v>145</v>
      </c>
      <c r="H22" s="68" t="n">
        <f aca="false">'Cash Flow Statement'!F54</f>
        <v>155</v>
      </c>
      <c r="I22" s="68" t="n">
        <f aca="false">'Cash Flow Statement'!G54</f>
        <v>182</v>
      </c>
      <c r="J22" s="68" t="n">
        <f aca="false">'Cash Flow Statement'!H54</f>
        <v>181</v>
      </c>
      <c r="K22" s="68" t="n">
        <f aca="false">'Cash Flow Statement'!I54</f>
        <v>181</v>
      </c>
      <c r="L22" s="68" t="n">
        <f aca="false">'Cash Flow Statement'!J54</f>
        <v>181</v>
      </c>
      <c r="M22" s="68" t="n">
        <f aca="false">'Cash Flow Statement'!K54</f>
        <v>146</v>
      </c>
      <c r="N22" s="68" t="n">
        <f aca="false">'Cash Flow Statement'!L54</f>
        <v>144</v>
      </c>
      <c r="O22" s="68" t="n">
        <f aca="false">'Cash Flow Statement'!M54</f>
        <v>143</v>
      </c>
      <c r="P22" s="68" t="n">
        <f aca="false">'Cash Flow Statement'!N54</f>
        <v>181</v>
      </c>
      <c r="Q22" s="68" t="n">
        <f aca="false">'Cash Flow Statement'!O54</f>
        <v>181</v>
      </c>
      <c r="R22" s="68" t="n">
        <f aca="false">'Cash Flow Statement'!P54</f>
        <v>181</v>
      </c>
      <c r="S22" s="68" t="n">
        <f aca="false">'Cash Flow Statement'!Q54</f>
        <v>146</v>
      </c>
      <c r="T22" s="68" t="n">
        <f aca="false">'Cash Flow Statement'!R54</f>
        <v>144</v>
      </c>
      <c r="U22" s="68" t="n">
        <f aca="false">'Cash Flow Statement'!S54</f>
        <v>143</v>
      </c>
      <c r="V22" s="84" t="n">
        <f aca="false">V21*V25</f>
        <v>127.08820549884</v>
      </c>
      <c r="W22" s="84" t="n">
        <f aca="false">W21*W25</f>
        <v>116.729663932544</v>
      </c>
      <c r="X22" s="84" t="n">
        <f aca="false">X21*X25</f>
        <v>108.69968695888</v>
      </c>
      <c r="Y22" s="84" t="n">
        <f aca="false">Y21*Y25</f>
        <v>102.18275574302</v>
      </c>
      <c r="Z22" s="84" t="n">
        <f aca="false">Z21*Z25</f>
        <v>97.5637241406043</v>
      </c>
      <c r="AA22" s="84" t="n">
        <f aca="false">AA21*AA25</f>
        <v>94.6181964535075</v>
      </c>
      <c r="AB22" s="84" t="n">
        <f aca="false">AB21*AB25</f>
        <v>93.1107912865244</v>
      </c>
      <c r="AC22" s="84" t="n">
        <f aca="false">AC21*AC25</f>
        <v>92.2314311848613</v>
      </c>
      <c r="AD22" s="84" t="n">
        <f aca="false">AD21*AD25</f>
        <v>90.7128053318986</v>
      </c>
      <c r="AE22" s="84" t="n">
        <f aca="false">AE21*AE25</f>
        <v>89.6351548679586</v>
      </c>
    </row>
    <row r="23" customFormat="false" ht="14.25" hidden="false" customHeight="true" outlineLevel="0" collapsed="false">
      <c r="A23" s="39" t="s">
        <v>232</v>
      </c>
      <c r="B23" s="51"/>
      <c r="C23" s="73" t="n">
        <f aca="false">'Balance Sheet'!B20</f>
        <v>2737</v>
      </c>
      <c r="D23" s="73" t="n">
        <f aca="false">'Balance Sheet'!C20</f>
        <v>2613</v>
      </c>
      <c r="E23" s="73" t="n">
        <f aca="false">'Balance Sheet'!D20</f>
        <v>2478</v>
      </c>
      <c r="F23" s="73" t="n">
        <f aca="false">'Balance Sheet'!E20</f>
        <v>2454</v>
      </c>
      <c r="G23" s="73" t="n">
        <f aca="false">'Balance Sheet'!F20</f>
        <v>2339</v>
      </c>
      <c r="H23" s="73" t="n">
        <f aca="false">'Balance Sheet'!G20</f>
        <v>2211</v>
      </c>
      <c r="I23" s="73" t="n">
        <f aca="false">'Balance Sheet'!H20</f>
        <v>2036</v>
      </c>
      <c r="J23" s="73" t="n">
        <f aca="false">'Balance Sheet'!I20</f>
        <v>1850</v>
      </c>
      <c r="K23" s="73" t="n">
        <f aca="false">'Balance Sheet'!J20</f>
        <v>1676</v>
      </c>
      <c r="L23" s="73" t="n">
        <f aca="false">'Balance Sheet'!K20</f>
        <v>1541</v>
      </c>
      <c r="M23" s="73" t="n">
        <f aca="false">'Balance Sheet'!L20</f>
        <v>1395</v>
      </c>
      <c r="N23" s="73" t="n">
        <f aca="false">'Balance Sheet'!M20</f>
        <v>1251</v>
      </c>
      <c r="O23" s="73" t="n">
        <f aca="false">'Balance Sheet'!N20</f>
        <v>1112</v>
      </c>
      <c r="P23" s="73" t="n">
        <f aca="false">'Balance Sheet'!O20</f>
        <v>986</v>
      </c>
      <c r="Q23" s="73" t="n">
        <f aca="false">'Balance Sheet'!P20</f>
        <v>952</v>
      </c>
      <c r="R23" s="73" t="n">
        <f aca="false">'Balance Sheet'!Q20</f>
        <v>838</v>
      </c>
      <c r="S23" s="73" t="n">
        <f aca="false">'Balance Sheet'!R20</f>
        <v>807</v>
      </c>
      <c r="T23" s="73" t="n">
        <f aca="false">'Balance Sheet'!S20</f>
        <v>769</v>
      </c>
      <c r="U23" s="73" t="n">
        <f aca="false">'Balance Sheet'!T20</f>
        <v>755</v>
      </c>
      <c r="V23" s="83" t="n">
        <f aca="false">V21-V22</f>
        <v>683.828461167827</v>
      </c>
      <c r="W23" s="83" t="n">
        <f aca="false">W21-W22</f>
        <v>628.091852790839</v>
      </c>
      <c r="X23" s="83" t="n">
        <f aca="false">X21-X22</f>
        <v>584.88464268381</v>
      </c>
      <c r="Y23" s="83" t="n">
        <f aca="false">Y21-Y22</f>
        <v>549.81873686363</v>
      </c>
      <c r="Z23" s="83" t="n">
        <f aca="false">Z21-Z22</f>
        <v>524.964933472768</v>
      </c>
      <c r="AA23" s="83" t="n">
        <f aca="false">AA21-AA22</f>
        <v>509.115817831482</v>
      </c>
      <c r="AB23" s="83" t="n">
        <f aca="false">AB21-AB22</f>
        <v>501.004864091531</v>
      </c>
      <c r="AC23" s="83" t="n">
        <f aca="false">AC21-AC22</f>
        <v>496.273256915457</v>
      </c>
      <c r="AD23" s="83" t="n">
        <f aca="false">AD21-AD22</f>
        <v>488.101927593078</v>
      </c>
      <c r="AE23" s="83" t="n">
        <f aca="false">AE21-AE22</f>
        <v>482.303371735433</v>
      </c>
    </row>
    <row r="24" customFormat="false" ht="14.25" hidden="false" customHeight="true" outlineLevel="0" collapsed="false">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customFormat="false" ht="14.25" hidden="false" customHeight="true" outlineLevel="0" collapsed="false">
      <c r="A25" s="1" t="s">
        <v>233</v>
      </c>
      <c r="C25" s="22"/>
      <c r="D25" s="76" t="n">
        <f aca="false">D22/D21</f>
        <v>0.0498181818181818</v>
      </c>
      <c r="E25" s="76" t="n">
        <f aca="false">E22/E21</f>
        <v>0.0527522935779817</v>
      </c>
      <c r="F25" s="76" t="n">
        <f aca="false">F22/F21</f>
        <v>0.0550635348479014</v>
      </c>
      <c r="G25" s="76" t="n">
        <f aca="false">G22/G21</f>
        <v>0.0583735909822866</v>
      </c>
      <c r="H25" s="76" t="n">
        <f aca="false">H22/H21</f>
        <v>0.0655114116652578</v>
      </c>
      <c r="I25" s="76" t="n">
        <f aca="false">I22/I21</f>
        <v>0.0820559062218215</v>
      </c>
      <c r="J25" s="76" t="n">
        <f aca="false">J22/J21</f>
        <v>0.0891186607582472</v>
      </c>
      <c r="K25" s="76" t="n">
        <f aca="false">K22/K21</f>
        <v>0.0974690360796984</v>
      </c>
      <c r="L25" s="76" t="n">
        <f aca="false">L22/L21</f>
        <v>0.105110336817654</v>
      </c>
      <c r="M25" s="76" t="n">
        <f aca="false">M22/M21</f>
        <v>0.0947436729396496</v>
      </c>
      <c r="N25" s="76" t="n">
        <f aca="false">N22/N21</f>
        <v>0.103225806451613</v>
      </c>
      <c r="O25" s="76" t="n">
        <f aca="false">O22/O21</f>
        <v>0.11394422310757</v>
      </c>
      <c r="P25" s="76" t="n">
        <f aca="false">P22/P21</f>
        <v>0.15509854327335</v>
      </c>
      <c r="Q25" s="76" t="n">
        <f aca="false">Q22/Q21</f>
        <v>0.159752868490733</v>
      </c>
      <c r="R25" s="76" t="n">
        <f aca="false">R22/R21</f>
        <v>0.177625122669284</v>
      </c>
      <c r="S25" s="76" t="n">
        <f aca="false">S22/S21</f>
        <v>0.153200419727177</v>
      </c>
      <c r="T25" s="76" t="n">
        <f aca="false">T22/T21</f>
        <v>0.157721796276013</v>
      </c>
      <c r="U25" s="76" t="n">
        <f aca="false">U22/U21</f>
        <v>0.15924276169265</v>
      </c>
      <c r="V25" s="77" t="n">
        <f aca="false">AVERAGE($S25:$U25)</f>
        <v>0.156721659231947</v>
      </c>
      <c r="W25" s="77" t="n">
        <f aca="false">AVERAGE($S25:$U25)</f>
        <v>0.156721659231947</v>
      </c>
      <c r="X25" s="77" t="n">
        <f aca="false">AVERAGE($S25:$U25)</f>
        <v>0.156721659231947</v>
      </c>
      <c r="Y25" s="77" t="n">
        <f aca="false">AVERAGE($S25:$U25)</f>
        <v>0.156721659231947</v>
      </c>
      <c r="Z25" s="77" t="n">
        <f aca="false">AVERAGE($S25:$U25)</f>
        <v>0.156721659231947</v>
      </c>
      <c r="AA25" s="77" t="n">
        <f aca="false">AVERAGE($S25:$U25)</f>
        <v>0.156721659231947</v>
      </c>
      <c r="AB25" s="77" t="n">
        <f aca="false">AVERAGE($S25:$U25)</f>
        <v>0.156721659231947</v>
      </c>
      <c r="AC25" s="77" t="n">
        <f aca="false">AVERAGE($S25:$U25)</f>
        <v>0.156721659231947</v>
      </c>
      <c r="AD25" s="77" t="n">
        <f aca="false">AVERAGE($S25:$U25)</f>
        <v>0.156721659231947</v>
      </c>
      <c r="AE25" s="77" t="n">
        <f aca="false">AVERAGE($S25:$U25)</f>
        <v>0.156721659231947</v>
      </c>
    </row>
  </sheetData>
  <mergeCells count="2">
    <mergeCell ref="D4:U4"/>
    <mergeCell ref="V4:A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1"/>
  <sheetViews>
    <sheetView showFormulas="false" showGridLines="false" showRowColHeaders="true" showZeros="true" rightToLeft="false" tabSelected="false" showOutlineSymbols="true" defaultGridColor="true" view="normal" topLeftCell="A1" colorId="64" zoomScale="65" zoomScaleNormal="65" zoomScalePageLayoutView="100" workbookViewId="0">
      <selection pane="topLeft" activeCell="R26" activeCellId="0" sqref="R26"/>
    </sheetView>
  </sheetViews>
  <sheetFormatPr defaultColWidth="8.6796875" defaultRowHeight="14.25" zeroHeight="false" outlineLevelRow="0" outlineLevelCol="0"/>
  <cols>
    <col collapsed="false" customWidth="true" hidden="false" outlineLevel="0" max="1" min="1" style="1" width="4.73"/>
    <col collapsed="false" customWidth="true" hidden="false" outlineLevel="0" max="6" min="6" style="1" width="20.39"/>
    <col collapsed="false" customWidth="true" hidden="false" outlineLevel="0" max="7" min="7" style="1" width="10.26"/>
    <col collapsed="false" customWidth="true" hidden="false" outlineLevel="0" max="11" min="11" style="1" width="9.14"/>
    <col collapsed="false" customWidth="true" hidden="false" outlineLevel="0" max="12" min="12" style="1" width="19.14"/>
    <col collapsed="false" customWidth="true" hidden="false" outlineLevel="0" max="13" min="13" style="1" width="14.6"/>
    <col collapsed="false" customWidth="true" hidden="false" outlineLevel="0" max="14" min="14" style="1" width="11"/>
    <col collapsed="false" customWidth="true" hidden="false" outlineLevel="0" max="15" min="15" style="1" width="12.26"/>
    <col collapsed="false" customWidth="true" hidden="false" outlineLevel="0" max="18" min="18" style="1" width="9.6"/>
  </cols>
  <sheetData>
    <row r="1" customFormat="false" ht="3.75" hidden="false" customHeight="true" outlineLevel="0" collapsed="false"/>
    <row r="2" customFormat="false" ht="25.5" hidden="false" customHeight="true" outlineLevel="0" collapsed="false">
      <c r="A2" s="17" t="s">
        <v>234</v>
      </c>
      <c r="L2" s="19"/>
      <c r="M2" s="19"/>
      <c r="N2" s="19"/>
      <c r="O2" s="20"/>
      <c r="P2" s="20"/>
      <c r="Q2" s="20"/>
      <c r="R2" s="20"/>
      <c r="S2" s="20"/>
    </row>
    <row r="3" customFormat="false" ht="18" hidden="false" customHeight="true" outlineLevel="0" collapsed="false">
      <c r="B3" s="87"/>
    </row>
    <row r="5" customFormat="false" ht="14.25" hidden="false" customHeight="true" outlineLevel="0" collapsed="false">
      <c r="B5" s="1" t="s">
        <v>235</v>
      </c>
    </row>
    <row r="6" customFormat="false" ht="14.25" hidden="false" customHeight="true" outlineLevel="0" collapsed="false">
      <c r="B6" s="1" t="s">
        <v>236</v>
      </c>
    </row>
    <row r="8" customFormat="false" ht="14.25" hidden="false" customHeight="true" outlineLevel="0" collapsed="false">
      <c r="B8" s="88" t="s">
        <v>237</v>
      </c>
      <c r="C8" s="57"/>
      <c r="D8" s="57"/>
      <c r="E8" s="57"/>
      <c r="F8" s="57"/>
      <c r="G8" s="89"/>
      <c r="I8" s="27"/>
      <c r="J8" s="90"/>
      <c r="K8" s="90"/>
      <c r="L8" s="90"/>
      <c r="M8" s="90"/>
    </row>
    <row r="9" customFormat="false" ht="14.25" hidden="false" customHeight="true" outlineLevel="0" collapsed="false">
      <c r="B9" s="1" t="s">
        <v>238</v>
      </c>
      <c r="F9" s="29" t="n">
        <v>4850000</v>
      </c>
      <c r="I9" s="22"/>
      <c r="J9" s="32"/>
    </row>
    <row r="10" customFormat="false" ht="14.25" hidden="false" customHeight="true" outlineLevel="0" collapsed="false">
      <c r="B10" s="1" t="s">
        <v>239</v>
      </c>
      <c r="F10" s="79" t="n">
        <f aca="false">F9/(F16+F9)</f>
        <v>0.997991875728817</v>
      </c>
      <c r="I10" s="22"/>
    </row>
    <row r="11" customFormat="false" ht="14.25" hidden="false" customHeight="true" outlineLevel="0" collapsed="false">
      <c r="B11" s="1" t="s">
        <v>240</v>
      </c>
      <c r="F11" s="79" t="n">
        <f aca="false">F12+F13*F14</f>
        <v>0.1027</v>
      </c>
      <c r="I11" s="22"/>
    </row>
    <row r="12" customFormat="false" ht="14.25" hidden="false" customHeight="true" outlineLevel="0" collapsed="false">
      <c r="B12" s="1" t="s">
        <v>241</v>
      </c>
      <c r="F12" s="76" t="n">
        <v>0.0415</v>
      </c>
      <c r="I12" s="22"/>
      <c r="J12" s="91"/>
    </row>
    <row r="13" customFormat="false" ht="14.25" hidden="false" customHeight="true" outlineLevel="0" collapsed="false">
      <c r="B13" s="1" t="s">
        <v>19</v>
      </c>
      <c r="F13" s="22" t="n">
        <v>1.2</v>
      </c>
      <c r="I13" s="22"/>
    </row>
    <row r="14" customFormat="false" ht="14.25" hidden="false" customHeight="true" outlineLevel="0" collapsed="false">
      <c r="B14" s="1" t="s">
        <v>21</v>
      </c>
      <c r="F14" s="76" t="n">
        <v>0.051</v>
      </c>
      <c r="I14" s="22"/>
    </row>
    <row r="15" customFormat="false" ht="14.25" hidden="false" customHeight="true" outlineLevel="0" collapsed="false">
      <c r="F15" s="22"/>
    </row>
    <row r="16" customFormat="false" ht="14.25" hidden="false" customHeight="true" outlineLevel="0" collapsed="false">
      <c r="B16" s="1" t="s">
        <v>36</v>
      </c>
      <c r="F16" s="29" t="n">
        <f aca="false">N41</f>
        <v>9759</v>
      </c>
    </row>
    <row r="17" customFormat="false" ht="14.25" hidden="false" customHeight="true" outlineLevel="0" collapsed="false">
      <c r="B17" s="1" t="s">
        <v>242</v>
      </c>
      <c r="F17" s="79" t="n">
        <f aca="false">F16/(F9+F16)</f>
        <v>0.002008124271183</v>
      </c>
    </row>
    <row r="18" customFormat="false" ht="14.25" hidden="false" customHeight="true" outlineLevel="0" collapsed="false">
      <c r="B18" s="1" t="s">
        <v>243</v>
      </c>
      <c r="F18" s="79" t="n">
        <f aca="false">P41</f>
        <v>0.0263460088123783</v>
      </c>
      <c r="G18" s="91"/>
    </row>
    <row r="19" customFormat="false" ht="14.25" hidden="false" customHeight="true" outlineLevel="0" collapsed="false">
      <c r="B19" s="1" t="s">
        <v>23</v>
      </c>
      <c r="F19" s="92" t="n">
        <v>0.17</v>
      </c>
    </row>
    <row r="20" customFormat="false" ht="14.25" hidden="false" customHeight="true" outlineLevel="0" collapsed="false">
      <c r="F20" s="22"/>
    </row>
    <row r="21" customFormat="false" ht="14.25" hidden="false" customHeight="true" outlineLevel="0" collapsed="false">
      <c r="B21" s="1" t="s">
        <v>14</v>
      </c>
      <c r="F21" s="79" t="n">
        <f aca="false">F10*F11+F17*F18*(1-F19)</f>
        <v>0.102537677666938</v>
      </c>
    </row>
    <row r="24" customFormat="false" ht="42.75" hidden="false" customHeight="true" outlineLevel="0" collapsed="false">
      <c r="B24" s="93"/>
      <c r="C24" s="94"/>
      <c r="D24" s="95" t="s">
        <v>244</v>
      </c>
      <c r="E24" s="96" t="s">
        <v>245</v>
      </c>
      <c r="F24" s="96" t="s">
        <v>246</v>
      </c>
      <c r="G24" s="96" t="s">
        <v>247</v>
      </c>
      <c r="H24" s="96" t="s">
        <v>248</v>
      </c>
      <c r="I24" s="97" t="s">
        <v>14</v>
      </c>
    </row>
    <row r="25" customFormat="false" ht="14.25" hidden="false" customHeight="true" outlineLevel="0" collapsed="false">
      <c r="B25" s="98" t="s">
        <v>249</v>
      </c>
      <c r="C25" s="99"/>
      <c r="D25" s="79" t="n">
        <v>0.0409</v>
      </c>
      <c r="E25" s="100" t="n">
        <v>0.0912</v>
      </c>
      <c r="F25" s="100" t="n">
        <v>0.0511</v>
      </c>
      <c r="G25" s="101" t="n">
        <v>1.22</v>
      </c>
      <c r="H25" s="100" t="n">
        <v>0.0412</v>
      </c>
      <c r="I25" s="102" t="n">
        <v>0.0911</v>
      </c>
    </row>
    <row r="26" customFormat="false" ht="14.25" hidden="false" customHeight="true" outlineLevel="0" collapsed="false">
      <c r="B26" s="103" t="s">
        <v>250</v>
      </c>
      <c r="C26" s="104"/>
      <c r="D26" s="105" t="n">
        <v>0.0415</v>
      </c>
      <c r="E26" s="106" t="n">
        <v>0.111</v>
      </c>
      <c r="F26" s="106" t="n">
        <v>0.0425</v>
      </c>
      <c r="G26" s="107" t="n">
        <v>1.11</v>
      </c>
      <c r="H26" s="106" t="n">
        <v>0.051</v>
      </c>
      <c r="I26" s="108" t="n">
        <v>0.097</v>
      </c>
    </row>
    <row r="28" customFormat="false" ht="14.25" hidden="false" customHeight="true" outlineLevel="0" collapsed="false">
      <c r="D28" s="109"/>
      <c r="E28" s="110"/>
    </row>
    <row r="29" customFormat="false" ht="14.25" hidden="false" customHeight="true" outlineLevel="0" collapsed="false">
      <c r="E29" s="110"/>
      <c r="F29" s="109"/>
    </row>
    <row r="30" customFormat="false" ht="14.25" hidden="false" customHeight="true" outlineLevel="0" collapsed="false">
      <c r="E30" s="110"/>
      <c r="F30" s="79"/>
    </row>
    <row r="31" customFormat="false" ht="28.5" hidden="false" customHeight="true" outlineLevel="0" collapsed="false">
      <c r="F31" s="92"/>
      <c r="K31" s="25" t="s">
        <v>251</v>
      </c>
      <c r="L31" s="111" t="s">
        <v>252</v>
      </c>
      <c r="M31" s="111" t="s">
        <v>253</v>
      </c>
      <c r="N31" s="111" t="s">
        <v>254</v>
      </c>
      <c r="O31" s="111" t="s">
        <v>255</v>
      </c>
    </row>
    <row r="32" customFormat="false" ht="14.25" hidden="false" customHeight="true" outlineLevel="0" collapsed="false">
      <c r="F32" s="76"/>
      <c r="K32" s="22" t="s">
        <v>256</v>
      </c>
      <c r="L32" s="22" t="n">
        <v>0.4</v>
      </c>
      <c r="M32" s="79" t="n">
        <v>0.0066</v>
      </c>
      <c r="N32" s="29" t="n">
        <v>1250</v>
      </c>
      <c r="O32" s="112" t="n">
        <f aca="false">N32*M32</f>
        <v>8.25</v>
      </c>
    </row>
    <row r="33" customFormat="false" ht="14.25" hidden="false" customHeight="true" outlineLevel="0" collapsed="false">
      <c r="K33" s="22" t="s">
        <v>257</v>
      </c>
      <c r="L33" s="22" t="n">
        <v>2.6</v>
      </c>
      <c r="M33" s="79" t="n">
        <v>0.0331</v>
      </c>
      <c r="N33" s="29" t="n">
        <v>1000</v>
      </c>
      <c r="O33" s="112" t="n">
        <f aca="false">N33*M33</f>
        <v>33.1</v>
      </c>
    </row>
    <row r="34" customFormat="false" ht="14.25" hidden="false" customHeight="true" outlineLevel="0" collapsed="false">
      <c r="K34" s="22" t="s">
        <v>258</v>
      </c>
      <c r="L34" s="22" t="n">
        <v>4.4</v>
      </c>
      <c r="M34" s="79" t="n">
        <v>0.0164</v>
      </c>
      <c r="N34" s="29" t="n">
        <v>1250</v>
      </c>
      <c r="O34" s="112" t="n">
        <f aca="false">N34*M34</f>
        <v>20.5</v>
      </c>
    </row>
    <row r="35" customFormat="false" ht="14.25" hidden="false" customHeight="true" outlineLevel="0" collapsed="false">
      <c r="K35" s="22" t="s">
        <v>259</v>
      </c>
      <c r="L35" s="22" t="n">
        <v>6.2</v>
      </c>
      <c r="M35" s="79" t="n">
        <v>0.0293</v>
      </c>
      <c r="N35" s="29" t="n">
        <v>1500</v>
      </c>
      <c r="O35" s="112" t="n">
        <f aca="false">N35*M35</f>
        <v>43.95</v>
      </c>
    </row>
    <row r="36" customFormat="false" ht="14.25" hidden="false" customHeight="true" outlineLevel="0" collapsed="false">
      <c r="K36" s="22" t="s">
        <v>260</v>
      </c>
      <c r="L36" s="22" t="n">
        <v>7.4</v>
      </c>
      <c r="M36" s="79" t="n">
        <v>0.0209</v>
      </c>
      <c r="N36" s="29" t="n">
        <v>1250</v>
      </c>
      <c r="O36" s="112" t="n">
        <f aca="false">N36*M36</f>
        <v>26.125</v>
      </c>
    </row>
    <row r="37" customFormat="false" ht="14.25" hidden="false" customHeight="true" outlineLevel="0" collapsed="false">
      <c r="K37" s="22" t="s">
        <v>261</v>
      </c>
      <c r="L37" s="22" t="n">
        <v>16.2</v>
      </c>
      <c r="M37" s="79" t="n">
        <v>0.0354</v>
      </c>
      <c r="N37" s="29" t="n">
        <v>1000</v>
      </c>
      <c r="O37" s="112" t="n">
        <f aca="false">N37*M37</f>
        <v>35.4</v>
      </c>
    </row>
    <row r="38" customFormat="false" ht="14.25" hidden="false" customHeight="true" outlineLevel="0" collapsed="false">
      <c r="K38" s="22" t="s">
        <v>262</v>
      </c>
      <c r="L38" s="22" t="n">
        <v>26.2</v>
      </c>
      <c r="M38" s="79" t="n">
        <v>0.0354</v>
      </c>
      <c r="N38" s="29" t="n">
        <v>2000</v>
      </c>
      <c r="O38" s="112" t="n">
        <f aca="false">N38*M38</f>
        <v>70.8</v>
      </c>
    </row>
    <row r="39" customFormat="false" ht="14.25" hidden="false" customHeight="true" outlineLevel="0" collapsed="false">
      <c r="K39" s="22" t="s">
        <v>263</v>
      </c>
      <c r="L39" s="22" t="n">
        <v>36.2</v>
      </c>
      <c r="M39" s="79" t="n">
        <v>0.0373</v>
      </c>
      <c r="N39" s="29" t="n">
        <v>509</v>
      </c>
      <c r="O39" s="112" t="n">
        <f aca="false">N39*M39</f>
        <v>18.9857</v>
      </c>
    </row>
    <row r="40" customFormat="false" ht="14.25" hidden="false" customHeight="true" outlineLevel="0" collapsed="false">
      <c r="K40" s="22"/>
      <c r="L40" s="22"/>
      <c r="M40" s="22"/>
      <c r="N40" s="22"/>
      <c r="O40" s="22"/>
    </row>
    <row r="41" customFormat="false" ht="14.25" hidden="false" customHeight="true" outlineLevel="0" collapsed="false">
      <c r="K41" s="22"/>
      <c r="L41" s="22"/>
      <c r="M41" s="22"/>
      <c r="N41" s="29" t="n">
        <f aca="false">SUM(N32:N39)</f>
        <v>9759</v>
      </c>
      <c r="O41" s="112" t="n">
        <f aca="false">SUM(O32:O39)</f>
        <v>257.1107</v>
      </c>
      <c r="P41" s="79" t="n">
        <f aca="false">O41/N41</f>
        <v>0.0263460088123783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8"/>
  <sheetViews>
    <sheetView showFormulas="false" showGridLines="false" showRowColHeaders="true" showZeros="true" rightToLeft="false" tabSelected="true" showOutlineSymbols="true" defaultGridColor="true" view="normal" topLeftCell="A15" colorId="64" zoomScale="38" zoomScaleNormal="38" zoomScalePageLayoutView="100" workbookViewId="0">
      <selection pane="topLeft" activeCell="AX31" activeCellId="0" sqref="AX31"/>
    </sheetView>
  </sheetViews>
  <sheetFormatPr defaultColWidth="8.6796875" defaultRowHeight="14.25" zeroHeight="false" outlineLevelRow="0" outlineLevelCol="0"/>
  <cols>
    <col collapsed="false" customWidth="true" hidden="false" outlineLevel="0" max="1" min="1" style="22" width="3.26"/>
    <col collapsed="false" customWidth="true" hidden="false" outlineLevel="0" max="2" min="2" style="1" width="10.59"/>
    <col collapsed="false" customWidth="true" hidden="false" outlineLevel="0" max="4" min="4" style="1" width="11.39"/>
    <col collapsed="false" customWidth="true" hidden="false" outlineLevel="0" max="5" min="5" style="1" width="10.85"/>
    <col collapsed="false" customWidth="true" hidden="false" outlineLevel="0" max="6" min="6" style="1" width="10.4"/>
    <col collapsed="false" customWidth="true" hidden="false" outlineLevel="0" max="9" min="7" style="1" width="7.88"/>
    <col collapsed="false" customWidth="true" hidden="false" outlineLevel="0" max="10" min="10" style="1" width="8"/>
    <col collapsed="false" customWidth="true" hidden="false" outlineLevel="0" max="11" min="11" style="1" width="9.86"/>
    <col collapsed="false" customWidth="true" hidden="false" outlineLevel="0" max="14" min="12" style="1" width="7.88"/>
    <col collapsed="false" customWidth="true" hidden="false" outlineLevel="0" max="15" min="15" style="1" width="9.14"/>
    <col collapsed="false" customWidth="true" hidden="false" outlineLevel="0" max="18" min="16" style="1" width="7.88"/>
    <col collapsed="false" customWidth="true" hidden="false" outlineLevel="0" max="21" min="19" style="1" width="8"/>
    <col collapsed="false" customWidth="true" hidden="false" outlineLevel="0" max="22" min="22" style="1" width="8.4"/>
    <col collapsed="false" customWidth="true" hidden="false" outlineLevel="0" max="24" min="23" style="1" width="7.88"/>
    <col collapsed="false" customWidth="true" hidden="false" outlineLevel="0" max="26" min="25" style="1" width="8"/>
    <col collapsed="false" customWidth="true" hidden="false" outlineLevel="0" max="33" min="27" style="1" width="7.88"/>
    <col collapsed="false" customWidth="true" hidden="false" outlineLevel="0" max="35" min="34" style="1" width="7.57"/>
  </cols>
  <sheetData>
    <row r="1" customFormat="false" ht="14.25" hidden="false" customHeight="true" outlineLevel="0" collapsed="false">
      <c r="S1" s="51"/>
    </row>
    <row r="2" customFormat="false" ht="25.5" hidden="false" customHeight="true" outlineLevel="0" collapsed="false">
      <c r="A2" s="17" t="s">
        <v>264</v>
      </c>
      <c r="L2" s="19"/>
      <c r="M2" s="19"/>
      <c r="N2" s="19"/>
      <c r="O2" s="20"/>
      <c r="P2" s="20"/>
      <c r="Q2" s="20"/>
      <c r="R2" s="20"/>
      <c r="S2" s="20"/>
    </row>
    <row r="3" customFormat="false" ht="14.25" hidden="false" customHeight="true" outlineLevel="0" collapsed="false">
      <c r="T3" s="113"/>
      <c r="U3" s="113"/>
      <c r="V3" s="113"/>
    </row>
    <row r="4" customFormat="false" ht="15.75" hidden="false" customHeight="true" outlineLevel="0" collapsed="false">
      <c r="B4" s="114" t="s">
        <v>265</v>
      </c>
      <c r="D4" s="1" t="s">
        <v>266</v>
      </c>
      <c r="F4" s="1" t="s">
        <v>267</v>
      </c>
      <c r="J4" s="115" t="n">
        <f aca="false">E88</f>
        <v>71.3350609006857</v>
      </c>
      <c r="L4" s="109"/>
      <c r="T4" s="113"/>
      <c r="U4" s="113"/>
      <c r="V4" s="113"/>
    </row>
    <row r="5" customFormat="false" ht="15.75" hidden="false" customHeight="true" outlineLevel="0" collapsed="false">
      <c r="B5" s="114" t="s">
        <v>1</v>
      </c>
      <c r="D5" s="116" t="n">
        <v>45973</v>
      </c>
      <c r="F5" s="1" t="s">
        <v>268</v>
      </c>
      <c r="J5" s="115" t="n">
        <v>193.16</v>
      </c>
      <c r="L5" s="109"/>
      <c r="R5" s="113"/>
      <c r="S5" s="113"/>
      <c r="U5" s="113"/>
      <c r="V5" s="113"/>
      <c r="W5" s="113"/>
    </row>
    <row r="6" customFormat="false" ht="15.75" hidden="false" customHeight="true" outlineLevel="0" collapsed="false">
      <c r="B6" s="114" t="s">
        <v>269</v>
      </c>
      <c r="D6" s="116" t="n">
        <v>45684</v>
      </c>
      <c r="F6" s="1" t="s">
        <v>270</v>
      </c>
      <c r="J6" s="117" t="n">
        <f aca="false">J4/J5-1</f>
        <v>-0.630694445533828</v>
      </c>
      <c r="L6" s="109"/>
      <c r="O6" s="113"/>
      <c r="P6" s="68"/>
      <c r="Q6" s="68"/>
      <c r="R6" s="68"/>
      <c r="S6" s="68"/>
      <c r="T6" s="68"/>
    </row>
    <row r="7" customFormat="false" ht="15.75" hidden="false" customHeight="true" outlineLevel="0" collapsed="false">
      <c r="B7" s="114" t="s">
        <v>271</v>
      </c>
      <c r="D7" s="116" t="n">
        <v>46047</v>
      </c>
      <c r="P7" s="68"/>
      <c r="Q7" s="68"/>
      <c r="R7" s="68"/>
      <c r="S7" s="68"/>
      <c r="T7" s="68"/>
      <c r="W7" s="32"/>
    </row>
    <row r="8" customFormat="false" ht="14.25" hidden="false" customHeight="true" outlineLevel="0" collapsed="false">
      <c r="Y8" s="89"/>
      <c r="Z8" s="89"/>
      <c r="AA8" s="118"/>
      <c r="AB8" s="118"/>
    </row>
    <row r="9" customFormat="false" ht="14.25" hidden="false" customHeight="true" outlineLevel="0" collapsed="false">
      <c r="A9" s="22" t="s">
        <v>272</v>
      </c>
      <c r="B9" s="88" t="s">
        <v>273</v>
      </c>
      <c r="C9" s="57"/>
      <c r="D9" s="57"/>
      <c r="E9" s="57"/>
      <c r="F9" s="119" t="s">
        <v>53</v>
      </c>
      <c r="G9" s="119" t="str">
        <f aca="false">IF(MID(F9,2,1)="4","Q1 "&amp;RIGHT(F9,4)+1, "Q"&amp;MID(F9,2,1)+1&amp;" "&amp;RIGHT(F9,4))</f>
        <v>Q2 2022</v>
      </c>
      <c r="H9" s="119" t="str">
        <f aca="false">IF(MID(G9,2,1)="4","Q1 "&amp;RIGHT(G9,4)+1, "Q"&amp;MID(G9,2,1)+1&amp;" "&amp;RIGHT(G9,4))</f>
        <v>Q3 2022</v>
      </c>
      <c r="I9" s="119" t="str">
        <f aca="false">IF(MID(H9,2,1)="4","Q1 "&amp;RIGHT(H9,4)+1, "Q"&amp;MID(H9,2,1)+1&amp;" "&amp;RIGHT(H9,4))</f>
        <v>Q4 2022</v>
      </c>
      <c r="J9" s="119" t="str">
        <f aca="false">IF(MID(I9,2,1)="4","Q1 "&amp;RIGHT(I9,4)+1, "Q"&amp;MID(I9,2,1)+1&amp;" "&amp;RIGHT(I9,4))</f>
        <v>Q1 2023</v>
      </c>
      <c r="K9" s="119" t="str">
        <f aca="false">IF(MID(J9,2,1)="4","Q1 "&amp;RIGHT(J9,4)+1, "Q"&amp;MID(J9,2,1)+1&amp;" "&amp;RIGHT(J9,4))</f>
        <v>Q2 2023</v>
      </c>
      <c r="L9" s="119" t="str">
        <f aca="false">IF(MID(K9,2,1)="4","Q1 "&amp;RIGHT(K9,4)+1, "Q"&amp;MID(K9,2,1)+1&amp;" "&amp;RIGHT(K9,4))</f>
        <v>Q3 2023</v>
      </c>
      <c r="M9" s="119" t="str">
        <f aca="false">IF(MID(L9,2,1)="4","Q1 "&amp;RIGHT(L9,4)+1, "Q"&amp;MID(L9,2,1)+1&amp;" "&amp;RIGHT(L9,4))</f>
        <v>Q4 2023</v>
      </c>
      <c r="N9" s="119" t="str">
        <f aca="false">IF(MID(M9,2,1)="4","Q1 "&amp;RIGHT(M9,4)+1, "Q"&amp;MID(M9,2,1)+1&amp;" "&amp;RIGHT(M9,4))</f>
        <v>Q1 2024</v>
      </c>
      <c r="O9" s="119" t="str">
        <f aca="false">IF(MID(N9,2,1)="4","Q1 "&amp;RIGHT(N9,4)+1, "Q"&amp;MID(N9,2,1)+1&amp;" "&amp;RIGHT(N9,4))</f>
        <v>Q2 2024</v>
      </c>
      <c r="P9" s="119" t="str">
        <f aca="false">IF(MID(O9,2,1)="4","Q1 "&amp;RIGHT(O9,4)+1, "Q"&amp;MID(O9,2,1)+1&amp;" "&amp;RIGHT(O9,4))</f>
        <v>Q3 2024</v>
      </c>
      <c r="Q9" s="119" t="str">
        <f aca="false">IF(MID(P9,2,1)="4","Q1 "&amp;RIGHT(P9,4)+1, "Q"&amp;MID(P9,2,1)+1&amp;" "&amp;RIGHT(P9,4))</f>
        <v>Q4 2024</v>
      </c>
      <c r="R9" s="119" t="str">
        <f aca="false">IF(MID(Q9,2,1)="4","Q1 "&amp;RIGHT(Q9,4)+1, "Q"&amp;MID(Q9,2,1)+1&amp;" "&amp;RIGHT(Q9,4))</f>
        <v>Q1 2025</v>
      </c>
      <c r="S9" s="119" t="str">
        <f aca="false">IF(MID(R9,2,1)="4","Q1 "&amp;RIGHT(R9,4)+1, "Q"&amp;MID(R9,2,1)+1&amp;" "&amp;RIGHT(R9,4))</f>
        <v>Q2 2025</v>
      </c>
      <c r="T9" s="119" t="str">
        <f aca="false">IF(MID(S9,2,1)="4","Q1 "&amp;RIGHT(S9,4)+1, "Q"&amp;MID(S9,2,1)+1&amp;" "&amp;RIGHT(S9,4))</f>
        <v>Q3 2025</v>
      </c>
      <c r="U9" s="119" t="str">
        <f aca="false">IF(MID(T9,2,1)="4","Q1 "&amp;RIGHT(T9,4)+1, "Q"&amp;MID(T9,2,1)+1&amp;" "&amp;RIGHT(T9,4))</f>
        <v>Q4 2025</v>
      </c>
      <c r="V9" s="119" t="str">
        <f aca="false">IF(MID(U9,2,1)="4","Q1 "&amp;RIGHT(U9,4)+1, "Q"&amp;MID(U9,2,1)+1&amp;" "&amp;RIGHT(U9,4))</f>
        <v>Q1 2026</v>
      </c>
      <c r="W9" s="119" t="str">
        <f aca="false">IF(MID(V9,2,1)="4","Q1 "&amp;RIGHT(V9,4)+1, "Q"&amp;MID(V9,2,1)+1&amp;" "&amp;RIGHT(V9,4))</f>
        <v>Q2 2026</v>
      </c>
      <c r="X9" s="120" t="str">
        <f aca="false">IF(MID(W9,2,1)="4","Q1 "&amp;RIGHT(W9,4)+1, "Q"&amp;MID(W9,2,1)+1&amp;" "&amp;RIGHT(W9,4))</f>
        <v>Q3 2026</v>
      </c>
      <c r="Y9" s="120" t="str">
        <f aca="false">IF(MID(X9,2,1)="4","Q1 "&amp;RIGHT(X9,4)+1, "Q"&amp;MID(X9,2,1)+1&amp;" "&amp;RIGHT(X9,4))</f>
        <v>Q4 2026</v>
      </c>
      <c r="Z9" s="120" t="str">
        <f aca="false">IF(MID(Y9,2,1)="4","Q1 "&amp;RIGHT(Y9,4)+1, "Q"&amp;MID(Y9,2,1)+1&amp;" "&amp;RIGHT(Y9,4))</f>
        <v>Q1 2027</v>
      </c>
      <c r="AA9" s="120" t="str">
        <f aca="false">IF(MID(Z9,2,1)="4","Q1 "&amp;RIGHT(Z9,4)+1, "Q"&amp;MID(Z9,2,1)+1&amp;" "&amp;RIGHT(Z9,4))</f>
        <v>Q2 2027</v>
      </c>
      <c r="AB9" s="120" t="str">
        <f aca="false">IF(MID(AA9,2,1)="4","Q1 "&amp;RIGHT(AA9,4)+1, "Q"&amp;MID(AA9,2,1)+1&amp;" "&amp;RIGHT(AA9,4))</f>
        <v>Q3 2027</v>
      </c>
      <c r="AC9" s="120" t="str">
        <f aca="false">IF(MID(AB9,2,1)="4","Q1 "&amp;RIGHT(AB9,4)+1, "Q"&amp;MID(AB9,2,1)+1&amp;" "&amp;RIGHT(AB9,4))</f>
        <v>Q4 2027</v>
      </c>
      <c r="AD9" s="120" t="str">
        <f aca="false">IF(MID(AC9,2,1)="4","Q1 "&amp;RIGHT(AC9,4)+1, "Q"&amp;MID(AC9,2,1)+1&amp;" "&amp;RIGHT(AC9,4))</f>
        <v>Q1 2028</v>
      </c>
      <c r="AE9" s="120" t="str">
        <f aca="false">IF(MID(AD9,2,1)="4","Q1 "&amp;RIGHT(AD9,4)+1, "Q"&amp;MID(AD9,2,1)+1&amp;" "&amp;RIGHT(AD9,4))</f>
        <v>Q2 2028</v>
      </c>
      <c r="AF9" s="120" t="str">
        <f aca="false">IF(MID(AE9,2,1)="4","Q1 "&amp;RIGHT(AE9,4)+1, "Q"&amp;MID(AE9,2,1)+1&amp;" "&amp;RIGHT(AE9,4))</f>
        <v>Q3 2028</v>
      </c>
      <c r="AG9" s="120" t="str">
        <f aca="false">IF(MID(AF9,2,1)="4","Q1 "&amp;RIGHT(AF9,4)+1, "Q"&amp;MID(AF9,2,1)+1&amp;" "&amp;RIGHT(AF9,4))</f>
        <v>Q4 2028</v>
      </c>
      <c r="AH9" s="120" t="n">
        <v>2029</v>
      </c>
      <c r="AI9" s="120" t="n">
        <v>2030</v>
      </c>
    </row>
    <row r="10" customFormat="false" ht="14.25" hidden="false" customHeight="true" outlineLevel="0" collapsed="false">
      <c r="B10" s="1" t="s">
        <v>80</v>
      </c>
      <c r="F10" s="68" t="n">
        <f aca="false">'Income Statement'!C9</f>
        <v>5661</v>
      </c>
      <c r="G10" s="68" t="n">
        <f aca="false">'Income Statement'!D9</f>
        <v>6507</v>
      </c>
      <c r="H10" s="68" t="n">
        <f aca="false">'Income Statement'!E9</f>
        <v>7103</v>
      </c>
      <c r="I10" s="68" t="n">
        <f aca="false">'Income Statement'!F9</f>
        <v>7643</v>
      </c>
      <c r="J10" s="68" t="n">
        <f aca="false">'Income Statement'!G9</f>
        <v>8288</v>
      </c>
      <c r="K10" s="68" t="n">
        <f aca="false">'Income Statement'!H9</f>
        <v>6704</v>
      </c>
      <c r="L10" s="68" t="n">
        <f aca="false">'Income Statement'!I9</f>
        <v>5931</v>
      </c>
      <c r="M10" s="68" t="n">
        <f aca="false">'Income Statement'!J9</f>
        <v>6051</v>
      </c>
      <c r="N10" s="68" t="n">
        <f aca="false">'Income Statement'!K9</f>
        <v>7192</v>
      </c>
      <c r="O10" s="68" t="n">
        <f aca="false">'Income Statement'!L9</f>
        <v>13507</v>
      </c>
      <c r="P10" s="68" t="n">
        <f aca="false">'Income Statement'!M9</f>
        <v>18120</v>
      </c>
      <c r="Q10" s="68" t="n">
        <f aca="false">'Income Statement'!N9</f>
        <v>22103</v>
      </c>
      <c r="R10" s="68" t="n">
        <f aca="false">'Income Statement'!O9</f>
        <v>26044</v>
      </c>
      <c r="S10" s="68" t="n">
        <f aca="false">'Income Statement'!P9</f>
        <v>30040</v>
      </c>
      <c r="T10" s="68" t="n">
        <f aca="false">'Income Statement'!Q9</f>
        <v>35082</v>
      </c>
      <c r="U10" s="68" t="n">
        <f aca="false">'Income Statement'!R9</f>
        <v>39331</v>
      </c>
      <c r="V10" s="68" t="n">
        <f aca="false">'Income Statement'!S9</f>
        <v>44062</v>
      </c>
      <c r="W10" s="68" t="n">
        <f aca="false">'Income Statement'!T9</f>
        <v>46743</v>
      </c>
      <c r="X10" s="121" t="n">
        <f aca="false">X48</f>
        <v>51065.6119531285</v>
      </c>
      <c r="Y10" s="121" t="n">
        <f aca="false">Y48</f>
        <v>55195.7788535493</v>
      </c>
      <c r="Z10" s="121" t="n">
        <f aca="false">Z48</f>
        <v>60239.5310591322</v>
      </c>
      <c r="AA10" s="121" t="n">
        <f aca="false">AA48</f>
        <v>64481.7813418993</v>
      </c>
      <c r="AB10" s="121" t="n">
        <f aca="false">AB48</f>
        <v>63741.608062254</v>
      </c>
      <c r="AC10" s="121" t="n">
        <f aca="false">AC48</f>
        <v>68779.720852373</v>
      </c>
      <c r="AD10" s="121" t="n">
        <f aca="false">AD48</f>
        <v>70894.5016513595</v>
      </c>
      <c r="AE10" s="121" t="n">
        <f aca="false">AE48</f>
        <v>73009.2824503461</v>
      </c>
      <c r="AF10" s="121" t="n">
        <f aca="false">AF48</f>
        <v>82763.8869496831</v>
      </c>
      <c r="AG10" s="121" t="n">
        <f aca="false">AG48</f>
        <v>93130.1091727246</v>
      </c>
      <c r="AH10" s="121" t="n">
        <f aca="false">AH48</f>
        <v>259922</v>
      </c>
      <c r="AI10" s="121" t="n">
        <f aca="false">AI48</f>
        <v>319700</v>
      </c>
    </row>
    <row r="11" customFormat="false" ht="14.25" hidden="false" customHeight="true" outlineLevel="0" collapsed="false">
      <c r="B11" s="33" t="s">
        <v>274</v>
      </c>
      <c r="F11" s="22"/>
      <c r="G11" s="122" t="n">
        <f aca="false">G10/F10-1</f>
        <v>0.149443561208267</v>
      </c>
      <c r="H11" s="122" t="n">
        <f aca="false">H10/G10-1</f>
        <v>0.0915936683571539</v>
      </c>
      <c r="I11" s="122" t="n">
        <f aca="false">I10/H10-1</f>
        <v>0.0760242151203716</v>
      </c>
      <c r="J11" s="122" t="n">
        <f aca="false">J10/I10-1</f>
        <v>0.084390945963627</v>
      </c>
      <c r="K11" s="122" t="n">
        <f aca="false">K10/J10-1</f>
        <v>-0.191119691119691</v>
      </c>
      <c r="L11" s="122" t="n">
        <f aca="false">L10/K10-1</f>
        <v>-0.115304295942721</v>
      </c>
      <c r="M11" s="122" t="n">
        <f aca="false">M10/L10-1</f>
        <v>0.0202326757713707</v>
      </c>
      <c r="N11" s="122" t="n">
        <f aca="false">N10/M10-1</f>
        <v>0.188563873739878</v>
      </c>
      <c r="O11" s="122" t="n">
        <f aca="false">O10/N10-1</f>
        <v>0.878058954393771</v>
      </c>
      <c r="P11" s="122" t="n">
        <f aca="false">P10/O10-1</f>
        <v>0.34152661582883</v>
      </c>
      <c r="Q11" s="122" t="n">
        <f aca="false">Q10/P10-1</f>
        <v>0.219812362030905</v>
      </c>
      <c r="R11" s="122" t="n">
        <f aca="false">R10/Q10-1</f>
        <v>0.178301588019726</v>
      </c>
      <c r="S11" s="122" t="n">
        <f aca="false">S10/R10-1</f>
        <v>0.153432652434342</v>
      </c>
      <c r="T11" s="122" t="n">
        <f aca="false">T10/S10-1</f>
        <v>0.167842876165113</v>
      </c>
      <c r="U11" s="122" t="n">
        <f aca="false">U10/T10-1</f>
        <v>0.121116241947437</v>
      </c>
      <c r="V11" s="122" t="n">
        <f aca="false">V10/U10-1</f>
        <v>0.120286796674379</v>
      </c>
      <c r="W11" s="122" t="n">
        <f aca="false">W10/V10-1</f>
        <v>0.0608460805228996</v>
      </c>
      <c r="X11" s="122" t="n">
        <f aca="false">X10/W10-1</f>
        <v>0.0924761344613854</v>
      </c>
      <c r="Y11" s="122" t="n">
        <f aca="false">Y10/X10-1</f>
        <v>0.0808796123742079</v>
      </c>
      <c r="Z11" s="122" t="n">
        <f aca="false">Z10/Y10-1</f>
        <v>0.0913793103448275</v>
      </c>
      <c r="AA11" s="122" t="n">
        <f aca="false">AA10/Z10-1</f>
        <v>0.0704230296647359</v>
      </c>
      <c r="AB11" s="122" t="n">
        <f aca="false">AB10/AA10-1</f>
        <v>-0.0114787970220721</v>
      </c>
      <c r="AC11" s="122" t="n">
        <f aca="false">AC10/AB10-1</f>
        <v>0.0790396248742025</v>
      </c>
      <c r="AD11" s="122" t="n">
        <f aca="false">AD10/AC10-1</f>
        <v>0.0307471558880803</v>
      </c>
      <c r="AE11" s="122" t="n">
        <f aca="false">AE10/AD10-1</f>
        <v>0.0298299691756985</v>
      </c>
      <c r="AF11" s="122" t="n">
        <f aca="false">AF10/AE10-1</f>
        <v>0.133607730030372</v>
      </c>
      <c r="AG11" s="122" t="n">
        <f aca="false">AG10/AF10-1</f>
        <v>0.125250548338114</v>
      </c>
      <c r="AH11" s="122" t="n">
        <f aca="false">AH10/AG10-1</f>
        <v>1.79095560296116</v>
      </c>
      <c r="AI11" s="122" t="n">
        <f aca="false">AI10/AH10-1</f>
        <v>0.229984379929364</v>
      </c>
    </row>
    <row r="12" customFormat="false" ht="14.25" hidden="false" customHeight="true" outlineLevel="0" collapsed="false">
      <c r="B12" s="33"/>
      <c r="G12" s="24"/>
      <c r="H12" s="24"/>
      <c r="I12" s="24"/>
      <c r="J12" s="24"/>
      <c r="K12" s="24"/>
      <c r="L12" s="24"/>
      <c r="M12" s="24"/>
      <c r="N12" s="24"/>
      <c r="O12" s="24"/>
      <c r="P12" s="24"/>
      <c r="Q12" s="24"/>
      <c r="X12" s="22"/>
      <c r="Y12" s="22"/>
      <c r="Z12" s="22"/>
      <c r="AA12" s="22"/>
      <c r="AB12" s="22"/>
      <c r="AC12" s="22"/>
      <c r="AD12" s="22"/>
      <c r="AE12" s="22"/>
      <c r="AF12" s="22"/>
      <c r="AG12" s="22"/>
    </row>
    <row r="13" customFormat="false" ht="14.25" hidden="false" customHeight="true" outlineLevel="0" collapsed="false">
      <c r="B13" s="1" t="s">
        <v>275</v>
      </c>
      <c r="F13" s="68" t="n">
        <f aca="false">'Income Statement'!C11</f>
        <v>3629</v>
      </c>
      <c r="G13" s="68" t="n">
        <f aca="false">'Income Statement'!D11</f>
        <v>4215</v>
      </c>
      <c r="H13" s="68" t="n">
        <f aca="false">'Income Statement'!E11</f>
        <v>4631</v>
      </c>
      <c r="I13" s="68" t="n">
        <f aca="false">'Income Statement'!F11</f>
        <v>5000</v>
      </c>
      <c r="J13" s="68" t="n">
        <f aca="false">'Income Statement'!G11</f>
        <v>5431</v>
      </c>
      <c r="K13" s="68" t="n">
        <f aca="false">'Income Statement'!H11</f>
        <v>2915</v>
      </c>
      <c r="L13" s="68" t="n">
        <f aca="false">'Income Statement'!I11</f>
        <v>3177</v>
      </c>
      <c r="M13" s="68" t="n">
        <f aca="false">'Income Statement'!J11</f>
        <v>3833</v>
      </c>
      <c r="N13" s="68" t="n">
        <f aca="false">'Income Statement'!K11</f>
        <v>4648</v>
      </c>
      <c r="O13" s="68" t="n">
        <f aca="false">'Income Statement'!L11</f>
        <v>9462</v>
      </c>
      <c r="P13" s="68" t="n">
        <f aca="false">'Income Statement'!M11</f>
        <v>13400</v>
      </c>
      <c r="Q13" s="68" t="n">
        <f aca="false">'Income Statement'!N11</f>
        <v>16791</v>
      </c>
      <c r="R13" s="68" t="n">
        <f aca="false">'Income Statement'!O11</f>
        <v>20406</v>
      </c>
      <c r="S13" s="68" t="n">
        <f aca="false">'Income Statement'!P11</f>
        <v>22574</v>
      </c>
      <c r="T13" s="68" t="n">
        <f aca="false">'Income Statement'!Q11</f>
        <v>26156</v>
      </c>
      <c r="U13" s="68" t="n">
        <f aca="false">'Income Statement'!R11</f>
        <v>28723</v>
      </c>
      <c r="V13" s="68" t="n">
        <f aca="false">'Income Statement'!S11</f>
        <v>26668</v>
      </c>
      <c r="W13" s="68" t="n">
        <f aca="false">'Income Statement'!T11</f>
        <v>33853</v>
      </c>
      <c r="X13" s="121" t="n">
        <f aca="false">X10*X14</f>
        <v>38963.0619202371</v>
      </c>
      <c r="Y13" s="121" t="n">
        <f aca="false">Y10*Y14</f>
        <v>38710.6138599276</v>
      </c>
      <c r="Z13" s="121" t="n">
        <f aca="false">Z10*Z14</f>
        <v>42510.4940495178</v>
      </c>
      <c r="AA13" s="121" t="n">
        <f aca="false">AA10*AA14</f>
        <v>45037.4247133542</v>
      </c>
      <c r="AB13" s="121" t="n">
        <f aca="false">AB10*AB14</f>
        <v>46121.2067937938</v>
      </c>
      <c r="AC13" s="121" t="n">
        <f aca="false">AC10*AC14</f>
        <v>49323.2409331546</v>
      </c>
      <c r="AD13" s="121" t="n">
        <f aca="false">AD10*AD14</f>
        <v>50140.8619668591</v>
      </c>
      <c r="AE13" s="121" t="n">
        <f aca="false">AE10*AE14</f>
        <v>51924.6949013623</v>
      </c>
      <c r="AF13" s="121" t="n">
        <f aca="false">AF10*AF14</f>
        <v>58894.7048332082</v>
      </c>
      <c r="AG13" s="121" t="n">
        <f aca="false">AG10*AG14</f>
        <v>66568.2634525156</v>
      </c>
      <c r="AH13" s="121" t="n">
        <f aca="false">AH10*AH14</f>
        <v>185011.505276611</v>
      </c>
      <c r="AI13" s="121" t="n">
        <f aca="false">AI10*AI14</f>
        <v>227374.942685595</v>
      </c>
    </row>
    <row r="14" customFormat="false" ht="14.25" hidden="false" customHeight="true" outlineLevel="0" collapsed="false">
      <c r="B14" s="33" t="s">
        <v>276</v>
      </c>
      <c r="F14" s="122" t="n">
        <f aca="false">F13/F$10</f>
        <v>0.641052817523406</v>
      </c>
      <c r="G14" s="122" t="n">
        <f aca="false">G13/G$10</f>
        <v>0.647763946519133</v>
      </c>
      <c r="H14" s="122" t="n">
        <f aca="false">H13/H$10</f>
        <v>0.651978037448965</v>
      </c>
      <c r="I14" s="122" t="n">
        <f aca="false">I13/I$10</f>
        <v>0.654193379562999</v>
      </c>
      <c r="J14" s="122" t="n">
        <f aca="false">J13/J$10</f>
        <v>0.655284749034749</v>
      </c>
      <c r="K14" s="122" t="n">
        <f aca="false">K13/K$10</f>
        <v>0.434815035799523</v>
      </c>
      <c r="L14" s="122" t="n">
        <f aca="false">L13/L$10</f>
        <v>0.535660091047041</v>
      </c>
      <c r="M14" s="122" t="n">
        <f aca="false">M13/M$10</f>
        <v>0.633449016691456</v>
      </c>
      <c r="N14" s="122" t="n">
        <f aca="false">N13/N$10</f>
        <v>0.646273637374861</v>
      </c>
      <c r="O14" s="122" t="n">
        <f aca="false">O13/O$10</f>
        <v>0.700525653364922</v>
      </c>
      <c r="P14" s="122" t="n">
        <f aca="false">P13/P$10</f>
        <v>0.739514348785872</v>
      </c>
      <c r="Q14" s="122" t="n">
        <f aca="false">Q13/Q$10</f>
        <v>0.759670632945754</v>
      </c>
      <c r="R14" s="122" t="n">
        <f aca="false">R13/R$10</f>
        <v>0.783520196590386</v>
      </c>
      <c r="S14" s="122" t="n">
        <f aca="false">S13/S$10</f>
        <v>0.751464713715047</v>
      </c>
      <c r="T14" s="122" t="n">
        <f aca="false">T13/T$10</f>
        <v>0.745567527506984</v>
      </c>
      <c r="U14" s="122" t="n">
        <f aca="false">U13/U$10</f>
        <v>0.730289084945717</v>
      </c>
      <c r="V14" s="122" t="n">
        <f aca="false">V13/V$10</f>
        <v>0.60523807362353</v>
      </c>
      <c r="W14" s="122" t="n">
        <f aca="false">W13/W$10</f>
        <v>0.724236784117408</v>
      </c>
      <c r="X14" s="122" t="n">
        <v>0.763</v>
      </c>
      <c r="Y14" s="122" t="n">
        <f aca="false">AVERAGE(T14:W14)</f>
        <v>0.70133286754841</v>
      </c>
      <c r="Z14" s="122" t="n">
        <f aca="false">AVERAGE(U14:X14)</f>
        <v>0.705690985671664</v>
      </c>
      <c r="AA14" s="122" t="n">
        <f aca="false">AVERAGE(V14:Y14)</f>
        <v>0.698451931322337</v>
      </c>
      <c r="AB14" s="122" t="n">
        <f aca="false">AVERAGE(W14:Z14)</f>
        <v>0.72356515933437</v>
      </c>
      <c r="AC14" s="122" t="n">
        <f aca="false">AVERAGE(X14:AA14)</f>
        <v>0.717118946135603</v>
      </c>
      <c r="AD14" s="122" t="n">
        <f aca="false">AVERAGE(Y14:AB14)</f>
        <v>0.707260235969195</v>
      </c>
      <c r="AE14" s="122" t="n">
        <f aca="false">AVERAGE(Z14:AC14)</f>
        <v>0.711206755615994</v>
      </c>
      <c r="AF14" s="122" t="n">
        <f aca="false">AVERAGE(AA14:AD14)</f>
        <v>0.711599068190376</v>
      </c>
      <c r="AG14" s="122" t="n">
        <f aca="false">AVERAGE(AB14:AE14)</f>
        <v>0.714787774263791</v>
      </c>
      <c r="AH14" s="122" t="n">
        <f aca="false">AVERAGE(AC14:AF14)</f>
        <v>0.711796251477792</v>
      </c>
      <c r="AI14" s="122" t="n">
        <f aca="false">AVERAGE(AD14:AG14)</f>
        <v>0.711213458509839</v>
      </c>
    </row>
    <row r="15" customFormat="false" ht="14.25" hidden="false" customHeight="true" outlineLevel="0" collapsed="false">
      <c r="X15" s="22"/>
      <c r="Y15" s="22"/>
      <c r="Z15" s="22"/>
      <c r="AA15" s="22"/>
      <c r="AB15" s="22"/>
      <c r="AC15" s="22"/>
      <c r="AD15" s="22"/>
      <c r="AE15" s="22"/>
      <c r="AF15" s="22"/>
      <c r="AG15" s="22"/>
    </row>
    <row r="16" customFormat="false" ht="14.25" hidden="false" customHeight="true" outlineLevel="0" collapsed="false">
      <c r="B16" s="1" t="s">
        <v>277</v>
      </c>
      <c r="F16" s="68" t="n">
        <f aca="false">'Income Statement'!C19+'Income Statement'!C20+'Income Statement'!C21</f>
        <v>1909</v>
      </c>
      <c r="G16" s="68" t="n">
        <f aca="false">'Income Statement'!D19+'Income Statement'!D20+'Income Statement'!D21</f>
        <v>2390</v>
      </c>
      <c r="H16" s="68" t="n">
        <f aca="false">'Income Statement'!E19+'Income Statement'!E20+'Income Statement'!E21</f>
        <v>2616</v>
      </c>
      <c r="I16" s="68" t="n">
        <f aca="false">'Income Statement'!F19+'Income Statement'!F20+'Income Statement'!F21</f>
        <v>2919</v>
      </c>
      <c r="J16" s="68" t="n">
        <f aca="false">'Income Statement'!G19+'Income Statement'!G20+'Income Statement'!G21</f>
        <v>1818</v>
      </c>
      <c r="K16" s="68" t="n">
        <f aca="false">'Income Statement'!H19+'Income Statement'!H20+'Income Statement'!H21</f>
        <v>480</v>
      </c>
      <c r="L16" s="68" t="n">
        <f aca="false">'Income Statement'!I19+'Income Statement'!I20+'Income Statement'!I21</f>
        <v>624</v>
      </c>
      <c r="M16" s="68" t="n">
        <f aca="false">'Income Statement'!J19+'Income Statement'!J20+'Income Statement'!J21</f>
        <v>1307</v>
      </c>
      <c r="N16" s="68" t="n">
        <f aca="false">'Income Statement'!K19+'Income Statement'!K20+'Income Statement'!K21</f>
        <v>2224</v>
      </c>
      <c r="O16" s="68" t="n">
        <f aca="false">'Income Statement'!L19+'Income Statement'!L20+'Income Statement'!L21</f>
        <v>6922</v>
      </c>
      <c r="P16" s="68" t="n">
        <f aca="false">'Income Statement'!M19+'Income Statement'!M20+'Income Statement'!M21</f>
        <v>10588</v>
      </c>
      <c r="Q16" s="68" t="n">
        <f aca="false">'Income Statement'!N19+'Income Statement'!N20+'Income Statement'!N21</f>
        <v>13847</v>
      </c>
      <c r="R16" s="68" t="n">
        <f aca="false">'Income Statement'!O19+'Income Statement'!O20+'Income Statement'!O21</f>
        <v>17204</v>
      </c>
      <c r="S16" s="68" t="n">
        <f aca="false">'Income Statement'!P19+'Income Statement'!P20+'Income Statement'!P21</f>
        <v>19025</v>
      </c>
      <c r="T16" s="68" t="n">
        <f aca="false">'Income Statement'!Q19+'Income Statement'!Q20+'Income Statement'!Q21</f>
        <v>22280</v>
      </c>
      <c r="U16" s="68" t="n">
        <f aca="false">'Income Statement'!R19+'Income Statement'!R20+'Income Statement'!R21</f>
        <v>24484</v>
      </c>
      <c r="V16" s="68" t="n">
        <f aca="false">'Income Statement'!S19+'Income Statement'!S20+'Income Statement'!S21</f>
        <v>22090</v>
      </c>
      <c r="W16" s="68" t="n">
        <f aca="false">'Income Statement'!T19+'Income Statement'!T20+'Income Statement'!T21</f>
        <v>28970</v>
      </c>
      <c r="X16" s="121" t="n">
        <f aca="false">X13-(X10*$D$41)</f>
        <v>32961.0335787864</v>
      </c>
      <c r="Y16" s="121" t="n">
        <f aca="false">Y13-(Y10*$D$41)</f>
        <v>32223.1437927614</v>
      </c>
      <c r="Z16" s="121" t="n">
        <f aca="false">Z13-(Z10*$D$41)</f>
        <v>35430.2034417312</v>
      </c>
      <c r="AA16" s="121" t="n">
        <f aca="false">AA13-(AA10*$D$41)</f>
        <v>37458.5185900605</v>
      </c>
      <c r="AB16" s="121" t="n">
        <f aca="false">AB13-(AB10*$D$41)</f>
        <v>38629.2973955387</v>
      </c>
      <c r="AC16" s="121" t="n">
        <f aca="false">AC13-(AC10*$D$41)</f>
        <v>41239.17382647</v>
      </c>
      <c r="AD16" s="121" t="n">
        <f aca="false">AD13-(AD10*$D$41)</f>
        <v>41808.2327886354</v>
      </c>
      <c r="AE16" s="121" t="n">
        <f aca="false">AE13-(AE10*$D$41)</f>
        <v>43343.5036515998</v>
      </c>
      <c r="AF16" s="121" t="n">
        <f aca="false">AF13-(AF10*$D$41)</f>
        <v>49167.0000996083</v>
      </c>
      <c r="AG16" s="121" t="n">
        <f aca="false">AG13-(AG10*$D$41)</f>
        <v>55622.1583669611</v>
      </c>
      <c r="AH16" s="121" t="n">
        <f aca="false">AH13-(AH10*$D$41)</f>
        <v>154461.411957481</v>
      </c>
      <c r="AI16" s="121" t="n">
        <f aca="false">AI13-(AI10*$D$41)</f>
        <v>189798.805097681</v>
      </c>
    </row>
    <row r="17" customFormat="false" ht="14.25" hidden="false" customHeight="true" outlineLevel="0" collapsed="false">
      <c r="B17" s="33" t="s">
        <v>276</v>
      </c>
      <c r="F17" s="122" t="n">
        <f aca="false">F16/F$10</f>
        <v>0.33721957251369</v>
      </c>
      <c r="G17" s="122" t="n">
        <f aca="false">G16/G$10</f>
        <v>0.367296757338251</v>
      </c>
      <c r="H17" s="122" t="n">
        <f aca="false">H16/H$10</f>
        <v>0.368295086583134</v>
      </c>
      <c r="I17" s="122" t="n">
        <f aca="false">I16/I$10</f>
        <v>0.381918094988879</v>
      </c>
      <c r="J17" s="122" t="n">
        <f aca="false">J16/J$10</f>
        <v>0.219353281853282</v>
      </c>
      <c r="K17" s="122" t="n">
        <f aca="false">K16/K$10</f>
        <v>0.0715990453460621</v>
      </c>
      <c r="L17" s="122" t="n">
        <f aca="false">L16/L$10</f>
        <v>0.105209914011128</v>
      </c>
      <c r="M17" s="122" t="n">
        <f aca="false">M16/M$10</f>
        <v>0.215997355808957</v>
      </c>
      <c r="N17" s="122" t="n">
        <f aca="false">N16/N$10</f>
        <v>0.309232480533927</v>
      </c>
      <c r="O17" s="122" t="n">
        <f aca="false">O16/O$10</f>
        <v>0.512475012956245</v>
      </c>
      <c r="P17" s="122" t="n">
        <f aca="false">P16/P$10</f>
        <v>0.584326710816777</v>
      </c>
      <c r="Q17" s="122" t="n">
        <f aca="false">Q16/Q$10</f>
        <v>0.626476043975931</v>
      </c>
      <c r="R17" s="122" t="n">
        <f aca="false">R16/R$10</f>
        <v>0.660574412532637</v>
      </c>
      <c r="S17" s="122" t="n">
        <f aca="false">S16/S$10</f>
        <v>0.63332223701731</v>
      </c>
      <c r="T17" s="122" t="n">
        <f aca="false">T16/T$10</f>
        <v>0.635083518613534</v>
      </c>
      <c r="U17" s="122" t="n">
        <f aca="false">U16/U$10</f>
        <v>0.622511504919783</v>
      </c>
      <c r="V17" s="122" t="n">
        <f aca="false">V16/V$10</f>
        <v>0.501339022286778</v>
      </c>
      <c r="W17" s="122" t="n">
        <f aca="false">W16/W$10</f>
        <v>0.619771944462273</v>
      </c>
      <c r="X17" s="122" t="n">
        <f aca="false">X16/X$10</f>
        <v>0.645464380394388</v>
      </c>
      <c r="Y17" s="122" t="n">
        <f aca="false">Y16/Y10</f>
        <v>0.583797247942798</v>
      </c>
      <c r="Z17" s="122" t="n">
        <f aca="false">Z16/Z10</f>
        <v>0.588155366066052</v>
      </c>
      <c r="AA17" s="122" t="n">
        <f aca="false">AA16/AA10</f>
        <v>0.580916311716725</v>
      </c>
      <c r="AB17" s="122" t="n">
        <f aca="false">AB16/AB10</f>
        <v>0.606029539728758</v>
      </c>
      <c r="AC17" s="122" t="n">
        <f aca="false">AC16/AC10</f>
        <v>0.599583326529991</v>
      </c>
      <c r="AD17" s="122" t="n">
        <f aca="false">AD16/AD10</f>
        <v>0.589724616363583</v>
      </c>
      <c r="AE17" s="122" t="n">
        <f aca="false">AE16/AE10</f>
        <v>0.593671136010382</v>
      </c>
      <c r="AF17" s="122" t="n">
        <f aca="false">AF16/AF10</f>
        <v>0.594063448584764</v>
      </c>
      <c r="AG17" s="122" t="n">
        <f aca="false">AG16/AG10</f>
        <v>0.597252154658178</v>
      </c>
      <c r="AH17" s="122" t="n">
        <f aca="false">AH16/AH10</f>
        <v>0.59426063187218</v>
      </c>
      <c r="AI17" s="122" t="n">
        <f aca="false">AI16/AI10</f>
        <v>0.593677838904227</v>
      </c>
    </row>
    <row r="18" customFormat="false" ht="14.25" hidden="false" customHeight="true" outlineLevel="0" collapsed="false">
      <c r="X18" s="22"/>
      <c r="Y18" s="22"/>
      <c r="Z18" s="22"/>
      <c r="AA18" s="22"/>
      <c r="AB18" s="22"/>
      <c r="AC18" s="22"/>
      <c r="AD18" s="22"/>
      <c r="AE18" s="22"/>
      <c r="AF18" s="22"/>
      <c r="AG18" s="22"/>
    </row>
    <row r="19" customFormat="false" ht="14.25" hidden="false" customHeight="true" outlineLevel="0" collapsed="false">
      <c r="B19" s="1" t="s">
        <v>278</v>
      </c>
      <c r="F19" s="42" t="str">
        <f aca="false">'Income Statement'!C26</f>
        <v>132</v>
      </c>
      <c r="G19" s="42" t="str">
        <f aca="false">'Income Statement'!D26</f>
        <v>20</v>
      </c>
      <c r="H19" s="42" t="str">
        <f aca="false">'Income Statement'!E26</f>
        <v>174</v>
      </c>
      <c r="I19" s="42" t="n">
        <f aca="false">'Income Statement'!F26</f>
        <v>-137</v>
      </c>
      <c r="J19" s="42" t="n">
        <f aca="false">'Income Statement'!G26</f>
        <v>187</v>
      </c>
      <c r="K19" s="42" t="n">
        <f aca="false">'Income Statement'!H26</f>
        <v>-181</v>
      </c>
      <c r="L19" s="42" t="n">
        <f aca="false">'Income Statement'!I26</f>
        <v>-67</v>
      </c>
      <c r="M19" s="68" t="n">
        <f aca="false">'Income Statement'!J26</f>
        <v>-126</v>
      </c>
      <c r="N19" s="68" t="n">
        <f aca="false">'Income Statement'!K26</f>
        <v>166</v>
      </c>
      <c r="O19" s="68" t="n">
        <f aca="false">'Income Statement'!L26</f>
        <v>793</v>
      </c>
      <c r="P19" s="68" t="n">
        <f aca="false">'Income Statement'!M26</f>
        <v>1279</v>
      </c>
      <c r="Q19" s="68" t="n">
        <f aca="false">'Income Statement'!N26</f>
        <v>1820</v>
      </c>
      <c r="R19" s="68" t="n">
        <f aca="false">'Income Statement'!O26</f>
        <v>2398</v>
      </c>
      <c r="S19" s="68" t="n">
        <f aca="false">'Income Statement'!P26</f>
        <v>2615</v>
      </c>
      <c r="T19" s="68" t="n">
        <f aca="false">'Income Statement'!Q26</f>
        <v>3007</v>
      </c>
      <c r="U19" s="68" t="n">
        <f aca="false">'Income Statement'!R26</f>
        <v>3126</v>
      </c>
      <c r="V19" s="68" t="n">
        <f aca="false">'Income Statement'!S26</f>
        <v>3135</v>
      </c>
      <c r="W19" s="68" t="n">
        <f aca="false">'Income Statement'!T26</f>
        <v>4784</v>
      </c>
      <c r="X19" s="121" t="n">
        <f aca="false">X16*X20</f>
        <v>5603.37570839368</v>
      </c>
      <c r="Y19" s="121" t="n">
        <f aca="false">Y16*Y20</f>
        <v>5477.93444476943</v>
      </c>
      <c r="Z19" s="121" t="n">
        <f aca="false">Z16*Z20</f>
        <v>6023.13458509431</v>
      </c>
      <c r="AA19" s="121" t="n">
        <f aca="false">AA16*AA20</f>
        <v>6367.94816031028</v>
      </c>
      <c r="AB19" s="121" t="n">
        <f aca="false">AB16*AB20</f>
        <v>6566.98055724158</v>
      </c>
      <c r="AC19" s="121" t="n">
        <f aca="false">AC16*AC20</f>
        <v>7010.65955049989</v>
      </c>
      <c r="AD19" s="121" t="n">
        <f aca="false">AD16*AD20</f>
        <v>7107.39957406802</v>
      </c>
      <c r="AE19" s="121" t="n">
        <f aca="false">AE16*AE20</f>
        <v>7368.39562077196</v>
      </c>
      <c r="AF19" s="121" t="n">
        <f aca="false">AF16*AF20</f>
        <v>8358.39001693341</v>
      </c>
      <c r="AG19" s="121" t="n">
        <f aca="false">AG16*AG20</f>
        <v>9455.7669223834</v>
      </c>
      <c r="AH19" s="121" t="n">
        <f aca="false">AH16*AH20</f>
        <v>26258.4400327717</v>
      </c>
      <c r="AI19" s="121" t="n">
        <f aca="false">AI16*AI20</f>
        <v>32265.7968666058</v>
      </c>
    </row>
    <row r="20" customFormat="false" ht="14.25" hidden="false" customHeight="true" outlineLevel="0" collapsed="false">
      <c r="B20" s="33" t="s">
        <v>279</v>
      </c>
      <c r="F20" s="122" t="n">
        <f aca="false">F19/'Income Statement'!C25</f>
        <v>0.0645792563600783</v>
      </c>
      <c r="G20" s="122" t="n">
        <f aca="false">G19/'Income Statement'!D25</f>
        <v>0.00835421888053467</v>
      </c>
      <c r="H20" s="122" t="n">
        <f aca="false">H19/'Income Statement'!E25</f>
        <v>0.065959059893859</v>
      </c>
      <c r="I20" s="122" t="n">
        <f aca="false">I19/'Income Statement'!F25</f>
        <v>-0.0478184991273997</v>
      </c>
      <c r="J20" s="122" t="n">
        <f aca="false">J19/'Income Statement'!G25</f>
        <v>0.103601108033241</v>
      </c>
      <c r="K20" s="122" t="n">
        <f aca="false">K19/'Income Statement'!H25</f>
        <v>-0.381052631578947</v>
      </c>
      <c r="L20" s="122" t="n">
        <f aca="false">L19/'Income Statement'!I25</f>
        <v>-0.109298531810767</v>
      </c>
      <c r="M20" s="122" t="n">
        <f aca="false">M19/'Income Statement'!J25</f>
        <v>-0.0978260869565217</v>
      </c>
      <c r="N20" s="122" t="n">
        <f aca="false">N19/'Income Statement'!K25</f>
        <v>0.0751471253961068</v>
      </c>
      <c r="O20" s="122" t="n">
        <f aca="false">O19/'Income Statement'!L25</f>
        <v>0.113594040968343</v>
      </c>
      <c r="P20" s="122" t="n">
        <f aca="false">P19/'Income Statement'!M25</f>
        <v>0.121554837483368</v>
      </c>
      <c r="Q20" s="122" t="n">
        <f aca="false">Q19/'Income Statement'!N25</f>
        <v>0.129023110733021</v>
      </c>
      <c r="R20" s="122" t="n">
        <f aca="false">R19/'Income Statement'!O25</f>
        <v>0.138781179466404</v>
      </c>
      <c r="S20" s="122" t="n">
        <f aca="false">S19/'Income Statement'!P25</f>
        <v>0.136098678047257</v>
      </c>
      <c r="T20" s="122" t="n">
        <f aca="false">T19/'Income Statement'!Q25</f>
        <v>0.134746370317261</v>
      </c>
      <c r="U20" s="122" t="n">
        <f aca="false">U19/'Income Statement'!R25</f>
        <v>0.123963992544712</v>
      </c>
      <c r="V20" s="122" t="n">
        <f aca="false">V19/'Income Statement'!S25</f>
        <v>0.143085349155637</v>
      </c>
      <c r="W20" s="122" t="n">
        <f aca="false">W19/'Income Statement'!T25</f>
        <v>0.153303851823367</v>
      </c>
      <c r="X20" s="122" t="n">
        <v>0.17</v>
      </c>
      <c r="Y20" s="122" t="n">
        <v>0.17</v>
      </c>
      <c r="Z20" s="122" t="n">
        <v>0.17</v>
      </c>
      <c r="AA20" s="122" t="n">
        <v>0.17</v>
      </c>
      <c r="AB20" s="122" t="n">
        <v>0.17</v>
      </c>
      <c r="AC20" s="122" t="n">
        <v>0.17</v>
      </c>
      <c r="AD20" s="122" t="n">
        <v>0.17</v>
      </c>
      <c r="AE20" s="122" t="n">
        <v>0.17</v>
      </c>
      <c r="AF20" s="122" t="n">
        <v>0.17</v>
      </c>
      <c r="AG20" s="122" t="n">
        <v>0.17</v>
      </c>
      <c r="AH20" s="122" t="n">
        <v>0.17</v>
      </c>
      <c r="AI20" s="122" t="n">
        <v>0.17</v>
      </c>
    </row>
    <row r="21" customFormat="false" ht="14.25" hidden="false" customHeight="true" outlineLevel="0" collapsed="false">
      <c r="Y21" s="32"/>
    </row>
    <row r="22" customFormat="false" ht="14.25" hidden="false" customHeight="true" outlineLevel="0" collapsed="false">
      <c r="A22" s="22" t="s">
        <v>272</v>
      </c>
      <c r="B22" s="88" t="s">
        <v>280</v>
      </c>
      <c r="C22" s="57"/>
      <c r="D22" s="57"/>
      <c r="E22" s="57"/>
      <c r="F22" s="57" t="s">
        <v>53</v>
      </c>
      <c r="G22" s="57" t="str">
        <f aca="false">IF(MID(F22,2,1)="4","Q1 "&amp;RIGHT(F22,4)+1, "Q"&amp;MID(F22,2,1)+1&amp;" "&amp;RIGHT(F22,4))</f>
        <v>Q2 2022</v>
      </c>
      <c r="H22" s="57" t="str">
        <f aca="false">IF(MID(G22,2,1)="4","Q1 "&amp;RIGHT(G22,4)+1, "Q"&amp;MID(G22,2,1)+1&amp;" "&amp;RIGHT(G22,4))</f>
        <v>Q3 2022</v>
      </c>
      <c r="I22" s="57" t="str">
        <f aca="false">IF(MID(H22,2,1)="4","Q1 "&amp;RIGHT(H22,4)+1, "Q"&amp;MID(H22,2,1)+1&amp;" "&amp;RIGHT(H22,4))</f>
        <v>Q4 2022</v>
      </c>
      <c r="J22" s="57" t="str">
        <f aca="false">IF(MID(I22,2,1)="4","Q1 "&amp;RIGHT(I22,4)+1, "Q"&amp;MID(I22,2,1)+1&amp;" "&amp;RIGHT(I22,4))</f>
        <v>Q1 2023</v>
      </c>
      <c r="K22" s="57" t="str">
        <f aca="false">IF(MID(J22,2,1)="4","Q1 "&amp;RIGHT(J22,4)+1, "Q"&amp;MID(J22,2,1)+1&amp;" "&amp;RIGHT(J22,4))</f>
        <v>Q2 2023</v>
      </c>
      <c r="L22" s="57" t="str">
        <f aca="false">IF(MID(K22,2,1)="4","Q1 "&amp;RIGHT(K22,4)+1, "Q"&amp;MID(K22,2,1)+1&amp;" "&amp;RIGHT(K22,4))</f>
        <v>Q3 2023</v>
      </c>
      <c r="M22" s="57" t="str">
        <f aca="false">IF(MID(L22,2,1)="4","Q1 "&amp;RIGHT(L22,4)+1, "Q"&amp;MID(L22,2,1)+1&amp;" "&amp;RIGHT(L22,4))</f>
        <v>Q4 2023</v>
      </c>
      <c r="N22" s="57" t="str">
        <f aca="false">IF(MID(M22,2,1)="4","Q1 "&amp;RIGHT(M22,4)+1, "Q"&amp;MID(M22,2,1)+1&amp;" "&amp;RIGHT(M22,4))</f>
        <v>Q1 2024</v>
      </c>
      <c r="O22" s="57" t="str">
        <f aca="false">IF(MID(N22,2,1)="4","Q1 "&amp;RIGHT(N22,4)+1, "Q"&amp;MID(N22,2,1)+1&amp;" "&amp;RIGHT(N22,4))</f>
        <v>Q2 2024</v>
      </c>
      <c r="P22" s="57" t="str">
        <f aca="false">IF(MID(O22,2,1)="4","Q1 "&amp;RIGHT(O22,4)+1, "Q"&amp;MID(O22,2,1)+1&amp;" "&amp;RIGHT(O22,4))</f>
        <v>Q3 2024</v>
      </c>
      <c r="Q22" s="57" t="str">
        <f aca="false">IF(MID(P22,2,1)="4","Q1 "&amp;RIGHT(P22,4)+1, "Q"&amp;MID(P22,2,1)+1&amp;" "&amp;RIGHT(P22,4))</f>
        <v>Q4 2024</v>
      </c>
      <c r="R22" s="57" t="str">
        <f aca="false">IF(MID(Q22,2,1)="4","Q1 "&amp;RIGHT(Q22,4)+1, "Q"&amp;MID(Q22,2,1)+1&amp;" "&amp;RIGHT(Q22,4))</f>
        <v>Q1 2025</v>
      </c>
      <c r="S22" s="57" t="str">
        <f aca="false">IF(MID(R22,2,1)="4","Q1 "&amp;RIGHT(R22,4)+1, "Q"&amp;MID(R22,2,1)+1&amp;" "&amp;RIGHT(R22,4))</f>
        <v>Q2 2025</v>
      </c>
      <c r="T22" s="57" t="str">
        <f aca="false">IF(MID(S22,2,1)="4","Q1 "&amp;RIGHT(S22,4)+1, "Q"&amp;MID(S22,2,1)+1&amp;" "&amp;RIGHT(S22,4))</f>
        <v>Q3 2025</v>
      </c>
      <c r="U22" s="57" t="str">
        <f aca="false">IF(MID(T22,2,1)="4","Q1 "&amp;RIGHT(T22,4)+1, "Q"&amp;MID(T22,2,1)+1&amp;" "&amp;RIGHT(T22,4))</f>
        <v>Q4 2025</v>
      </c>
      <c r="V22" s="57" t="str">
        <f aca="false">IF(MID(U22,2,1)="4","Q1 "&amp;RIGHT(U22,4)+1, "Q"&amp;MID(U22,2,1)+1&amp;" "&amp;RIGHT(U22,4))</f>
        <v>Q1 2026</v>
      </c>
      <c r="W22" s="57" t="str">
        <f aca="false">IF(MID(V22,2,1)="4","Q1 "&amp;RIGHT(V22,4)+1, "Q"&amp;MID(V22,2,1)+1&amp;" "&amp;RIGHT(V22,4))</f>
        <v>Q2 2026</v>
      </c>
      <c r="X22" s="58" t="str">
        <f aca="false">IF(MID(W22,2,1)="4","Q1 "&amp;RIGHT(W22,4)+1, "Q"&amp;MID(W22,2,1)+1&amp;" "&amp;RIGHT(W22,4))</f>
        <v>Q3 2026</v>
      </c>
      <c r="Y22" s="58" t="str">
        <f aca="false">IF(MID(X22,2,1)="4","Q1 "&amp;RIGHT(X22,4)+1, "Q"&amp;MID(X22,2,1)+1&amp;" "&amp;RIGHT(X22,4))</f>
        <v>Q4 2026</v>
      </c>
      <c r="Z22" s="58" t="str">
        <f aca="false">IF(MID(Y22,2,1)="4","Q1 "&amp;RIGHT(Y22,4)+1, "Q"&amp;MID(Y22,2,1)+1&amp;" "&amp;RIGHT(Y22,4))</f>
        <v>Q1 2027</v>
      </c>
      <c r="AA22" s="58" t="str">
        <f aca="false">IF(MID(Z22,2,1)="4","Q1 "&amp;RIGHT(Z22,4)+1, "Q"&amp;MID(Z22,2,1)+1&amp;" "&amp;RIGHT(Z22,4))</f>
        <v>Q2 2027</v>
      </c>
      <c r="AB22" s="58" t="str">
        <f aca="false">IF(MID(AA22,2,1)="4","Q1 "&amp;RIGHT(AA22,4)+1, "Q"&amp;MID(AA22,2,1)+1&amp;" "&amp;RIGHT(AA22,4))</f>
        <v>Q3 2027</v>
      </c>
      <c r="AC22" s="58" t="str">
        <f aca="false">IF(MID(AB22,2,1)="4","Q1 "&amp;RIGHT(AB22,4)+1, "Q"&amp;MID(AB22,2,1)+1&amp;" "&amp;RIGHT(AB22,4))</f>
        <v>Q4 2027</v>
      </c>
      <c r="AD22" s="58" t="str">
        <f aca="false">IF(MID(AC22,2,1)="4","Q1 "&amp;RIGHT(AC22,4)+1, "Q"&amp;MID(AC22,2,1)+1&amp;" "&amp;RIGHT(AC22,4))</f>
        <v>Q1 2028</v>
      </c>
      <c r="AE22" s="58" t="str">
        <f aca="false">IF(MID(AD22,2,1)="4","Q1 "&amp;RIGHT(AD22,4)+1, "Q"&amp;MID(AD22,2,1)+1&amp;" "&amp;RIGHT(AD22,4))</f>
        <v>Q2 2028</v>
      </c>
      <c r="AF22" s="58" t="str">
        <f aca="false">IF(MID(AE22,2,1)="4","Q1 "&amp;RIGHT(AE22,4)+1, "Q"&amp;MID(AE22,2,1)+1&amp;" "&amp;RIGHT(AE22,4))</f>
        <v>Q3 2028</v>
      </c>
      <c r="AG22" s="58" t="str">
        <f aca="false">IF(MID(AF22,2,1)="4","Q1 "&amp;RIGHT(AF22,4)+1, "Q"&amp;MID(AF22,2,1)+1&amp;" "&amp;RIGHT(AF22,4))</f>
        <v>Q4 2028</v>
      </c>
      <c r="AH22" s="123" t="n">
        <v>2029</v>
      </c>
      <c r="AI22" s="123" t="n">
        <v>2030</v>
      </c>
    </row>
    <row r="23" customFormat="false" ht="14.25" hidden="false" customHeight="true" outlineLevel="0" collapsed="false">
      <c r="B23" s="1" t="s">
        <v>281</v>
      </c>
      <c r="F23" s="20" t="n">
        <f aca="false">'Cash Flow Statement'!B14</f>
        <v>281</v>
      </c>
      <c r="G23" s="22" t="n">
        <f aca="false">'Cash Flow Statement'!C14-'Cash Flow Statement'!B14</f>
        <v>286</v>
      </c>
      <c r="H23" s="22" t="n">
        <f aca="false">'Cash Flow Statement'!D14-'Cash Flow Statement'!C14</f>
        <v>298</v>
      </c>
      <c r="I23" s="22" t="n">
        <f aca="false">'Cash Flow Statement'!E14-'Cash Flow Statement'!D14</f>
        <v>309</v>
      </c>
      <c r="J23" s="20" t="n">
        <f aca="false">'Cash Flow Statement'!F14</f>
        <v>334</v>
      </c>
      <c r="K23" s="22" t="n">
        <f aca="false">'Cash Flow Statement'!G14-'Cash Flow Statement'!F14</f>
        <v>378</v>
      </c>
      <c r="L23" s="22" t="n">
        <f aca="false">'Cash Flow Statement'!H14-'Cash Flow Statement'!G14</f>
        <v>406</v>
      </c>
      <c r="M23" s="22" t="n">
        <f aca="false">'Cash Flow Statement'!I14-'Cash Flow Statement'!H14</f>
        <v>426</v>
      </c>
      <c r="N23" s="20" t="n">
        <f aca="false">'Cash Flow Statement'!J14</f>
        <v>384</v>
      </c>
      <c r="O23" s="22" t="n">
        <f aca="false">'Cash Flow Statement'!K14-'Cash Flow Statement'!J14</f>
        <v>365</v>
      </c>
      <c r="P23" s="22" t="n">
        <f aca="false">'Cash Flow Statement'!L14-'Cash Flow Statement'!K14</f>
        <v>372</v>
      </c>
      <c r="Q23" s="22" t="n">
        <f aca="false">'Cash Flow Statement'!M14-'Cash Flow Statement'!L14</f>
        <v>387</v>
      </c>
      <c r="R23" s="20" t="n">
        <f aca="false">'Cash Flow Statement'!N14</f>
        <v>410</v>
      </c>
      <c r="S23" s="22" t="n">
        <f aca="false">'Cash Flow Statement'!O14-'Cash Flow Statement'!N14</f>
        <v>433</v>
      </c>
      <c r="T23" s="22" t="n">
        <f aca="false">'Cash Flow Statement'!P14-'Cash Flow Statement'!O14</f>
        <v>478</v>
      </c>
      <c r="U23" s="22" t="n">
        <f aca="false">'Cash Flow Statement'!Q14-'Cash Flow Statement'!P14</f>
        <v>543</v>
      </c>
      <c r="V23" s="20" t="n">
        <f aca="false">'Cash Flow Statement'!R14</f>
        <v>611</v>
      </c>
      <c r="W23" s="22" t="n">
        <f aca="false">'Cash Flow Statement'!S14-'Cash Flow Statement'!R14</f>
        <v>669</v>
      </c>
      <c r="X23" s="121" t="n">
        <f aca="false">X24+X25</f>
        <v>410</v>
      </c>
      <c r="Y23" s="121" t="n">
        <f aca="false">Y24+Y25</f>
        <v>433</v>
      </c>
      <c r="Z23" s="121" t="n">
        <f aca="false">Z24+Z25</f>
        <v>478</v>
      </c>
      <c r="AA23" s="121" t="n">
        <f aca="false">AA24+AA25</f>
        <v>543</v>
      </c>
      <c r="AB23" s="121" t="n">
        <f aca="false">AB24+AB25</f>
        <v>611</v>
      </c>
      <c r="AC23" s="121" t="n">
        <f aca="false">AC24+AC25</f>
        <v>669</v>
      </c>
      <c r="AD23" s="121" t="n">
        <f aca="false">AD24+AD25</f>
        <v>642.404715872184</v>
      </c>
      <c r="AE23" s="121" t="n">
        <f aca="false">AE24+AE25</f>
        <v>673.724773914913</v>
      </c>
      <c r="AF23" s="121" t="n">
        <f aca="false">AF24+AF25</f>
        <v>716.59262595688</v>
      </c>
      <c r="AG23" s="121" t="n">
        <f aca="false">AG24+AG25</f>
        <v>752.885357217059</v>
      </c>
      <c r="AH23" s="124" t="n">
        <v>-1175</v>
      </c>
      <c r="AI23" s="124" t="n">
        <v>-1446</v>
      </c>
    </row>
    <row r="24" customFormat="false" ht="14.25" hidden="false" customHeight="true" outlineLevel="0" collapsed="false">
      <c r="B24" s="125" t="s">
        <v>282</v>
      </c>
      <c r="F24" s="22" t="n">
        <f aca="false">F23-F25</f>
        <v>144</v>
      </c>
      <c r="G24" s="22" t="n">
        <f aca="false">G23-G25</f>
        <v>148</v>
      </c>
      <c r="H24" s="22" t="n">
        <f aca="false">H23-H25</f>
        <v>155</v>
      </c>
      <c r="I24" s="22" t="n">
        <f aca="false">I23-I25</f>
        <v>164</v>
      </c>
      <c r="J24" s="22" t="n">
        <f aca="false">J23-J25</f>
        <v>179</v>
      </c>
      <c r="K24" s="22" t="n">
        <f aca="false">K23-K25</f>
        <v>196</v>
      </c>
      <c r="L24" s="22" t="n">
        <f aca="false">L23-L25</f>
        <v>225</v>
      </c>
      <c r="M24" s="22" t="n">
        <f aca="false">M23-M25</f>
        <v>245</v>
      </c>
      <c r="N24" s="22" t="n">
        <f aca="false">N23-N25</f>
        <v>203</v>
      </c>
      <c r="O24" s="22" t="n">
        <f aca="false">O23-O25</f>
        <v>219</v>
      </c>
      <c r="P24" s="22" t="n">
        <f aca="false">P23-P25</f>
        <v>228</v>
      </c>
      <c r="Q24" s="22" t="n">
        <f aca="false">Q23-Q25</f>
        <v>244</v>
      </c>
      <c r="R24" s="22" t="n">
        <f aca="false">R23-R25</f>
        <v>229</v>
      </c>
      <c r="S24" s="22" t="n">
        <f aca="false">S23-S25</f>
        <v>252</v>
      </c>
      <c r="T24" s="22" t="n">
        <f aca="false">T23-T25</f>
        <v>297</v>
      </c>
      <c r="U24" s="22" t="n">
        <f aca="false">U23-U25</f>
        <v>397</v>
      </c>
      <c r="V24" s="22" t="n">
        <f aca="false">V23-V25</f>
        <v>467</v>
      </c>
      <c r="W24" s="22" t="n">
        <f aca="false">W23-W25</f>
        <v>526</v>
      </c>
      <c r="X24" s="126" t="n">
        <f aca="false">'Fixed Assets'!P11</f>
        <v>229</v>
      </c>
      <c r="Y24" s="126" t="n">
        <f aca="false">'Fixed Assets'!Q11</f>
        <v>252</v>
      </c>
      <c r="Z24" s="126" t="n">
        <f aca="false">'Fixed Assets'!R11</f>
        <v>297</v>
      </c>
      <c r="AA24" s="126" t="n">
        <f aca="false">'Fixed Assets'!S11</f>
        <v>397</v>
      </c>
      <c r="AB24" s="126" t="n">
        <f aca="false">'Fixed Assets'!T11</f>
        <v>467</v>
      </c>
      <c r="AC24" s="126" t="n">
        <f aca="false">'Fixed Assets'!U11</f>
        <v>526</v>
      </c>
      <c r="AD24" s="126" t="n">
        <f aca="false">'Fixed Assets'!V11</f>
        <v>515.316510373344</v>
      </c>
      <c r="AE24" s="126" t="n">
        <f aca="false">'Fixed Assets'!W11</f>
        <v>556.995109982369</v>
      </c>
      <c r="AF24" s="126" t="n">
        <f aca="false">'Fixed Assets'!X11</f>
        <v>607.892938998</v>
      </c>
      <c r="AG24" s="126" t="n">
        <f aca="false">'Fixed Assets'!Y11</f>
        <v>650.702601474039</v>
      </c>
      <c r="AH24" s="126" t="n">
        <f aca="false">'Fixed Assets'!Z11</f>
        <v>643.233318389984</v>
      </c>
      <c r="AI24" s="126" t="n">
        <f aca="false">'Fixed Assets'!AA11</f>
        <v>694.074238582117</v>
      </c>
    </row>
    <row r="25" customFormat="false" ht="14.25" hidden="false" customHeight="true" outlineLevel="0" collapsed="false">
      <c r="B25" s="125" t="s">
        <v>283</v>
      </c>
      <c r="F25" s="20" t="n">
        <f aca="false">'Cash Flow Statement'!B54</f>
        <v>137</v>
      </c>
      <c r="G25" s="20" t="n">
        <f aca="false">'Cash Flow Statement'!C54</f>
        <v>138</v>
      </c>
      <c r="H25" s="20" t="n">
        <f aca="false">'Cash Flow Statement'!D54</f>
        <v>143</v>
      </c>
      <c r="I25" s="20" t="n">
        <f aca="false">'Cash Flow Statement'!E54</f>
        <v>145</v>
      </c>
      <c r="J25" s="20" t="n">
        <f aca="false">'Cash Flow Statement'!F54</f>
        <v>155</v>
      </c>
      <c r="K25" s="20" t="n">
        <f aca="false">'Cash Flow Statement'!G54</f>
        <v>182</v>
      </c>
      <c r="L25" s="20" t="n">
        <f aca="false">'Cash Flow Statement'!H54</f>
        <v>181</v>
      </c>
      <c r="M25" s="20" t="n">
        <f aca="false">'Cash Flow Statement'!I54</f>
        <v>181</v>
      </c>
      <c r="N25" s="20" t="n">
        <f aca="false">'Cash Flow Statement'!J54</f>
        <v>181</v>
      </c>
      <c r="O25" s="20" t="n">
        <f aca="false">'Cash Flow Statement'!K54</f>
        <v>146</v>
      </c>
      <c r="P25" s="20" t="n">
        <f aca="false">'Cash Flow Statement'!L54</f>
        <v>144</v>
      </c>
      <c r="Q25" s="20" t="n">
        <f aca="false">'Cash Flow Statement'!M54</f>
        <v>143</v>
      </c>
      <c r="R25" s="20" t="n">
        <f aca="false">'Cash Flow Statement'!N54</f>
        <v>181</v>
      </c>
      <c r="S25" s="20" t="n">
        <f aca="false">'Cash Flow Statement'!O54</f>
        <v>181</v>
      </c>
      <c r="T25" s="20" t="n">
        <f aca="false">'Cash Flow Statement'!P54</f>
        <v>181</v>
      </c>
      <c r="U25" s="20" t="n">
        <f aca="false">'Cash Flow Statement'!Q54</f>
        <v>146</v>
      </c>
      <c r="V25" s="20" t="n">
        <f aca="false">'Cash Flow Statement'!R54</f>
        <v>144</v>
      </c>
      <c r="W25" s="20" t="n">
        <f aca="false">'Cash Flow Statement'!S54</f>
        <v>143</v>
      </c>
      <c r="X25" s="126" t="n">
        <f aca="false">'Fixed Assets'!P22</f>
        <v>181</v>
      </c>
      <c r="Y25" s="126" t="n">
        <f aca="false">'Fixed Assets'!Q22</f>
        <v>181</v>
      </c>
      <c r="Z25" s="126" t="n">
        <f aca="false">'Fixed Assets'!R22</f>
        <v>181</v>
      </c>
      <c r="AA25" s="126" t="n">
        <f aca="false">'Fixed Assets'!S22</f>
        <v>146</v>
      </c>
      <c r="AB25" s="126" t="n">
        <f aca="false">'Fixed Assets'!T22</f>
        <v>144</v>
      </c>
      <c r="AC25" s="126" t="n">
        <f aca="false">'Fixed Assets'!U22</f>
        <v>143</v>
      </c>
      <c r="AD25" s="126" t="n">
        <f aca="false">'Fixed Assets'!V22</f>
        <v>127.08820549884</v>
      </c>
      <c r="AE25" s="126" t="n">
        <f aca="false">'Fixed Assets'!W22</f>
        <v>116.729663932544</v>
      </c>
      <c r="AF25" s="126" t="n">
        <f aca="false">'Fixed Assets'!X22</f>
        <v>108.69968695888</v>
      </c>
      <c r="AG25" s="126" t="n">
        <f aca="false">'Fixed Assets'!Y22</f>
        <v>102.18275574302</v>
      </c>
      <c r="AH25" s="126" t="n">
        <f aca="false">'Fixed Assets'!Z22</f>
        <v>97.5637241406043</v>
      </c>
      <c r="AI25" s="126" t="n">
        <f aca="false">'Fixed Assets'!AA22</f>
        <v>94.6181964535075</v>
      </c>
    </row>
    <row r="26" customFormat="false" ht="14.25" hidden="false" customHeight="true" outlineLevel="0" collapsed="false">
      <c r="B26" s="33" t="s">
        <v>276</v>
      </c>
      <c r="F26" s="122" t="n">
        <f aca="false">F23/F$10</f>
        <v>0.0496378731672849</v>
      </c>
      <c r="G26" s="122" t="n">
        <f aca="false">G23/G$10</f>
        <v>0.0439526663593054</v>
      </c>
      <c r="H26" s="122" t="n">
        <f aca="false">H23/H$10</f>
        <v>0.0419541038997607</v>
      </c>
      <c r="I26" s="122" t="n">
        <f aca="false">I23/I$10</f>
        <v>0.0404291508569933</v>
      </c>
      <c r="J26" s="122" t="n">
        <f aca="false">J23/J$10</f>
        <v>0.0402992277992278</v>
      </c>
      <c r="K26" s="122" t="n">
        <f aca="false">K23/K$10</f>
        <v>0.0563842482100239</v>
      </c>
      <c r="L26" s="122" t="n">
        <f aca="false">L23/L$10</f>
        <v>0.0684538863598044</v>
      </c>
      <c r="M26" s="122" t="n">
        <f aca="false">M23/M$10</f>
        <v>0.0704015865146257</v>
      </c>
      <c r="N26" s="122" t="n">
        <f aca="false">N23/N$10</f>
        <v>0.053392658509455</v>
      </c>
      <c r="O26" s="122" t="n">
        <f aca="false">O23/O$10</f>
        <v>0.0270230250980973</v>
      </c>
      <c r="P26" s="122" t="n">
        <f aca="false">P23/P$10</f>
        <v>0.0205298013245033</v>
      </c>
      <c r="Q26" s="122" t="n">
        <f aca="false">Q23/Q$10</f>
        <v>0.0175089354386282</v>
      </c>
      <c r="R26" s="122" t="n">
        <f aca="false">R23/R$10</f>
        <v>0.015742589463984</v>
      </c>
      <c r="S26" s="122" t="n">
        <f aca="false">S23/S$10</f>
        <v>0.0144141145139814</v>
      </c>
      <c r="T26" s="122" t="n">
        <f aca="false">T23/T$10</f>
        <v>0.0136252209110085</v>
      </c>
      <c r="U26" s="122" t="n">
        <f aca="false">U23/U$10</f>
        <v>0.0138059037400524</v>
      </c>
      <c r="V26" s="122" t="n">
        <f aca="false">V23/V$10</f>
        <v>0.0138668240206981</v>
      </c>
      <c r="W26" s="122" t="n">
        <f aca="false">W23/W$10</f>
        <v>0.0143123034465054</v>
      </c>
      <c r="X26" s="122" t="n">
        <f aca="false">X23/X$10</f>
        <v>0.00802888645251771</v>
      </c>
      <c r="Y26" s="122" t="n">
        <f aca="false">Y23/Y$10</f>
        <v>0.00784480279096844</v>
      </c>
      <c r="Z26" s="122" t="n">
        <f aca="false">Z23/Z$10</f>
        <v>0.00793498872909197</v>
      </c>
      <c r="AA26" s="122" t="n">
        <f aca="false">AA23/AA$10</f>
        <v>0.00842098324053537</v>
      </c>
      <c r="AB26" s="122" t="n">
        <f aca="false">AB23/AB$10</f>
        <v>0.00958557555377737</v>
      </c>
      <c r="AC26" s="122" t="n">
        <f aca="false">AC23/AC$10</f>
        <v>0.0097267042045129</v>
      </c>
      <c r="AD26" s="122" t="n">
        <f aca="false">AD23/AD$10</f>
        <v>0.0090614180353698</v>
      </c>
      <c r="AE26" s="122" t="n">
        <f aca="false">AE23/AE$10</f>
        <v>0.00922793309704305</v>
      </c>
      <c r="AF26" s="122" t="n">
        <f aca="false">AF23/AF$10</f>
        <v>0.0086582766030858</v>
      </c>
      <c r="AG26" s="122" t="n">
        <f aca="false">AG23/AG$10</f>
        <v>0.00808423144678928</v>
      </c>
      <c r="AH26" s="122" t="n">
        <f aca="false">AH23/AH$10</f>
        <v>-0.00452058694531436</v>
      </c>
      <c r="AI26" s="122" t="n">
        <f aca="false">AI23/AI$10</f>
        <v>-0.00452299030340945</v>
      </c>
    </row>
    <row r="28" customFormat="false" ht="14.25" hidden="false" customHeight="true" outlineLevel="0" collapsed="false">
      <c r="B28" s="1" t="s">
        <v>284</v>
      </c>
      <c r="F28" s="68" t="n">
        <f aca="false">-1*'Cash Flow Statement'!B31</f>
        <v>298</v>
      </c>
      <c r="G28" s="68" t="n">
        <f aca="false">('Cash Flow Statement'!C31-'Cash Flow Statement'!B31)*-1</f>
        <v>183</v>
      </c>
      <c r="H28" s="68" t="n">
        <f aca="false">('Cash Flow Statement'!D31-'Cash Flow Statement'!C31)*-1</f>
        <v>222</v>
      </c>
      <c r="I28" s="68" t="n">
        <f aca="false">('Cash Flow Statement'!E31-'Cash Flow Statement'!D31)*-1</f>
        <v>273</v>
      </c>
      <c r="J28" s="68" t="n">
        <f aca="false">-1*'Cash Flow Statement'!F31</f>
        <v>361</v>
      </c>
      <c r="K28" s="68" t="n">
        <f aca="false">('Cash Flow Statement'!G31-'Cash Flow Statement'!F31)*-1</f>
        <v>433</v>
      </c>
      <c r="L28" s="68" t="n">
        <f aca="false">('Cash Flow Statement'!H31-'Cash Flow Statement'!G31)*-1</f>
        <v>530</v>
      </c>
      <c r="M28" s="68" t="n">
        <f aca="false">('Cash Flow Statement'!I31-'Cash Flow Statement'!H31)*-1</f>
        <v>509</v>
      </c>
      <c r="N28" s="68" t="n">
        <f aca="false">-1*'Cash Flow Statement'!J31</f>
        <v>248</v>
      </c>
      <c r="O28" s="68" t="n">
        <f aca="false">('Cash Flow Statement'!K31-'Cash Flow Statement'!J31)*-1</f>
        <v>289</v>
      </c>
      <c r="P28" s="68" t="n">
        <f aca="false">('Cash Flow Statement'!L31-'Cash Flow Statement'!K31)*-1</f>
        <v>278</v>
      </c>
      <c r="Q28" s="68" t="n">
        <f aca="false">('Cash Flow Statement'!M31-'Cash Flow Statement'!L31)*-1</f>
        <v>254</v>
      </c>
      <c r="R28" s="68" t="n">
        <f aca="false">-1*'Cash Flow Statement'!N31</f>
        <v>369</v>
      </c>
      <c r="S28" s="68" t="n">
        <f aca="false">('Cash Flow Statement'!O31-'Cash Flow Statement'!N31)*-1</f>
        <v>977</v>
      </c>
      <c r="T28" s="68" t="n">
        <f aca="false">('Cash Flow Statement'!P31-'Cash Flow Statement'!O31)*-1</f>
        <v>813</v>
      </c>
      <c r="U28" s="68" t="n">
        <f aca="false">('Cash Flow Statement'!Q31-'Cash Flow Statement'!P31)*-1</f>
        <v>1077</v>
      </c>
      <c r="V28" s="68" t="n">
        <f aca="false">-1*'Cash Flow Statement'!R31</f>
        <v>1227</v>
      </c>
      <c r="W28" s="68" t="n">
        <f aca="false">('Cash Flow Statement'!S31-'Cash Flow Statement'!R31)*-1</f>
        <v>1895</v>
      </c>
      <c r="X28" s="121" t="n">
        <f aca="false">'Fixed Assets'!P9</f>
        <v>321</v>
      </c>
      <c r="Y28" s="121" t="n">
        <f aca="false">'Fixed Assets'!Q9</f>
        <v>1131</v>
      </c>
      <c r="Z28" s="121" t="n">
        <f aca="false">'Fixed Assets'!R9</f>
        <v>755</v>
      </c>
      <c r="AA28" s="121" t="n">
        <f aca="false">'Fixed Assets'!S9</f>
        <v>1337</v>
      </c>
      <c r="AB28" s="121" t="n">
        <f aca="false">'Fixed Assets'!T9</f>
        <v>1320</v>
      </c>
      <c r="AC28" s="121" t="n">
        <f aca="false">'Fixed Assets'!U9</f>
        <v>2531</v>
      </c>
      <c r="AD28" s="121" t="n">
        <f aca="false">'Fixed Assets'!V9</f>
        <v>-320.418884333807</v>
      </c>
      <c r="AE28" s="121" t="n">
        <f aca="false">'Fixed Assets'!W9</f>
        <v>1228.72169192368</v>
      </c>
      <c r="AF28" s="121" t="n">
        <f aca="false">'Fixed Assets'!X9</f>
        <v>1428.20420265905</v>
      </c>
      <c r="AG28" s="121" t="n">
        <f aca="false">'Fixed Assets'!Y9</f>
        <v>1340.65832260782</v>
      </c>
      <c r="AH28" s="124" t="n">
        <v>4159</v>
      </c>
      <c r="AI28" s="124" t="n">
        <v>5115</v>
      </c>
      <c r="AK28" s="113"/>
    </row>
    <row r="29" customFormat="false" ht="14.25" hidden="false" customHeight="true" outlineLevel="0" collapsed="false">
      <c r="B29" s="33" t="s">
        <v>276</v>
      </c>
      <c r="F29" s="122" t="n">
        <f aca="false">F28/F$10</f>
        <v>0.0526408761702879</v>
      </c>
      <c r="G29" s="122" t="n">
        <f aca="false">G28/G$10</f>
        <v>0.0281235592438912</v>
      </c>
      <c r="H29" s="122" t="n">
        <f aca="false">H28/H$10</f>
        <v>0.0312543995494861</v>
      </c>
      <c r="I29" s="122" t="n">
        <f aca="false">I28/I$10</f>
        <v>0.0357189585241397</v>
      </c>
      <c r="J29" s="122" t="n">
        <f aca="false">J28/J$10</f>
        <v>0.0435569498069498</v>
      </c>
      <c r="K29" s="122" t="n">
        <f aca="false">K28/K$10</f>
        <v>0.0645883054892601</v>
      </c>
      <c r="L29" s="122" t="n">
        <f aca="false">L28/L$10</f>
        <v>0.0893609846568875</v>
      </c>
      <c r="M29" s="122" t="n">
        <f aca="false">M28/M$10</f>
        <v>0.0841183275491654</v>
      </c>
      <c r="N29" s="122" t="n">
        <f aca="false">N28/N$10</f>
        <v>0.0344827586206897</v>
      </c>
      <c r="O29" s="122" t="n">
        <f aca="false">O28/O$10</f>
        <v>0.021396313022877</v>
      </c>
      <c r="P29" s="122" t="n">
        <f aca="false">P28/P$10</f>
        <v>0.0153421633554084</v>
      </c>
      <c r="Q29" s="122" t="n">
        <f aca="false">Q28/Q$10</f>
        <v>0.0114916527168258</v>
      </c>
      <c r="R29" s="122" t="n">
        <f aca="false">R28/R$10</f>
        <v>0.0141683305175856</v>
      </c>
      <c r="S29" s="122" t="n">
        <f aca="false">S28/S$10</f>
        <v>0.0325233022636485</v>
      </c>
      <c r="T29" s="122" t="n">
        <f aca="false">T28/T$10</f>
        <v>0.0231742774072174</v>
      </c>
      <c r="U29" s="122" t="n">
        <f aca="false">U28/U$10</f>
        <v>0.0273829803462917</v>
      </c>
      <c r="V29" s="122" t="n">
        <f aca="false">V28/V$10</f>
        <v>0.0278471245063774</v>
      </c>
      <c r="W29" s="122" t="n">
        <f aca="false">W28/W$10</f>
        <v>0.0405408296429412</v>
      </c>
      <c r="X29" s="122" t="n">
        <f aca="false">X28/X$10</f>
        <v>0.00628603061282484</v>
      </c>
      <c r="Y29" s="122" t="n">
        <f aca="false">Y28/Y$10</f>
        <v>0.0204906973593194</v>
      </c>
      <c r="Z29" s="122" t="n">
        <f aca="false">Z28/Z$10</f>
        <v>0.0125332980972059</v>
      </c>
      <c r="AA29" s="122" t="n">
        <f aca="false">AA28/AA$10</f>
        <v>0.0207345388445595</v>
      </c>
      <c r="AB29" s="122" t="n">
        <f aca="false">AB28/AB$10</f>
        <v>0.020708608397686</v>
      </c>
      <c r="AC29" s="122" t="n">
        <f aca="false">AC28/AC$10</f>
        <v>0.0367986372819464</v>
      </c>
      <c r="AD29" s="122" t="n">
        <f aca="false">AD28/AD$10</f>
        <v>-0.00451965775723402</v>
      </c>
      <c r="AE29" s="122" t="n">
        <f aca="false">AE28/AE$10</f>
        <v>0.0168296639918266</v>
      </c>
      <c r="AF29" s="122" t="n">
        <f aca="false">AF28/AF$10</f>
        <v>0.0172563693574148</v>
      </c>
      <c r="AG29" s="122" t="n">
        <f aca="false">AG28/AG$10</f>
        <v>0.0143955411898139</v>
      </c>
      <c r="AH29" s="122" t="n">
        <f aca="false">AH28/AH$10</f>
        <v>0.0160009541323936</v>
      </c>
      <c r="AI29" s="122" t="n">
        <f aca="false">AI28/AI$10</f>
        <v>0.0159993744135127</v>
      </c>
    </row>
    <row r="30" customFormat="false" ht="14.25" hidden="false" customHeight="true" outlineLevel="0" collapsed="false">
      <c r="X30" s="22"/>
      <c r="Y30" s="68"/>
      <c r="Z30" s="68" t="n">
        <f aca="false">SUM(X28:AA28)</f>
        <v>3544</v>
      </c>
      <c r="AA30" s="68"/>
      <c r="AB30" s="22"/>
      <c r="AC30" s="22"/>
      <c r="AD30" s="22"/>
      <c r="AE30" s="22"/>
      <c r="AF30" s="22"/>
      <c r="AG30" s="22"/>
    </row>
    <row r="31" customFormat="false" ht="14.25" hidden="false" customHeight="true" outlineLevel="0" collapsed="false">
      <c r="B31" s="1" t="s">
        <v>285</v>
      </c>
      <c r="F31" s="68" t="n">
        <f aca="false">'Working Capital'!E18</f>
        <v>887</v>
      </c>
      <c r="G31" s="68" t="n">
        <f aca="false">'Working Capital'!F18</f>
        <v>249</v>
      </c>
      <c r="H31" s="68" t="n">
        <f aca="false">'Working Capital'!G18</f>
        <v>192</v>
      </c>
      <c r="I31" s="68" t="n">
        <f aca="false">'Working Capital'!H18</f>
        <v>390</v>
      </c>
      <c r="J31" s="68" t="n">
        <f aca="false">'Working Capital'!I18</f>
        <v>389</v>
      </c>
      <c r="K31" s="68" t="n">
        <f aca="false">'Working Capital'!J18</f>
        <v>382</v>
      </c>
      <c r="L31" s="68" t="n">
        <f aca="false">'Working Capital'!K18</f>
        <v>417</v>
      </c>
      <c r="M31" s="68" t="n">
        <f aca="false">'Working Capital'!L18</f>
        <v>-10</v>
      </c>
      <c r="N31" s="68" t="n">
        <f aca="false">'Working Capital'!M18</f>
        <v>-911</v>
      </c>
      <c r="O31" s="68" t="n">
        <f aca="false">'Working Capital'!N18</f>
        <v>136</v>
      </c>
      <c r="P31" s="68" t="n">
        <f aca="false">'Working Capital'!O18</f>
        <v>2836</v>
      </c>
      <c r="Q31" s="68" t="n">
        <f aca="false">'Working Capital'!P18</f>
        <v>2455</v>
      </c>
      <c r="R31" s="68" t="n">
        <f aca="false">'Working Capital'!Q18</f>
        <v>-662</v>
      </c>
      <c r="S31" s="68" t="n">
        <f aca="false">'Working Capital'!R18</f>
        <v>2546</v>
      </c>
      <c r="T31" s="68" t="n">
        <f aca="false">'Working Capital'!S18</f>
        <v>1810</v>
      </c>
      <c r="U31" s="68" t="n">
        <f aca="false">'Working Capital'!T18</f>
        <v>6195</v>
      </c>
      <c r="V31" s="68" t="n">
        <f aca="false">'Working Capital'!U18</f>
        <v>-9167</v>
      </c>
      <c r="W31" s="68" t="n">
        <f aca="false">'Working Capital'!V18</f>
        <v>11469</v>
      </c>
      <c r="X31" s="121" t="n">
        <f aca="false">'Working Capital'!W18</f>
        <v>443.594848057124</v>
      </c>
      <c r="Y31" s="121" t="n">
        <f aca="false">'Working Capital'!X18</f>
        <v>3372.04120626513</v>
      </c>
      <c r="Z31" s="121" t="n">
        <f aca="false">'Working Capital'!Y18</f>
        <v>2158.0138436962</v>
      </c>
      <c r="AA31" s="121" t="n">
        <f aca="false">'Working Capital'!Z18</f>
        <v>2134.30229032275</v>
      </c>
      <c r="AB31" s="121" t="n">
        <f aca="false">'Working Capital'!AA18</f>
        <v>-1099.77314715993</v>
      </c>
      <c r="AC31" s="121" t="n">
        <f aca="false">'Working Capital'!AB18</f>
        <v>2438.79315735631</v>
      </c>
      <c r="AD31" s="121" t="n">
        <f aca="false">'Working Capital'!AC18</f>
        <v>1274.8588106608</v>
      </c>
      <c r="AE31" s="121" t="n">
        <f aca="false">'Working Capital'!AD18</f>
        <v>813.900493987712</v>
      </c>
      <c r="AF31" s="121" t="n">
        <f aca="false">'Working Capital'!AE18</f>
        <v>4354.3817618663</v>
      </c>
      <c r="AG31" s="121" t="n">
        <f aca="false">'Working Capital'!AF18</f>
        <v>4500.24954567094</v>
      </c>
      <c r="AH31" s="124" t="n">
        <v>21313</v>
      </c>
      <c r="AI31" s="124" t="n">
        <v>26215</v>
      </c>
    </row>
    <row r="32" customFormat="false" ht="14.25" hidden="false" customHeight="true" outlineLevel="0" collapsed="false">
      <c r="B32" s="33" t="s">
        <v>276</v>
      </c>
      <c r="F32" s="122" t="n">
        <f aca="false">F31/F$10</f>
        <v>0.156686097862568</v>
      </c>
      <c r="G32" s="122" t="n">
        <f aca="false">G31/G$10</f>
        <v>0.0382664822498847</v>
      </c>
      <c r="H32" s="122" t="n">
        <f aca="false">H31/H$10</f>
        <v>0.0270308320427988</v>
      </c>
      <c r="I32" s="122" t="n">
        <f aca="false">I31/I$10</f>
        <v>0.0510270836059139</v>
      </c>
      <c r="J32" s="122" t="n">
        <f aca="false">J31/J$10</f>
        <v>0.0469353281853282</v>
      </c>
      <c r="K32" s="122" t="n">
        <f aca="false">K31/K$10</f>
        <v>0.0569809069212411</v>
      </c>
      <c r="L32" s="122" t="n">
        <f aca="false">L31/L$10</f>
        <v>0.0703085483055134</v>
      </c>
      <c r="M32" s="122" t="n">
        <f aca="false">M31/M$10</f>
        <v>-0.00165261940175178</v>
      </c>
      <c r="N32" s="122" t="n">
        <f aca="false">N31/N$10</f>
        <v>-0.12666852057842</v>
      </c>
      <c r="O32" s="122" t="n">
        <f aca="false">O31/O$10</f>
        <v>0.0100688531872362</v>
      </c>
      <c r="P32" s="122" t="n">
        <f aca="false">P31/P$10</f>
        <v>0.156512141280353</v>
      </c>
      <c r="Q32" s="122" t="n">
        <f aca="false">Q31/Q$10</f>
        <v>0.111070895353572</v>
      </c>
      <c r="R32" s="122" t="n">
        <f aca="false">R31/R$10</f>
        <v>-0.025418522500384</v>
      </c>
      <c r="S32" s="122" t="n">
        <f aca="false">S31/S$10</f>
        <v>0.0847536617842876</v>
      </c>
      <c r="T32" s="122" t="n">
        <f aca="false">T31/T$10</f>
        <v>0.0515934097257853</v>
      </c>
      <c r="U32" s="122" t="n">
        <f aca="false">U31/U$10</f>
        <v>0.157509343774631</v>
      </c>
      <c r="V32" s="122" t="n">
        <f aca="false">V31/V$10</f>
        <v>-0.208047750896464</v>
      </c>
      <c r="W32" s="122" t="n">
        <f aca="false">W31/W$10</f>
        <v>0.245362942044798</v>
      </c>
      <c r="X32" s="122" t="n">
        <f aca="false">X31/X$10</f>
        <v>0.00868676259993292</v>
      </c>
      <c r="Y32" s="122" t="n">
        <f aca="false">Y31/Y$10</f>
        <v>0.0610923747486587</v>
      </c>
      <c r="Z32" s="122" t="n">
        <f aca="false">Z31/Z$10</f>
        <v>0.0358238818555519</v>
      </c>
      <c r="AA32" s="122" t="n">
        <f aca="false">AA31/AA$10</f>
        <v>0.0330993072137093</v>
      </c>
      <c r="AB32" s="122" t="n">
        <f aca="false">AB31/AB$10</f>
        <v>-0.0172536147203225</v>
      </c>
      <c r="AC32" s="122" t="n">
        <f aca="false">AC31/AC$10</f>
        <v>0.0354580263940134</v>
      </c>
      <c r="AD32" s="122" t="n">
        <f aca="false">AD31/AD$10</f>
        <v>0.0179824779209284</v>
      </c>
      <c r="AE32" s="122" t="n">
        <f aca="false">AE31/AE$10</f>
        <v>0.0111479043030076</v>
      </c>
      <c r="AF32" s="122" t="n">
        <f aca="false">AF31/AF$10</f>
        <v>0.0526120983722475</v>
      </c>
      <c r="AG32" s="122" t="n">
        <f aca="false">AG31/AG$10</f>
        <v>0.0483221762075304</v>
      </c>
      <c r="AH32" s="122" t="n">
        <f aca="false">AH31/AH$10</f>
        <v>0.0819976762259447</v>
      </c>
      <c r="AI32" s="122" t="n">
        <f aca="false">AI31/AI$10</f>
        <v>0.0819987488270253</v>
      </c>
    </row>
    <row r="33" customFormat="false" ht="14.25" hidden="false" customHeight="true" outlineLevel="0" collapsed="false">
      <c r="B33" s="33" t="s">
        <v>286</v>
      </c>
      <c r="G33" s="122" t="n">
        <f aca="false">G31/(G10-F10)</f>
        <v>0.294326241134752</v>
      </c>
      <c r="H33" s="122" t="n">
        <f aca="false">H31/(H10-G10)</f>
        <v>0.322147651006711</v>
      </c>
      <c r="I33" s="122" t="n">
        <f aca="false">I31/(I10-H10)</f>
        <v>0.722222222222222</v>
      </c>
      <c r="J33" s="122" t="n">
        <f aca="false">J31/(J10-I10)</f>
        <v>0.603100775193799</v>
      </c>
      <c r="K33" s="122" t="n">
        <f aca="false">K31/(K10-J10)</f>
        <v>-0.241161616161616</v>
      </c>
      <c r="L33" s="122" t="n">
        <f aca="false">L31/(L10-K10)</f>
        <v>-0.539456662354463</v>
      </c>
      <c r="M33" s="122" t="n">
        <f aca="false">M31/(M10-L10)</f>
        <v>-0.0833333333333333</v>
      </c>
      <c r="N33" s="122" t="n">
        <f aca="false">N31/(N10-M10)</f>
        <v>-0.798422436459246</v>
      </c>
      <c r="O33" s="122" t="n">
        <f aca="false">O31/(O10-N10)</f>
        <v>0.0215360253365004</v>
      </c>
      <c r="P33" s="122" t="n">
        <f aca="false">P31/(P10-O10)</f>
        <v>0.614784305224366</v>
      </c>
      <c r="Q33" s="122" t="n">
        <f aca="false">Q31/(Q10-P10)</f>
        <v>0.61636957067537</v>
      </c>
      <c r="R33" s="122" t="n">
        <f aca="false">R31/(R10-Q10)</f>
        <v>-0.167977670641969</v>
      </c>
      <c r="S33" s="122" t="n">
        <f aca="false">S31/(S10-R10)</f>
        <v>0.637137137137137</v>
      </c>
      <c r="T33" s="122" t="n">
        <f aca="false">T31/(T10-S10)</f>
        <v>0.358984529948433</v>
      </c>
      <c r="U33" s="122" t="n">
        <f aca="false">U31/(U10-T10)</f>
        <v>1.45799011532125</v>
      </c>
      <c r="V33" s="122" t="n">
        <f aca="false">V31/(V10-U10)</f>
        <v>-1.93764531811456</v>
      </c>
      <c r="W33" s="122" t="n">
        <f aca="false">W31/(W10-V10)</f>
        <v>4.27788138754196</v>
      </c>
      <c r="X33" s="122" t="n">
        <f aca="false">X31/(X10-W10)</f>
        <v>0.102621945450382</v>
      </c>
      <c r="Y33" s="122" t="n">
        <f aca="false">Y31/(Y10-X10)</f>
        <v>0.816441874521246</v>
      </c>
      <c r="Z33" s="122" t="n">
        <f aca="false">Z31/(Z10-Y10)</f>
        <v>0.42785881536914</v>
      </c>
      <c r="AA33" s="122" t="n">
        <f aca="false">AA31/(AA10-Z10)</f>
        <v>0.503106169617752</v>
      </c>
      <c r="AB33" s="122" t="n">
        <f aca="false">AB31/(AB10-AA10)</f>
        <v>1.48583200367211</v>
      </c>
      <c r="AC33" s="122" t="n">
        <f aca="false">AC31/(AC10-AB10)</f>
        <v>0.484068789039301</v>
      </c>
      <c r="AD33" s="122" t="n">
        <f aca="false">AD31/(AD10-AC10)</f>
        <v>0.602832601502593</v>
      </c>
      <c r="AE33" s="122" t="n">
        <f aca="false">AE31/(AE10-AD10)</f>
        <v>0.384862816220835</v>
      </c>
      <c r="AF33" s="122" t="n">
        <f aca="false">AF31/(AF10-AE10)</f>
        <v>0.446392445963571</v>
      </c>
      <c r="AG33" s="122" t="n">
        <f aca="false">AG31/(AG10-AF10)</f>
        <v>0.434126285240927</v>
      </c>
      <c r="AH33" s="122" t="n">
        <f aca="false">AH31/(AH10-AG10)</f>
        <v>0.127781991644133</v>
      </c>
      <c r="AI33" s="122" t="n">
        <f aca="false">AI31/(AI10-AH10)</f>
        <v>0.438539261935829</v>
      </c>
    </row>
    <row r="35" customFormat="false" ht="14.25" hidden="false" customHeight="true" outlineLevel="0" collapsed="false">
      <c r="B35" s="88" t="s">
        <v>287</v>
      </c>
      <c r="C35" s="57"/>
      <c r="D35" s="57"/>
      <c r="E35" s="57"/>
      <c r="F35" s="57" t="s">
        <v>53</v>
      </c>
      <c r="G35" s="57" t="str">
        <f aca="false">IF(MID(F35,2,1)="4","Q1 "&amp;RIGHT(F35,4)+1, "Q"&amp;MID(F35,2,1)+1&amp;" "&amp;RIGHT(F35,4))</f>
        <v>Q2 2022</v>
      </c>
      <c r="H35" s="57" t="str">
        <f aca="false">IF(MID(G35,2,1)="4","Q1 "&amp;RIGHT(G35,4)+1, "Q"&amp;MID(G35,2,1)+1&amp;" "&amp;RIGHT(G35,4))</f>
        <v>Q3 2022</v>
      </c>
      <c r="I35" s="57" t="str">
        <f aca="false">IF(MID(H35,2,1)="4","Q1 "&amp;RIGHT(H35,4)+1, "Q"&amp;MID(H35,2,1)+1&amp;" "&amp;RIGHT(H35,4))</f>
        <v>Q4 2022</v>
      </c>
      <c r="J35" s="57" t="str">
        <f aca="false">IF(MID(I35,2,1)="4","Q1 "&amp;RIGHT(I35,4)+1, "Q"&amp;MID(I35,2,1)+1&amp;" "&amp;RIGHT(I35,4))</f>
        <v>Q1 2023</v>
      </c>
      <c r="K35" s="57" t="str">
        <f aca="false">IF(MID(J35,2,1)="4","Q1 "&amp;RIGHT(J35,4)+1, "Q"&amp;MID(J35,2,1)+1&amp;" "&amp;RIGHT(J35,4))</f>
        <v>Q2 2023</v>
      </c>
      <c r="L35" s="57" t="str">
        <f aca="false">IF(MID(K35,2,1)="4","Q1 "&amp;RIGHT(K35,4)+1, "Q"&amp;MID(K35,2,1)+1&amp;" "&amp;RIGHT(K35,4))</f>
        <v>Q3 2023</v>
      </c>
      <c r="M35" s="57" t="str">
        <f aca="false">IF(MID(L35,2,1)="4","Q1 "&amp;RIGHT(L35,4)+1, "Q"&amp;MID(L35,2,1)+1&amp;" "&amp;RIGHT(L35,4))</f>
        <v>Q4 2023</v>
      </c>
      <c r="N35" s="57" t="str">
        <f aca="false">IF(MID(M35,2,1)="4","Q1 "&amp;RIGHT(M35,4)+1, "Q"&amp;MID(M35,2,1)+1&amp;" "&amp;RIGHT(M35,4))</f>
        <v>Q1 2024</v>
      </c>
      <c r="O35" s="57" t="str">
        <f aca="false">IF(MID(N35,2,1)="4","Q1 "&amp;RIGHT(N35,4)+1, "Q"&amp;MID(N35,2,1)+1&amp;" "&amp;RIGHT(N35,4))</f>
        <v>Q2 2024</v>
      </c>
      <c r="P35" s="57" t="str">
        <f aca="false">IF(MID(O35,2,1)="4","Q1 "&amp;RIGHT(O35,4)+1, "Q"&amp;MID(O35,2,1)+1&amp;" "&amp;RIGHT(O35,4))</f>
        <v>Q3 2024</v>
      </c>
      <c r="Q35" s="57" t="str">
        <f aca="false">IF(MID(P35,2,1)="4","Q1 "&amp;RIGHT(P35,4)+1, "Q"&amp;MID(P35,2,1)+1&amp;" "&amp;RIGHT(P35,4))</f>
        <v>Q4 2024</v>
      </c>
      <c r="R35" s="57" t="str">
        <f aca="false">IF(MID(Q35,2,1)="4","Q1 "&amp;RIGHT(Q35,4)+1, "Q"&amp;MID(Q35,2,1)+1&amp;" "&amp;RIGHT(Q35,4))</f>
        <v>Q1 2025</v>
      </c>
      <c r="S35" s="57" t="str">
        <f aca="false">IF(MID(R35,2,1)="4","Q1 "&amp;RIGHT(R35,4)+1, "Q"&amp;MID(R35,2,1)+1&amp;" "&amp;RIGHT(R35,4))</f>
        <v>Q2 2025</v>
      </c>
      <c r="T35" s="57" t="str">
        <f aca="false">IF(MID(S35,2,1)="4","Q1 "&amp;RIGHT(S35,4)+1, "Q"&amp;MID(S35,2,1)+1&amp;" "&amp;RIGHT(S35,4))</f>
        <v>Q3 2025</v>
      </c>
      <c r="U35" s="57" t="str">
        <f aca="false">IF(MID(T35,2,1)="4","Q1 "&amp;RIGHT(T35,4)+1, "Q"&amp;MID(T35,2,1)+1&amp;" "&amp;RIGHT(T35,4))</f>
        <v>Q4 2025</v>
      </c>
      <c r="V35" s="57" t="str">
        <f aca="false">IF(MID(U35,2,1)="4","Q1 "&amp;RIGHT(U35,4)+1, "Q"&amp;MID(U35,2,1)+1&amp;" "&amp;RIGHT(U35,4))</f>
        <v>Q1 2026</v>
      </c>
      <c r="W35" s="57" t="str">
        <f aca="false">IF(MID(V35,2,1)="4","Q1 "&amp;RIGHT(V35,4)+1, "Q"&amp;MID(V35,2,1)+1&amp;" "&amp;RIGHT(V35,4))</f>
        <v>Q2 2026</v>
      </c>
    </row>
    <row r="36" customFormat="false" ht="14.25" hidden="false" customHeight="true" outlineLevel="0" collapsed="false">
      <c r="B36" s="28" t="s">
        <v>288</v>
      </c>
      <c r="F36" s="127" t="s">
        <v>289</v>
      </c>
      <c r="H36" s="127"/>
      <c r="I36" s="127"/>
      <c r="K36" s="28" t="s">
        <v>290</v>
      </c>
      <c r="L36" s="28"/>
      <c r="M36" s="28"/>
      <c r="O36" s="28" t="s">
        <v>291</v>
      </c>
      <c r="P36" s="28"/>
      <c r="V36" s="128"/>
      <c r="W36" s="128"/>
    </row>
    <row r="37" customFormat="false" ht="14.25" hidden="false" customHeight="true" outlineLevel="0" collapsed="false">
      <c r="A37" s="22" t="s">
        <v>272</v>
      </c>
      <c r="B37" s="1" t="s">
        <v>80</v>
      </c>
      <c r="D37" s="129" t="n">
        <v>2</v>
      </c>
      <c r="F37" s="1" t="s">
        <v>292</v>
      </c>
      <c r="I37" s="130" t="n">
        <v>0.35</v>
      </c>
      <c r="O37" s="1" t="s">
        <v>292</v>
      </c>
      <c r="R37" s="130" t="n">
        <v>0.9</v>
      </c>
    </row>
    <row r="38" customFormat="false" ht="14.25" hidden="false" customHeight="true" outlineLevel="0" collapsed="false">
      <c r="B38" s="1" t="s">
        <v>277</v>
      </c>
      <c r="D38" s="129" t="n">
        <v>2</v>
      </c>
      <c r="F38" s="1" t="s">
        <v>293</v>
      </c>
      <c r="I38" s="131" t="n">
        <v>0.08</v>
      </c>
      <c r="K38" s="1" t="s">
        <v>293</v>
      </c>
      <c r="M38" s="131" t="n">
        <v>0.1</v>
      </c>
      <c r="O38" s="1" t="s">
        <v>293</v>
      </c>
      <c r="R38" s="131" t="n">
        <v>0.146</v>
      </c>
    </row>
    <row r="39" customFormat="false" ht="14.25" hidden="false" customHeight="true" outlineLevel="0" collapsed="false">
      <c r="B39" s="1" t="s">
        <v>14</v>
      </c>
      <c r="D39" s="129" t="n">
        <v>2</v>
      </c>
      <c r="F39" s="1" t="s">
        <v>294</v>
      </c>
      <c r="I39" s="130" t="n">
        <v>0.4</v>
      </c>
      <c r="O39" s="1" t="s">
        <v>294</v>
      </c>
      <c r="R39" s="130" t="n">
        <v>0.57</v>
      </c>
    </row>
    <row r="40" customFormat="false" ht="14.25" hidden="false" customHeight="true" outlineLevel="0" collapsed="false">
      <c r="B40" s="1" t="s">
        <v>295</v>
      </c>
      <c r="D40" s="129" t="n">
        <v>2</v>
      </c>
      <c r="K40" s="1" t="s">
        <v>278</v>
      </c>
      <c r="M40" s="130" t="n">
        <v>0.17</v>
      </c>
      <c r="S40" s="109"/>
      <c r="AH40" s="109"/>
    </row>
    <row r="41" customFormat="false" ht="14.25" hidden="false" customHeight="true" outlineLevel="0" collapsed="false">
      <c r="B41" s="1" t="s">
        <v>296</v>
      </c>
      <c r="D41" s="32" t="n">
        <f aca="false">SUM('Income Statement'!Q17:T17)/SUM('Income Statement'!Q9:T9)</f>
        <v>0.117535619605612</v>
      </c>
      <c r="I41" s="22"/>
      <c r="M41" s="22"/>
      <c r="Q41" s="22"/>
      <c r="W41" s="32"/>
    </row>
    <row r="42" customFormat="false" ht="14.25" hidden="false" customHeight="true" outlineLevel="0" collapsed="false">
      <c r="B42" s="1" t="s">
        <v>14</v>
      </c>
      <c r="D42" s="132" t="n">
        <f aca="false">CHOOSE(D39,I42,M42,R42)</f>
        <v>0.102537677666938</v>
      </c>
      <c r="F42" s="1" t="s">
        <v>14</v>
      </c>
      <c r="I42" s="131" t="n">
        <f aca="false">M42+0.01</f>
        <v>0.112537677666938</v>
      </c>
      <c r="K42" s="1" t="s">
        <v>14</v>
      </c>
      <c r="M42" s="131" t="n">
        <f aca="false">WACC!F21</f>
        <v>0.102537677666938</v>
      </c>
      <c r="O42" s="1" t="s">
        <v>14</v>
      </c>
      <c r="R42" s="131" t="n">
        <f aca="false">M42-0.01</f>
        <v>0.0925376776669378</v>
      </c>
    </row>
    <row r="43" customFormat="false" ht="14.25" hidden="false" customHeight="true" outlineLevel="0" collapsed="false">
      <c r="B43" s="1" t="s">
        <v>295</v>
      </c>
      <c r="D43" s="132" t="n">
        <f aca="false">CHOOSE(D40,I43,M43,R43)</f>
        <v>0.035</v>
      </c>
      <c r="F43" s="1" t="s">
        <v>295</v>
      </c>
      <c r="I43" s="131" t="n">
        <v>0.03</v>
      </c>
      <c r="K43" s="1" t="s">
        <v>295</v>
      </c>
      <c r="M43" s="131" t="n">
        <v>0.035</v>
      </c>
      <c r="O43" s="1" t="s">
        <v>295</v>
      </c>
      <c r="R43" s="131" t="n">
        <v>0.04</v>
      </c>
    </row>
    <row r="44" customFormat="false" ht="14.25" hidden="false" customHeight="true" outlineLevel="0" collapsed="false">
      <c r="B44" s="133"/>
      <c r="C44" s="133"/>
      <c r="D44" s="134"/>
      <c r="E44" s="133"/>
      <c r="F44" s="133"/>
      <c r="G44" s="133"/>
      <c r="H44" s="134"/>
      <c r="I44" s="133" t="s">
        <v>297</v>
      </c>
      <c r="J44" s="133"/>
      <c r="K44" s="133"/>
      <c r="L44" s="134"/>
      <c r="M44" s="133"/>
      <c r="N44" s="133"/>
      <c r="O44" s="133"/>
      <c r="P44" s="134"/>
      <c r="Q44" s="133"/>
    </row>
    <row r="45" customFormat="false" ht="14.25" hidden="false" customHeight="true" outlineLevel="0" collapsed="false">
      <c r="D45" s="76"/>
      <c r="H45" s="76"/>
      <c r="L45" s="76"/>
      <c r="P45" s="76"/>
    </row>
    <row r="46" customFormat="false" ht="14.25" hidden="false" customHeight="true" outlineLevel="0" collapsed="false">
      <c r="D46" s="76"/>
      <c r="H46" s="76"/>
      <c r="L46" s="76"/>
      <c r="P46" s="76"/>
    </row>
    <row r="47" customFormat="false" ht="14.25" hidden="false" customHeight="true" outlineLevel="0" collapsed="false">
      <c r="B47" s="88" t="s">
        <v>264</v>
      </c>
      <c r="C47" s="57"/>
      <c r="D47" s="57"/>
      <c r="E47" s="57"/>
      <c r="F47" s="57" t="s">
        <v>53</v>
      </c>
      <c r="G47" s="57" t="str">
        <f aca="false">IF(MID(F47,2,1)="4","Q1 "&amp;RIGHT(F47,4)+1, "Q"&amp;MID(F47,2,1)+1&amp;" "&amp;RIGHT(F47,4))</f>
        <v>Q2 2022</v>
      </c>
      <c r="H47" s="57" t="str">
        <f aca="false">IF(MID(G47,2,1)="4","Q1 "&amp;RIGHT(G47,4)+1, "Q"&amp;MID(G47,2,1)+1&amp;" "&amp;RIGHT(G47,4))</f>
        <v>Q3 2022</v>
      </c>
      <c r="I47" s="57" t="str">
        <f aca="false">IF(MID(H47,2,1)="4","Q1 "&amp;RIGHT(H47,4)+1, "Q"&amp;MID(H47,2,1)+1&amp;" "&amp;RIGHT(H47,4))</f>
        <v>Q4 2022</v>
      </c>
      <c r="J47" s="57" t="str">
        <f aca="false">IF(MID(I47,2,1)="4","Q1 "&amp;RIGHT(I47,4)+1, "Q"&amp;MID(I47,2,1)+1&amp;" "&amp;RIGHT(I47,4))</f>
        <v>Q1 2023</v>
      </c>
      <c r="K47" s="57" t="str">
        <f aca="false">IF(MID(J47,2,1)="4","Q1 "&amp;RIGHT(J47,4)+1, "Q"&amp;MID(J47,2,1)+1&amp;" "&amp;RIGHT(J47,4))</f>
        <v>Q2 2023</v>
      </c>
      <c r="L47" s="57" t="str">
        <f aca="false">IF(MID(K47,2,1)="4","Q1 "&amp;RIGHT(K47,4)+1, "Q"&amp;MID(K47,2,1)+1&amp;" "&amp;RIGHT(K47,4))</f>
        <v>Q3 2023</v>
      </c>
      <c r="M47" s="57" t="str">
        <f aca="false">IF(MID(L47,2,1)="4","Q1 "&amp;RIGHT(L47,4)+1, "Q"&amp;MID(L47,2,1)+1&amp;" "&amp;RIGHT(L47,4))</f>
        <v>Q4 2023</v>
      </c>
      <c r="N47" s="57" t="str">
        <f aca="false">IF(MID(M47,2,1)="4","Q1 "&amp;RIGHT(M47,4)+1, "Q"&amp;MID(M47,2,1)+1&amp;" "&amp;RIGHT(M47,4))</f>
        <v>Q1 2024</v>
      </c>
      <c r="O47" s="57" t="str">
        <f aca="false">IF(MID(N47,2,1)="4","Q1 "&amp;RIGHT(N47,4)+1, "Q"&amp;MID(N47,2,1)+1&amp;" "&amp;RIGHT(N47,4))</f>
        <v>Q2 2024</v>
      </c>
      <c r="P47" s="57" t="str">
        <f aca="false">IF(MID(O47,2,1)="4","Q1 "&amp;RIGHT(O47,4)+1, "Q"&amp;MID(O47,2,1)+1&amp;" "&amp;RIGHT(O47,4))</f>
        <v>Q3 2024</v>
      </c>
      <c r="Q47" s="57" t="str">
        <f aca="false">IF(MID(P47,2,1)="4","Q1 "&amp;RIGHT(P47,4)+1, "Q"&amp;MID(P47,2,1)+1&amp;" "&amp;RIGHT(P47,4))</f>
        <v>Q4 2024</v>
      </c>
      <c r="R47" s="57" t="str">
        <f aca="false">IF(MID(Q47,2,1)="4","Q1 "&amp;RIGHT(Q47,4)+1, "Q"&amp;MID(Q47,2,1)+1&amp;" "&amp;RIGHT(Q47,4))</f>
        <v>Q1 2025</v>
      </c>
      <c r="S47" s="57" t="str">
        <f aca="false">IF(MID(R47,2,1)="4","Q1 "&amp;RIGHT(R47,4)+1, "Q"&amp;MID(R47,2,1)+1&amp;" "&amp;RIGHT(R47,4))</f>
        <v>Q2 2025</v>
      </c>
      <c r="T47" s="57" t="str">
        <f aca="false">IF(MID(S47,2,1)="4","Q1 "&amp;RIGHT(S47,4)+1, "Q"&amp;MID(S47,2,1)+1&amp;" "&amp;RIGHT(S47,4))</f>
        <v>Q3 2025</v>
      </c>
      <c r="U47" s="57" t="str">
        <f aca="false">IF(MID(T47,2,1)="4","Q1 "&amp;RIGHT(T47,4)+1, "Q"&amp;MID(T47,2,1)+1&amp;" "&amp;RIGHT(T47,4))</f>
        <v>Q4 2025</v>
      </c>
      <c r="V47" s="57" t="str">
        <f aca="false">IF(MID(U47,2,1)="4","Q1 "&amp;RIGHT(U47,4)+1, "Q"&amp;MID(U47,2,1)+1&amp;" "&amp;RIGHT(U47,4))</f>
        <v>Q1 2026</v>
      </c>
      <c r="W47" s="57" t="str">
        <f aca="false">IF(MID(V47,2,1)="4","Q1 "&amp;RIGHT(V47,4)+1, "Q"&amp;MID(V47,2,1)+1&amp;" "&amp;RIGHT(V47,4))</f>
        <v>Q2 2026</v>
      </c>
      <c r="X47" s="58" t="str">
        <f aca="false">IF(MID(W35,2,1)="4","Q1 "&amp;RIGHT(W35,4)+1, "Q"&amp;MID(W35,2,1)+1&amp;" "&amp;RIGHT(W35,4))</f>
        <v>Q3 2026</v>
      </c>
      <c r="Y47" s="58" t="str">
        <f aca="false">IF(MID(X47,2,1)="4","Q1 "&amp;RIGHT(X47,4)+1, "Q"&amp;MID(X47,2,1)+1&amp;" "&amp;RIGHT(X47,4))</f>
        <v>Q4 2026</v>
      </c>
      <c r="Z47" s="58" t="str">
        <f aca="false">IF(MID(Y47,2,1)="4","Q1 "&amp;RIGHT(Y47,4)+1, "Q"&amp;MID(Y47,2,1)+1&amp;" "&amp;RIGHT(Y47,4))</f>
        <v>Q1 2027</v>
      </c>
      <c r="AA47" s="58" t="str">
        <f aca="false">IF(MID(Z47,2,1)="4","Q1 "&amp;RIGHT(Z47,4)+1, "Q"&amp;MID(Z47,2,1)+1&amp;" "&amp;RIGHT(Z47,4))</f>
        <v>Q2 2027</v>
      </c>
      <c r="AB47" s="58" t="str">
        <f aca="false">IF(MID(AA47,2,1)="4","Q1 "&amp;RIGHT(AA47,4)+1, "Q"&amp;MID(AA47,2,1)+1&amp;" "&amp;RIGHT(AA47,4))</f>
        <v>Q3 2027</v>
      </c>
      <c r="AC47" s="58" t="str">
        <f aca="false">IF(MID(AB47,2,1)="4","Q1 "&amp;RIGHT(AB47,4)+1, "Q"&amp;MID(AB47,2,1)+1&amp;" "&amp;RIGHT(AB47,4))</f>
        <v>Q4 2027</v>
      </c>
      <c r="AD47" s="58" t="str">
        <f aca="false">IF(MID(AC47,2,1)="4","Q1 "&amp;RIGHT(AC47,4)+1, "Q"&amp;MID(AC47,2,1)+1&amp;" "&amp;RIGHT(AC47,4))</f>
        <v>Q1 2028</v>
      </c>
      <c r="AE47" s="58" t="str">
        <f aca="false">IF(MID(AD47,2,1)="4","Q1 "&amp;RIGHT(AD47,4)+1, "Q"&amp;MID(AD47,2,1)+1&amp;" "&amp;RIGHT(AD47,4))</f>
        <v>Q2 2028</v>
      </c>
      <c r="AF47" s="58" t="str">
        <f aca="false">IF(MID(AE47,2,1)="4","Q1 "&amp;RIGHT(AE47,4)+1, "Q"&amp;MID(AE47,2,1)+1&amp;" "&amp;RIGHT(AE47,4))</f>
        <v>Q3 2028</v>
      </c>
      <c r="AG47" s="58" t="str">
        <f aca="false">IF(MID(AF47,2,1)="4","Q1 "&amp;RIGHT(AF47,4)+1, "Q"&amp;MID(AF47,2,1)+1&amp;" "&amp;RIGHT(AF47,4))</f>
        <v>Q4 2028</v>
      </c>
      <c r="AH47" s="123" t="n">
        <v>2029</v>
      </c>
      <c r="AI47" s="123" t="n">
        <v>2030</v>
      </c>
    </row>
    <row r="48" customFormat="false" ht="14.25" hidden="false" customHeight="true" outlineLevel="0" collapsed="false">
      <c r="B48" s="1" t="s">
        <v>80</v>
      </c>
      <c r="F48" s="135" t="n">
        <f aca="false">F10</f>
        <v>5661</v>
      </c>
      <c r="G48" s="135" t="n">
        <f aca="false">G10</f>
        <v>6507</v>
      </c>
      <c r="H48" s="135" t="n">
        <f aca="false">H10</f>
        <v>7103</v>
      </c>
      <c r="I48" s="135" t="n">
        <f aca="false">I10</f>
        <v>7643</v>
      </c>
      <c r="J48" s="135" t="n">
        <f aca="false">J10</f>
        <v>8288</v>
      </c>
      <c r="K48" s="135" t="n">
        <f aca="false">K10</f>
        <v>6704</v>
      </c>
      <c r="L48" s="135" t="n">
        <f aca="false">L10</f>
        <v>5931</v>
      </c>
      <c r="M48" s="135" t="n">
        <f aca="false">M10</f>
        <v>6051</v>
      </c>
      <c r="N48" s="135" t="n">
        <f aca="false">N10</f>
        <v>7192</v>
      </c>
      <c r="O48" s="135" t="n">
        <f aca="false">O10</f>
        <v>13507</v>
      </c>
      <c r="P48" s="135" t="n">
        <f aca="false">P10</f>
        <v>18120</v>
      </c>
      <c r="Q48" s="135" t="n">
        <f aca="false">Q10</f>
        <v>22103</v>
      </c>
      <c r="R48" s="135" t="n">
        <f aca="false">R10</f>
        <v>26044</v>
      </c>
      <c r="S48" s="135" t="n">
        <f aca="false">S10</f>
        <v>30040</v>
      </c>
      <c r="T48" s="135" t="n">
        <f aca="false">T10</f>
        <v>35082</v>
      </c>
      <c r="U48" s="135" t="n">
        <f aca="false">U10</f>
        <v>39331</v>
      </c>
      <c r="V48" s="135" t="n">
        <f aca="false">V10</f>
        <v>44062</v>
      </c>
      <c r="W48" s="135" t="n">
        <f aca="false">W10</f>
        <v>46743</v>
      </c>
      <c r="X48" s="68" t="n">
        <f aca="false">W48*(1+X49)</f>
        <v>51065.6119531285</v>
      </c>
      <c r="Y48" s="68" t="n">
        <f aca="false">X48*(1+Y49)</f>
        <v>55195.7788535493</v>
      </c>
      <c r="Z48" s="68" t="n">
        <f aca="false">Y48*(1+Z49)</f>
        <v>60239.5310591322</v>
      </c>
      <c r="AA48" s="68" t="n">
        <f aca="false">Z48*(1+AA49)</f>
        <v>64481.7813418993</v>
      </c>
      <c r="AB48" s="68" t="n">
        <f aca="false">AA48*(1+AB49)</f>
        <v>63741.608062254</v>
      </c>
      <c r="AC48" s="68" t="n">
        <f aca="false">AB48*(1+AC49)</f>
        <v>68779.720852373</v>
      </c>
      <c r="AD48" s="68" t="n">
        <f aca="false">AC48*(1+AD49)</f>
        <v>70894.5016513595</v>
      </c>
      <c r="AE48" s="68" t="n">
        <f aca="false">AD48*(1+AE49)</f>
        <v>73009.2824503461</v>
      </c>
      <c r="AF48" s="68" t="n">
        <f aca="false">AE48*(1+AF49)</f>
        <v>82763.8869496831</v>
      </c>
      <c r="AG48" s="68" t="n">
        <f aca="false">AF48*(1+AG49)</f>
        <v>93130.1091727246</v>
      </c>
      <c r="AH48" s="68" t="n">
        <v>259922</v>
      </c>
      <c r="AI48" s="68" t="n">
        <v>319700</v>
      </c>
    </row>
    <row r="49" customFormat="false" ht="14.25" hidden="false" customHeight="true" outlineLevel="0" collapsed="false">
      <c r="A49" s="22" t="s">
        <v>272</v>
      </c>
      <c r="B49" s="33" t="s">
        <v>274</v>
      </c>
      <c r="G49" s="122" t="n">
        <f aca="false">G11</f>
        <v>0.149443561208267</v>
      </c>
      <c r="H49" s="122" t="n">
        <f aca="false">H11</f>
        <v>0.0915936683571539</v>
      </c>
      <c r="I49" s="122" t="n">
        <f aca="false">I11</f>
        <v>0.0760242151203716</v>
      </c>
      <c r="J49" s="122" t="n">
        <f aca="false">J11</f>
        <v>0.084390945963627</v>
      </c>
      <c r="K49" s="122" t="n">
        <f aca="false">K11</f>
        <v>-0.191119691119691</v>
      </c>
      <c r="L49" s="122" t="n">
        <f aca="false">L11</f>
        <v>-0.115304295942721</v>
      </c>
      <c r="M49" s="122" t="n">
        <f aca="false">M11</f>
        <v>0.0202326757713707</v>
      </c>
      <c r="N49" s="122" t="n">
        <f aca="false">N11</f>
        <v>0.188563873739878</v>
      </c>
      <c r="O49" s="122" t="n">
        <f aca="false">O11</f>
        <v>0.878058954393771</v>
      </c>
      <c r="P49" s="122" t="n">
        <f aca="false">P11</f>
        <v>0.34152661582883</v>
      </c>
      <c r="Q49" s="122" t="n">
        <f aca="false">Q11</f>
        <v>0.219812362030905</v>
      </c>
      <c r="R49" s="122" t="n">
        <f aca="false">R11</f>
        <v>0.178301588019726</v>
      </c>
      <c r="S49" s="122" t="n">
        <f aca="false">S11</f>
        <v>0.153432652434342</v>
      </c>
      <c r="T49" s="122" t="n">
        <f aca="false">T11</f>
        <v>0.167842876165113</v>
      </c>
      <c r="U49" s="122" t="n">
        <f aca="false">U11</f>
        <v>0.121116241947437</v>
      </c>
      <c r="V49" s="122" t="n">
        <f aca="false">V11</f>
        <v>0.120286796674379</v>
      </c>
      <c r="W49" s="122" t="n">
        <f aca="false">W11</f>
        <v>0.0608460805228996</v>
      </c>
      <c r="X49" s="122" t="n">
        <f aca="true">OFFSET(X49,$D$37,0)</f>
        <v>0.0924761344613854</v>
      </c>
      <c r="Y49" s="122" t="n">
        <f aca="true">OFFSET(Y49,$D$37,0)</f>
        <v>0.0808796123742079</v>
      </c>
      <c r="Z49" s="122" t="n">
        <f aca="true">OFFSET(Z49,$D$37,0)</f>
        <v>0.0913793103448275</v>
      </c>
      <c r="AA49" s="122" t="n">
        <f aca="true">OFFSET(AA49,$D$37,0)</f>
        <v>0.0704230296647359</v>
      </c>
      <c r="AB49" s="122" t="n">
        <f aca="true">OFFSET(AB49,$D$37,0)</f>
        <v>-0.0114787970220721</v>
      </c>
      <c r="AC49" s="122" t="n">
        <f aca="true">OFFSET(AC49,$D$37,0)</f>
        <v>0.0790396248742025</v>
      </c>
      <c r="AD49" s="122" t="n">
        <f aca="true">OFFSET(AD49,$D$37,0)</f>
        <v>0.0307471558880803</v>
      </c>
      <c r="AE49" s="122" t="n">
        <f aca="true">OFFSET(AE49,$D$37,0)</f>
        <v>0.0298299691756985</v>
      </c>
      <c r="AF49" s="122" t="n">
        <f aca="true">OFFSET(AF49,$D$37,0)</f>
        <v>0.133607730030372</v>
      </c>
      <c r="AG49" s="122" t="n">
        <f aca="true">OFFSET(AG49,$D$37,0)</f>
        <v>0.125250548338114</v>
      </c>
      <c r="AH49" s="122" t="n">
        <f aca="true">OFFSET(AH49,$D$37,0)</f>
        <v>1.79095560296116</v>
      </c>
      <c r="AI49" s="122" t="n">
        <f aca="true">OFFSET(AI49,$D$37,0)</f>
        <v>0.229984379929364</v>
      </c>
    </row>
    <row r="50" customFormat="false" ht="14.25" hidden="false" customHeight="true" outlineLevel="0" collapsed="false">
      <c r="B50" s="28" t="s">
        <v>298</v>
      </c>
      <c r="X50" s="131" t="n">
        <v>0.0924761344613854</v>
      </c>
      <c r="Y50" s="131" t="n">
        <f aca="false">Y51*$I$37</f>
        <v>0.0283078643309728</v>
      </c>
      <c r="Z50" s="131" t="n">
        <f aca="false">Z51*$I$37</f>
        <v>0.0319827586206896</v>
      </c>
      <c r="AA50" s="131" t="n">
        <f aca="false">AA51*$I$37</f>
        <v>0.0246480603826576</v>
      </c>
      <c r="AB50" s="131" t="n">
        <f aca="false">AB51*$I$37</f>
        <v>-0.00401757895772524</v>
      </c>
      <c r="AC50" s="131" t="n">
        <f aca="false">AC51*$I$37</f>
        <v>0.0276638687059709</v>
      </c>
      <c r="AD50" s="131" t="n">
        <f aca="false">AD51*$I$37</f>
        <v>0.0107615045608281</v>
      </c>
      <c r="AE50" s="131" t="n">
        <f aca="false">AE51*$I$37</f>
        <v>0.0104404892114945</v>
      </c>
      <c r="AF50" s="131" t="n">
        <f aca="false">AF51*$I$37</f>
        <v>0.0467627055106302</v>
      </c>
      <c r="AG50" s="131" t="n">
        <f aca="false">AG51*$I$37</f>
        <v>0.0438376919183399</v>
      </c>
      <c r="AH50" s="131" t="n">
        <f aca="false">AH51*$I$37</f>
        <v>0.626834461036405</v>
      </c>
      <c r="AI50" s="131" t="n">
        <f aca="false">AI51*$I$37</f>
        <v>0.0804945329752772</v>
      </c>
    </row>
    <row r="51" customFormat="false" ht="14.25" hidden="false" customHeight="true" outlineLevel="0" collapsed="false">
      <c r="B51" s="28" t="s">
        <v>299</v>
      </c>
      <c r="X51" s="131" t="n">
        <v>0.0924761344613854</v>
      </c>
      <c r="Y51" s="131" t="n">
        <v>0.0808796123742079</v>
      </c>
      <c r="Z51" s="131" t="n">
        <v>0.0913793103448275</v>
      </c>
      <c r="AA51" s="131" t="n">
        <v>0.0704230296647359</v>
      </c>
      <c r="AB51" s="131" t="n">
        <v>-0.0114787970220721</v>
      </c>
      <c r="AC51" s="131" t="n">
        <v>0.0790396248742025</v>
      </c>
      <c r="AD51" s="131" t="n">
        <v>0.0307471558880803</v>
      </c>
      <c r="AE51" s="131" t="n">
        <v>0.0298299691756985</v>
      </c>
      <c r="AF51" s="131" t="n">
        <v>0.133607730030372</v>
      </c>
      <c r="AG51" s="131" t="n">
        <v>0.125250548338114</v>
      </c>
      <c r="AH51" s="131" t="n">
        <f aca="false">AH48/AG48-1</f>
        <v>1.79095560296116</v>
      </c>
      <c r="AI51" s="131" t="n">
        <f aca="false">AI48/AH48-1</f>
        <v>0.229984379929364</v>
      </c>
    </row>
    <row r="52" customFormat="false" ht="14.25" hidden="false" customHeight="true" outlineLevel="0" collapsed="false">
      <c r="B52" s="28" t="s">
        <v>300</v>
      </c>
      <c r="X52" s="131" t="n">
        <v>0.0924761344613854</v>
      </c>
      <c r="Y52" s="136" t="n">
        <f aca="false">Y51*$R$37</f>
        <v>0.0727916511367871</v>
      </c>
      <c r="Z52" s="136" t="n">
        <f aca="false">Z51*$R$37</f>
        <v>0.0822413793103448</v>
      </c>
      <c r="AA52" s="136" t="n">
        <f aca="false">AA51*$R$37</f>
        <v>0.0633807266982623</v>
      </c>
      <c r="AB52" s="136" t="n">
        <f aca="false">AB51*$R$37</f>
        <v>-0.0103309173198649</v>
      </c>
      <c r="AC52" s="136" t="n">
        <f aca="false">AC51*$R$37</f>
        <v>0.0711356623867823</v>
      </c>
      <c r="AD52" s="136" t="n">
        <f aca="false">AD51*$R$37</f>
        <v>0.0276724402992723</v>
      </c>
      <c r="AE52" s="136" t="n">
        <f aca="false">AE51*$R$37</f>
        <v>0.0268469722581287</v>
      </c>
      <c r="AF52" s="136" t="n">
        <f aca="false">AF51*$R$37</f>
        <v>0.120246957027335</v>
      </c>
      <c r="AG52" s="136" t="n">
        <f aca="false">AG51*$R$37</f>
        <v>0.112725493504303</v>
      </c>
      <c r="AH52" s="136" t="n">
        <f aca="false">AH51*$R$37</f>
        <v>1.61186004266504</v>
      </c>
      <c r="AI52" s="136" t="n">
        <f aca="false">AI51*$R$37</f>
        <v>0.206985941936427</v>
      </c>
    </row>
    <row r="54" customFormat="false" ht="14.25" hidden="false" customHeight="true" outlineLevel="0" collapsed="false">
      <c r="B54" s="1" t="s">
        <v>277</v>
      </c>
      <c r="F54" s="135" t="n">
        <f aca="false">F16</f>
        <v>1909</v>
      </c>
      <c r="G54" s="135" t="n">
        <f aca="false">G16</f>
        <v>2390</v>
      </c>
      <c r="H54" s="135" t="n">
        <f aca="false">H16</f>
        <v>2616</v>
      </c>
      <c r="I54" s="135" t="n">
        <f aca="false">I16</f>
        <v>2919</v>
      </c>
      <c r="J54" s="135" t="n">
        <f aca="false">J16</f>
        <v>1818</v>
      </c>
      <c r="K54" s="135" t="n">
        <f aca="false">K16</f>
        <v>480</v>
      </c>
      <c r="L54" s="135" t="n">
        <f aca="false">L16</f>
        <v>624</v>
      </c>
      <c r="M54" s="135" t="n">
        <f aca="false">M16</f>
        <v>1307</v>
      </c>
      <c r="N54" s="135" t="n">
        <f aca="false">N16</f>
        <v>2224</v>
      </c>
      <c r="O54" s="135" t="n">
        <f aca="false">O16</f>
        <v>6922</v>
      </c>
      <c r="P54" s="135" t="n">
        <f aca="false">P16</f>
        <v>10588</v>
      </c>
      <c r="Q54" s="135" t="n">
        <f aca="false">Q16</f>
        <v>13847</v>
      </c>
      <c r="R54" s="135" t="n">
        <f aca="false">R16</f>
        <v>17204</v>
      </c>
      <c r="S54" s="135" t="n">
        <f aca="false">S16</f>
        <v>19025</v>
      </c>
      <c r="T54" s="135" t="n">
        <f aca="false">T16</f>
        <v>22280</v>
      </c>
      <c r="U54" s="135" t="n">
        <f aca="false">U16</f>
        <v>24484</v>
      </c>
      <c r="V54" s="135" t="n">
        <f aca="false">V16</f>
        <v>22090</v>
      </c>
      <c r="W54" s="135" t="n">
        <f aca="false">W16</f>
        <v>28970</v>
      </c>
      <c r="X54" s="68" t="n">
        <f aca="false">X48*X55</f>
        <v>31561.3291237841</v>
      </c>
      <c r="Y54" s="68" t="n">
        <f aca="false">Y48*Y55</f>
        <v>36213.5064018459</v>
      </c>
      <c r="Z54" s="68" t="n">
        <f aca="false">Z48*Z55</f>
        <v>39470.2688322852</v>
      </c>
      <c r="AA54" s="68" t="n">
        <f aca="false">AA48*AA55</f>
        <v>42198.3360629779</v>
      </c>
      <c r="AB54" s="68" t="n">
        <f aca="false">AB48*AB55</f>
        <v>41644.2634936434</v>
      </c>
      <c r="AC54" s="68" t="n">
        <f aca="false">AC48*AC55</f>
        <v>44404.7573632539</v>
      </c>
      <c r="AD54" s="68" t="n">
        <f aca="false">AD48*AD55</f>
        <v>45885.1039225444</v>
      </c>
      <c r="AE54" s="68" t="n">
        <f aca="false">AE48*AE55</f>
        <v>47365.4504818351</v>
      </c>
      <c r="AF54" s="68" t="n">
        <f aca="false">AF48*AF55</f>
        <v>52443.8459489094</v>
      </c>
      <c r="AG54" s="68" t="n">
        <f aca="false">AG48*AG55</f>
        <v>56326.9203006839</v>
      </c>
      <c r="AH54" s="68" t="n">
        <f aca="false">AH48*AH55</f>
        <v>157205.93381074</v>
      </c>
      <c r="AI54" s="68" t="n">
        <f aca="false">AI48*AI55</f>
        <v>193360.84301942</v>
      </c>
    </row>
    <row r="55" customFormat="false" ht="14.25" hidden="false" customHeight="true" outlineLevel="0" collapsed="false">
      <c r="B55" s="33" t="s">
        <v>276</v>
      </c>
      <c r="F55" s="122" t="n">
        <f aca="false">F17</f>
        <v>0.33721957251369</v>
      </c>
      <c r="G55" s="122" t="n">
        <f aca="false">G17</f>
        <v>0.367296757338251</v>
      </c>
      <c r="H55" s="122" t="n">
        <f aca="false">H17</f>
        <v>0.368295086583134</v>
      </c>
      <c r="I55" s="122" t="n">
        <f aca="false">I17</f>
        <v>0.381918094988879</v>
      </c>
      <c r="J55" s="122" t="n">
        <f aca="false">J17</f>
        <v>0.219353281853282</v>
      </c>
      <c r="K55" s="122" t="n">
        <f aca="false">K17</f>
        <v>0.0715990453460621</v>
      </c>
      <c r="L55" s="122" t="n">
        <f aca="false">L17</f>
        <v>0.105209914011128</v>
      </c>
      <c r="M55" s="122" t="n">
        <f aca="false">M17</f>
        <v>0.215997355808957</v>
      </c>
      <c r="N55" s="122" t="n">
        <f aca="false">N17</f>
        <v>0.309232480533927</v>
      </c>
      <c r="O55" s="122" t="n">
        <f aca="false">O17</f>
        <v>0.512475012956245</v>
      </c>
      <c r="P55" s="122" t="n">
        <f aca="false">P17</f>
        <v>0.584326710816777</v>
      </c>
      <c r="Q55" s="122" t="n">
        <f aca="false">Q17</f>
        <v>0.626476043975931</v>
      </c>
      <c r="R55" s="122" t="n">
        <f aca="false">R17</f>
        <v>0.660574412532637</v>
      </c>
      <c r="S55" s="122" t="n">
        <f aca="false">S17</f>
        <v>0.63332223701731</v>
      </c>
      <c r="T55" s="122" t="n">
        <f aca="false">T17</f>
        <v>0.635083518613534</v>
      </c>
      <c r="U55" s="122" t="n">
        <f aca="false">U17</f>
        <v>0.622511504919783</v>
      </c>
      <c r="V55" s="122" t="n">
        <f aca="false">V17</f>
        <v>0.501339022286778</v>
      </c>
      <c r="W55" s="122" t="n">
        <f aca="false">W17</f>
        <v>0.619771944462273</v>
      </c>
      <c r="X55" s="24" t="n">
        <f aca="true">OFFSET(X55,$D$38,0)</f>
        <v>0.618054458110738</v>
      </c>
      <c r="Y55" s="122" t="n">
        <f aca="true">OFFSET(Y55,$D$38,0)</f>
        <v>0.656091954022989</v>
      </c>
      <c r="Z55" s="122" t="n">
        <f aca="true">OFFSET(Z55,$D$38,0)</f>
        <v>0.655222046691241</v>
      </c>
      <c r="AA55" s="122" t="n">
        <f aca="true">OFFSET(AA55,$D$38,0)</f>
        <v>0.65442261650979</v>
      </c>
      <c r="AB55" s="122" t="n">
        <f aca="true">OFFSET(AB55,$D$38,0)</f>
        <v>0.653329352045387</v>
      </c>
      <c r="AC55" s="122" t="n">
        <f aca="true">OFFSET(AC55,$D$38,0)</f>
        <v>0.645608281233986</v>
      </c>
      <c r="AD55" s="122" t="n">
        <f aca="true">OFFSET(AD55,$D$38,0)</f>
        <v>0.647230784528189</v>
      </c>
      <c r="AE55" s="122" t="n">
        <f aca="true">OFFSET(AE55,$D$38,0)</f>
        <v>0.648759293231631</v>
      </c>
      <c r="AF55" s="122" t="n">
        <f aca="true">OFFSET(AF55,$D$38,0)</f>
        <v>0.633656149822845</v>
      </c>
      <c r="AG55" s="122" t="n">
        <f aca="true">OFFSET(AG55,$D$38,0)</f>
        <v>0.604819652860244</v>
      </c>
      <c r="AH55" s="122" t="n">
        <f aca="true">OFFSET(AH55,$D$38,0)</f>
        <v>0.604819652860244</v>
      </c>
      <c r="AI55" s="122" t="n">
        <f aca="true">OFFSET(AI55,$D$38,0)</f>
        <v>0.604819652860244</v>
      </c>
    </row>
    <row r="56" customFormat="false" ht="14.25" hidden="false" customHeight="true" outlineLevel="0" collapsed="false">
      <c r="B56" s="28" t="s">
        <v>298</v>
      </c>
      <c r="X56" s="136" t="n">
        <v>0.618054458110738</v>
      </c>
      <c r="Y56" s="136" t="n">
        <f aca="false">Y57*$I$39</f>
        <v>0.262436781609196</v>
      </c>
      <c r="Z56" s="136" t="n">
        <f aca="false">Z57*$I$39</f>
        <v>0.262088818676496</v>
      </c>
      <c r="AA56" s="136" t="n">
        <f aca="false">AA57*$I$39</f>
        <v>0.261769046603916</v>
      </c>
      <c r="AB56" s="136" t="n">
        <f aca="false">AB57*$I$39</f>
        <v>0.261331740818155</v>
      </c>
      <c r="AC56" s="136" t="n">
        <f aca="false">AC57*$I$39</f>
        <v>0.258243312493594</v>
      </c>
      <c r="AD56" s="136" t="n">
        <f aca="false">AD57*$I$39</f>
        <v>0.258892313811276</v>
      </c>
      <c r="AE56" s="136" t="n">
        <f aca="false">AE57*$I$39</f>
        <v>0.259503717292652</v>
      </c>
      <c r="AF56" s="136" t="n">
        <f aca="false">AF57*$I$39</f>
        <v>0.253462459929138</v>
      </c>
      <c r="AG56" s="136" t="n">
        <f aca="false">AG57*$I$39</f>
        <v>0.241927861144098</v>
      </c>
      <c r="AH56" s="136" t="n">
        <f aca="false">AH57*$I$39</f>
        <v>0.241927861144098</v>
      </c>
      <c r="AI56" s="136" t="n">
        <f aca="false">AI57*$I$39</f>
        <v>0.241927861144098</v>
      </c>
    </row>
    <row r="57" customFormat="false" ht="14.25" hidden="false" customHeight="true" outlineLevel="0" collapsed="false">
      <c r="B57" s="28" t="s">
        <v>299</v>
      </c>
      <c r="X57" s="136" t="n">
        <v>0.618054458110738</v>
      </c>
      <c r="Y57" s="136" t="n">
        <v>0.656091954022989</v>
      </c>
      <c r="Z57" s="136" t="n">
        <v>0.655222046691241</v>
      </c>
      <c r="AA57" s="136" t="n">
        <v>0.65442261650979</v>
      </c>
      <c r="AB57" s="136" t="n">
        <v>0.653329352045387</v>
      </c>
      <c r="AC57" s="136" t="n">
        <v>0.645608281233986</v>
      </c>
      <c r="AD57" s="136" t="n">
        <v>0.647230784528189</v>
      </c>
      <c r="AE57" s="136" t="n">
        <v>0.648759293231631</v>
      </c>
      <c r="AF57" s="136" t="n">
        <v>0.633656149822845</v>
      </c>
      <c r="AG57" s="136" t="n">
        <v>0.604819652860244</v>
      </c>
      <c r="AH57" s="136" t="n">
        <v>0.604819652860244</v>
      </c>
      <c r="AI57" s="136" t="n">
        <v>0.604819652860244</v>
      </c>
    </row>
    <row r="58" customFormat="false" ht="14.25" hidden="false" customHeight="true" outlineLevel="0" collapsed="false">
      <c r="B58" s="28" t="s">
        <v>300</v>
      </c>
      <c r="X58" s="136" t="n">
        <v>0.618054458110738</v>
      </c>
      <c r="Y58" s="136" t="n">
        <f aca="false">Y57*$R$39</f>
        <v>0.373972413793104</v>
      </c>
      <c r="Z58" s="136" t="n">
        <f aca="false">Z57*$R$39</f>
        <v>0.373476566614007</v>
      </c>
      <c r="AA58" s="136" t="n">
        <f aca="false">AA57*$R$39</f>
        <v>0.37302089141058</v>
      </c>
      <c r="AB58" s="136" t="n">
        <f aca="false">AB57*$R$39</f>
        <v>0.372397730665871</v>
      </c>
      <c r="AC58" s="136" t="n">
        <f aca="false">AC57*$R$39</f>
        <v>0.367996720303372</v>
      </c>
      <c r="AD58" s="136" t="n">
        <f aca="false">AD57*$R$39</f>
        <v>0.368921547181068</v>
      </c>
      <c r="AE58" s="136" t="n">
        <f aca="false">AE57*$R$39</f>
        <v>0.36979279714203</v>
      </c>
      <c r="AF58" s="136" t="n">
        <f aca="false">AF57*$R$39</f>
        <v>0.361184005399022</v>
      </c>
      <c r="AG58" s="136" t="n">
        <f aca="false">AG57*$R$39</f>
        <v>0.344747202130339</v>
      </c>
      <c r="AH58" s="136" t="n">
        <f aca="false">AH57*$R$39</f>
        <v>0.344747202130339</v>
      </c>
      <c r="AI58" s="136" t="n">
        <f aca="false">AI57*$R$39</f>
        <v>0.344747202130339</v>
      </c>
    </row>
    <row r="60" customFormat="false" ht="14.25" hidden="false" customHeight="true" outlineLevel="0" collapsed="false">
      <c r="B60" s="1" t="s">
        <v>278</v>
      </c>
      <c r="X60" s="68" t="n">
        <f aca="false">X54*X61</f>
        <v>5365.42595104329</v>
      </c>
      <c r="Y60" s="68" t="n">
        <f aca="false">Y54*Y61</f>
        <v>6156.29608831381</v>
      </c>
      <c r="Z60" s="68" t="n">
        <f aca="false">Z54*Z61</f>
        <v>6709.94570148849</v>
      </c>
      <c r="AA60" s="68" t="n">
        <f aca="false">AA54*AA61</f>
        <v>7173.71713070624</v>
      </c>
      <c r="AB60" s="68" t="n">
        <f aca="false">AB54*AB61</f>
        <v>7079.52479391938</v>
      </c>
      <c r="AC60" s="68" t="n">
        <f aca="false">AC54*AC61</f>
        <v>7548.80875175316</v>
      </c>
      <c r="AD60" s="68" t="n">
        <f aca="false">AD54*AD61</f>
        <v>7800.46766683255</v>
      </c>
      <c r="AE60" s="68" t="n">
        <f aca="false">AE54*AE61</f>
        <v>8052.12658191196</v>
      </c>
      <c r="AF60" s="68" t="n">
        <f aca="false">AF54*AF61</f>
        <v>8915.4538113146</v>
      </c>
      <c r="AG60" s="68" t="n">
        <f aca="false">AG54*AG61</f>
        <v>9575.57645111626</v>
      </c>
      <c r="AH60" s="68" t="n">
        <f aca="false">AH54*AH61</f>
        <v>26725.0087478259</v>
      </c>
      <c r="AI60" s="68" t="n">
        <f aca="false">AI54*AI61</f>
        <v>32871.3433133014</v>
      </c>
    </row>
    <row r="61" customFormat="false" ht="14.25" hidden="false" customHeight="true" outlineLevel="0" collapsed="false">
      <c r="B61" s="33" t="s">
        <v>279</v>
      </c>
      <c r="X61" s="130" t="n">
        <f aca="false">$M$40</f>
        <v>0.17</v>
      </c>
      <c r="Y61" s="130" t="n">
        <f aca="false">$M$40</f>
        <v>0.17</v>
      </c>
      <c r="Z61" s="130" t="n">
        <f aca="false">$M$40</f>
        <v>0.17</v>
      </c>
      <c r="AA61" s="130" t="n">
        <f aca="false">$M$40</f>
        <v>0.17</v>
      </c>
      <c r="AB61" s="130" t="n">
        <f aca="false">$M$40</f>
        <v>0.17</v>
      </c>
      <c r="AC61" s="130" t="n">
        <f aca="false">$M$40</f>
        <v>0.17</v>
      </c>
      <c r="AD61" s="130" t="n">
        <f aca="false">$M$40</f>
        <v>0.17</v>
      </c>
      <c r="AE61" s="130" t="n">
        <f aca="false">$M$40</f>
        <v>0.17</v>
      </c>
      <c r="AF61" s="130" t="n">
        <f aca="false">$M$40</f>
        <v>0.17</v>
      </c>
      <c r="AG61" s="130" t="n">
        <f aca="false">$M$40</f>
        <v>0.17</v>
      </c>
      <c r="AH61" s="130" t="n">
        <f aca="false">$M$40</f>
        <v>0.17</v>
      </c>
      <c r="AI61" s="130" t="n">
        <f aca="false">$M$40</f>
        <v>0.17</v>
      </c>
    </row>
    <row r="63" customFormat="false" ht="14.25" hidden="false" customHeight="true" outlineLevel="0" collapsed="false">
      <c r="B63" s="137" t="s">
        <v>301</v>
      </c>
      <c r="C63" s="137"/>
      <c r="D63" s="137"/>
      <c r="E63" s="137"/>
      <c r="F63" s="137"/>
      <c r="G63" s="137"/>
      <c r="H63" s="137"/>
      <c r="I63" s="137"/>
      <c r="J63" s="137"/>
      <c r="K63" s="137"/>
      <c r="L63" s="137"/>
      <c r="M63" s="137"/>
      <c r="N63" s="137"/>
      <c r="O63" s="137"/>
      <c r="P63" s="137"/>
      <c r="Q63" s="137"/>
      <c r="R63" s="137"/>
      <c r="S63" s="137"/>
      <c r="T63" s="137"/>
      <c r="U63" s="137"/>
      <c r="V63" s="137"/>
      <c r="W63" s="137"/>
      <c r="X63" s="138" t="n">
        <f aca="false">X54-X60</f>
        <v>26195.9031727408</v>
      </c>
      <c r="Y63" s="138" t="n">
        <f aca="false">Y54-Y60</f>
        <v>30057.2103135321</v>
      </c>
      <c r="Z63" s="138" t="n">
        <f aca="false">Z54-Z60</f>
        <v>32760.3231307967</v>
      </c>
      <c r="AA63" s="138" t="n">
        <f aca="false">AA54-AA60</f>
        <v>35024.6189322716</v>
      </c>
      <c r="AB63" s="138" t="n">
        <f aca="false">AB54-AB60</f>
        <v>34564.738699724</v>
      </c>
      <c r="AC63" s="138" t="n">
        <f aca="false">AC54-AC60</f>
        <v>36855.9486115007</v>
      </c>
      <c r="AD63" s="138" t="n">
        <f aca="false">AD54-AD60</f>
        <v>38084.6362557119</v>
      </c>
      <c r="AE63" s="138" t="n">
        <f aca="false">AE54-AE60</f>
        <v>39313.3238999231</v>
      </c>
      <c r="AF63" s="138" t="n">
        <f aca="false">AF54-AF60</f>
        <v>43528.3921375948</v>
      </c>
      <c r="AG63" s="138" t="n">
        <f aca="false">AG54-AG60</f>
        <v>46751.3438495676</v>
      </c>
      <c r="AH63" s="138" t="n">
        <f aca="false">AH54-AH60</f>
        <v>130480.925062914</v>
      </c>
      <c r="AI63" s="138" t="n">
        <f aca="false">AI54-AI60</f>
        <v>160489.499706119</v>
      </c>
    </row>
    <row r="65" customFormat="false" ht="14.25" hidden="false" customHeight="true" outlineLevel="0" collapsed="false">
      <c r="B65" s="1" t="s">
        <v>281</v>
      </c>
      <c r="F65" s="135" t="n">
        <f aca="false">F23</f>
        <v>281</v>
      </c>
      <c r="G65" s="135" t="n">
        <f aca="false">G23</f>
        <v>286</v>
      </c>
      <c r="H65" s="135" t="n">
        <f aca="false">H23</f>
        <v>298</v>
      </c>
      <c r="I65" s="135" t="n">
        <f aca="false">I23</f>
        <v>309</v>
      </c>
      <c r="J65" s="135" t="n">
        <f aca="false">J23</f>
        <v>334</v>
      </c>
      <c r="K65" s="135" t="n">
        <f aca="false">K23</f>
        <v>378</v>
      </c>
      <c r="L65" s="135" t="n">
        <f aca="false">L23</f>
        <v>406</v>
      </c>
      <c r="M65" s="135" t="n">
        <f aca="false">M23</f>
        <v>426</v>
      </c>
      <c r="N65" s="135" t="n">
        <f aca="false">N23</f>
        <v>384</v>
      </c>
      <c r="O65" s="135" t="n">
        <f aca="false">O23</f>
        <v>365</v>
      </c>
      <c r="P65" s="135" t="n">
        <f aca="false">P23</f>
        <v>372</v>
      </c>
      <c r="Q65" s="135" t="n">
        <f aca="false">Q23</f>
        <v>387</v>
      </c>
      <c r="R65" s="135" t="n">
        <f aca="false">R23</f>
        <v>410</v>
      </c>
      <c r="S65" s="135" t="n">
        <f aca="false">S23</f>
        <v>433</v>
      </c>
      <c r="T65" s="135" t="n">
        <f aca="false">T23</f>
        <v>478</v>
      </c>
      <c r="U65" s="135" t="n">
        <f aca="false">U23</f>
        <v>543</v>
      </c>
      <c r="V65" s="135" t="n">
        <f aca="false">V23</f>
        <v>611</v>
      </c>
      <c r="W65" s="135" t="n">
        <f aca="false">W23</f>
        <v>669</v>
      </c>
      <c r="X65" s="135" t="n">
        <f aca="false">X23</f>
        <v>410</v>
      </c>
      <c r="Y65" s="135" t="n">
        <f aca="false">Y23</f>
        <v>433</v>
      </c>
      <c r="Z65" s="135" t="n">
        <f aca="false">Z23</f>
        <v>478</v>
      </c>
      <c r="AA65" s="135" t="n">
        <f aca="false">AA23</f>
        <v>543</v>
      </c>
      <c r="AB65" s="135" t="n">
        <f aca="false">AB23</f>
        <v>611</v>
      </c>
      <c r="AC65" s="135" t="n">
        <f aca="false">AC23</f>
        <v>669</v>
      </c>
      <c r="AD65" s="135" t="n">
        <f aca="false">AD23</f>
        <v>642.404715872184</v>
      </c>
      <c r="AE65" s="135" t="n">
        <f aca="false">AE23</f>
        <v>673.724773914913</v>
      </c>
      <c r="AF65" s="135" t="n">
        <f aca="false">AF23</f>
        <v>716.59262595688</v>
      </c>
      <c r="AG65" s="135" t="n">
        <f aca="false">AG23</f>
        <v>752.885357217059</v>
      </c>
      <c r="AH65" s="135" t="n">
        <f aca="false">AH23</f>
        <v>-1175</v>
      </c>
      <c r="AI65" s="135" t="n">
        <f aca="false">AI23</f>
        <v>-1446</v>
      </c>
    </row>
    <row r="66" customFormat="false" ht="14.25" hidden="false" customHeight="true" outlineLevel="0" collapsed="false">
      <c r="B66" s="33" t="s">
        <v>276</v>
      </c>
      <c r="F66" s="122" t="n">
        <f aca="false">F26</f>
        <v>0.0496378731672849</v>
      </c>
      <c r="G66" s="122" t="n">
        <f aca="false">G26</f>
        <v>0.0439526663593054</v>
      </c>
      <c r="H66" s="122" t="n">
        <f aca="false">H26</f>
        <v>0.0419541038997607</v>
      </c>
      <c r="I66" s="122" t="n">
        <f aca="false">I26</f>
        <v>0.0404291508569933</v>
      </c>
      <c r="J66" s="122" t="n">
        <f aca="false">J26</f>
        <v>0.0402992277992278</v>
      </c>
      <c r="K66" s="122" t="n">
        <f aca="false">K26</f>
        <v>0.0563842482100239</v>
      </c>
      <c r="L66" s="122" t="n">
        <f aca="false">L26</f>
        <v>0.0684538863598044</v>
      </c>
      <c r="M66" s="122" t="n">
        <f aca="false">M26</f>
        <v>0.0704015865146257</v>
      </c>
      <c r="N66" s="122" t="n">
        <f aca="false">N26</f>
        <v>0.053392658509455</v>
      </c>
      <c r="O66" s="122" t="n">
        <f aca="false">O26</f>
        <v>0.0270230250980973</v>
      </c>
      <c r="P66" s="122" t="n">
        <f aca="false">P26</f>
        <v>0.0205298013245033</v>
      </c>
      <c r="Q66" s="122" t="n">
        <f aca="false">Q26</f>
        <v>0.0175089354386282</v>
      </c>
      <c r="R66" s="122" t="n">
        <f aca="false">R26</f>
        <v>0.015742589463984</v>
      </c>
      <c r="S66" s="122" t="n">
        <f aca="false">S26</f>
        <v>0.0144141145139814</v>
      </c>
      <c r="T66" s="122" t="n">
        <f aca="false">T26</f>
        <v>0.0136252209110085</v>
      </c>
      <c r="U66" s="122" t="n">
        <f aca="false">U26</f>
        <v>0.0138059037400524</v>
      </c>
      <c r="V66" s="122" t="n">
        <f aca="false">V26</f>
        <v>0.0138668240206981</v>
      </c>
      <c r="W66" s="122" t="n">
        <f aca="false">W26</f>
        <v>0.0143123034465054</v>
      </c>
      <c r="X66" s="136" t="n">
        <f aca="false">X26</f>
        <v>0.00802888645251771</v>
      </c>
      <c r="Y66" s="136" t="n">
        <f aca="false">Y26</f>
        <v>0.00784480279096844</v>
      </c>
      <c r="Z66" s="136" t="n">
        <f aca="false">Z26</f>
        <v>0.00793498872909197</v>
      </c>
      <c r="AA66" s="136" t="n">
        <f aca="false">AA26</f>
        <v>0.00842098324053537</v>
      </c>
      <c r="AB66" s="136" t="n">
        <f aca="false">AB26</f>
        <v>0.00958557555377737</v>
      </c>
      <c r="AC66" s="136" t="n">
        <f aca="false">AC26</f>
        <v>0.0097267042045129</v>
      </c>
      <c r="AD66" s="136" t="n">
        <f aca="false">AD26</f>
        <v>0.0090614180353698</v>
      </c>
      <c r="AE66" s="136" t="n">
        <f aca="false">AE26</f>
        <v>0.00922793309704305</v>
      </c>
      <c r="AF66" s="136" t="n">
        <f aca="false">AF26</f>
        <v>0.0086582766030858</v>
      </c>
      <c r="AG66" s="136" t="n">
        <f aca="false">AG26</f>
        <v>0.00808423144678928</v>
      </c>
      <c r="AH66" s="136" t="n">
        <f aca="false">AH26</f>
        <v>-0.00452058694531436</v>
      </c>
      <c r="AI66" s="136" t="n">
        <f aca="false">AI26</f>
        <v>-0.00452299030340945</v>
      </c>
    </row>
    <row r="68" customFormat="false" ht="14.25" hidden="false" customHeight="true" outlineLevel="0" collapsed="false">
      <c r="B68" s="1" t="s">
        <v>284</v>
      </c>
      <c r="F68" s="135" t="n">
        <f aca="false">F28</f>
        <v>298</v>
      </c>
      <c r="G68" s="135" t="n">
        <f aca="false">G28</f>
        <v>183</v>
      </c>
      <c r="H68" s="135" t="n">
        <f aca="false">H28</f>
        <v>222</v>
      </c>
      <c r="I68" s="135" t="n">
        <f aca="false">I28</f>
        <v>273</v>
      </c>
      <c r="J68" s="135" t="n">
        <f aca="false">J28</f>
        <v>361</v>
      </c>
      <c r="K68" s="135" t="n">
        <f aca="false">K28</f>
        <v>433</v>
      </c>
      <c r="L68" s="135" t="n">
        <f aca="false">L28</f>
        <v>530</v>
      </c>
      <c r="M68" s="135" t="n">
        <f aca="false">M28</f>
        <v>509</v>
      </c>
      <c r="N68" s="135" t="n">
        <f aca="false">N28</f>
        <v>248</v>
      </c>
      <c r="O68" s="135" t="n">
        <f aca="false">O28</f>
        <v>289</v>
      </c>
      <c r="P68" s="135" t="n">
        <f aca="false">P28</f>
        <v>278</v>
      </c>
      <c r="Q68" s="135" t="n">
        <f aca="false">Q28</f>
        <v>254</v>
      </c>
      <c r="R68" s="135" t="n">
        <f aca="false">R28</f>
        <v>369</v>
      </c>
      <c r="S68" s="135" t="n">
        <f aca="false">S28</f>
        <v>977</v>
      </c>
      <c r="T68" s="135" t="n">
        <f aca="false">T28</f>
        <v>813</v>
      </c>
      <c r="U68" s="135" t="n">
        <f aca="false">U28</f>
        <v>1077</v>
      </c>
      <c r="V68" s="135" t="n">
        <f aca="false">V28</f>
        <v>1227</v>
      </c>
      <c r="W68" s="135" t="n">
        <f aca="false">W28</f>
        <v>1895</v>
      </c>
      <c r="X68" s="135" t="n">
        <f aca="false">X28</f>
        <v>321</v>
      </c>
      <c r="Y68" s="135" t="n">
        <f aca="false">Y28</f>
        <v>1131</v>
      </c>
      <c r="Z68" s="135" t="n">
        <f aca="false">Z28</f>
        <v>755</v>
      </c>
      <c r="AA68" s="135" t="n">
        <f aca="false">AA28</f>
        <v>1337</v>
      </c>
      <c r="AB68" s="135" t="n">
        <f aca="false">AB28</f>
        <v>1320</v>
      </c>
      <c r="AC68" s="135" t="n">
        <f aca="false">AC28</f>
        <v>2531</v>
      </c>
      <c r="AD68" s="135" t="n">
        <f aca="false">AD28</f>
        <v>-320.418884333807</v>
      </c>
      <c r="AE68" s="135" t="n">
        <f aca="false">AE28</f>
        <v>1228.72169192368</v>
      </c>
      <c r="AF68" s="135" t="n">
        <f aca="false">AF28</f>
        <v>1428.20420265905</v>
      </c>
      <c r="AG68" s="135" t="n">
        <f aca="false">AG28</f>
        <v>1340.65832260782</v>
      </c>
      <c r="AH68" s="135" t="n">
        <f aca="false">AH28</f>
        <v>4159</v>
      </c>
      <c r="AI68" s="135" t="n">
        <f aca="false">AI28</f>
        <v>5115</v>
      </c>
    </row>
    <row r="69" customFormat="false" ht="14.25" hidden="false" customHeight="true" outlineLevel="0" collapsed="false">
      <c r="B69" s="33" t="s">
        <v>276</v>
      </c>
      <c r="F69" s="122" t="n">
        <f aca="false">F29</f>
        <v>0.0526408761702879</v>
      </c>
      <c r="G69" s="122" t="n">
        <f aca="false">G29</f>
        <v>0.0281235592438912</v>
      </c>
      <c r="H69" s="122" t="n">
        <f aca="false">H29</f>
        <v>0.0312543995494861</v>
      </c>
      <c r="I69" s="122" t="n">
        <f aca="false">I29</f>
        <v>0.0357189585241397</v>
      </c>
      <c r="J69" s="122" t="n">
        <f aca="false">J29</f>
        <v>0.0435569498069498</v>
      </c>
      <c r="K69" s="122" t="n">
        <f aca="false">K29</f>
        <v>0.0645883054892601</v>
      </c>
      <c r="L69" s="122" t="n">
        <f aca="false">L29</f>
        <v>0.0893609846568875</v>
      </c>
      <c r="M69" s="122" t="n">
        <f aca="false">M29</f>
        <v>0.0841183275491654</v>
      </c>
      <c r="N69" s="122" t="n">
        <f aca="false">N29</f>
        <v>0.0344827586206897</v>
      </c>
      <c r="O69" s="122" t="n">
        <f aca="false">O29</f>
        <v>0.021396313022877</v>
      </c>
      <c r="P69" s="122" t="n">
        <f aca="false">P29</f>
        <v>0.0153421633554084</v>
      </c>
      <c r="Q69" s="122" t="n">
        <f aca="false">Q29</f>
        <v>0.0114916527168258</v>
      </c>
      <c r="R69" s="122" t="n">
        <f aca="false">R29</f>
        <v>0.0141683305175856</v>
      </c>
      <c r="S69" s="122" t="n">
        <f aca="false">S29</f>
        <v>0.0325233022636485</v>
      </c>
      <c r="T69" s="122" t="n">
        <f aca="false">T29</f>
        <v>0.0231742774072174</v>
      </c>
      <c r="U69" s="122" t="n">
        <f aca="false">U29</f>
        <v>0.0273829803462917</v>
      </c>
      <c r="V69" s="122" t="n">
        <f aca="false">V29</f>
        <v>0.0278471245063774</v>
      </c>
      <c r="W69" s="122" t="n">
        <f aca="false">W29</f>
        <v>0.0405408296429412</v>
      </c>
      <c r="X69" s="136" t="n">
        <f aca="false">X29</f>
        <v>0.00628603061282484</v>
      </c>
      <c r="Y69" s="136" t="n">
        <f aca="false">Y29</f>
        <v>0.0204906973593194</v>
      </c>
      <c r="Z69" s="136" t="n">
        <f aca="false">Z29</f>
        <v>0.0125332980972059</v>
      </c>
      <c r="AA69" s="136" t="n">
        <f aca="false">AA29</f>
        <v>0.0207345388445595</v>
      </c>
      <c r="AB69" s="136" t="n">
        <f aca="false">AB29</f>
        <v>0.020708608397686</v>
      </c>
      <c r="AC69" s="136" t="n">
        <f aca="false">AC29</f>
        <v>0.0367986372819464</v>
      </c>
      <c r="AD69" s="136" t="n">
        <f aca="false">AD29</f>
        <v>-0.00451965775723402</v>
      </c>
      <c r="AE69" s="136" t="n">
        <f aca="false">AE29</f>
        <v>0.0168296639918266</v>
      </c>
      <c r="AF69" s="136" t="n">
        <f aca="false">AF29</f>
        <v>0.0172563693574148</v>
      </c>
      <c r="AG69" s="136" t="n">
        <f aca="false">AG29</f>
        <v>0.0143955411898139</v>
      </c>
      <c r="AH69" s="136" t="n">
        <f aca="false">AH29</f>
        <v>0.0160009541323936</v>
      </c>
      <c r="AI69" s="136" t="n">
        <f aca="false">AI29</f>
        <v>0.0159993744135127</v>
      </c>
    </row>
    <row r="71" customFormat="false" ht="14.25" hidden="false" customHeight="true" outlineLevel="0" collapsed="false">
      <c r="B71" s="1" t="s">
        <v>285</v>
      </c>
      <c r="F71" s="135" t="n">
        <f aca="false">F31</f>
        <v>887</v>
      </c>
      <c r="G71" s="135" t="n">
        <f aca="false">G31</f>
        <v>249</v>
      </c>
      <c r="H71" s="135" t="n">
        <f aca="false">H31</f>
        <v>192</v>
      </c>
      <c r="I71" s="135" t="n">
        <f aca="false">I31</f>
        <v>390</v>
      </c>
      <c r="J71" s="135" t="n">
        <f aca="false">J31</f>
        <v>389</v>
      </c>
      <c r="K71" s="135" t="n">
        <f aca="false">K31</f>
        <v>382</v>
      </c>
      <c r="L71" s="135" t="n">
        <f aca="false">L31</f>
        <v>417</v>
      </c>
      <c r="M71" s="135" t="n">
        <f aca="false">M31</f>
        <v>-10</v>
      </c>
      <c r="N71" s="135" t="n">
        <f aca="false">N31</f>
        <v>-911</v>
      </c>
      <c r="O71" s="135" t="n">
        <f aca="false">O31</f>
        <v>136</v>
      </c>
      <c r="P71" s="135" t="n">
        <f aca="false">P31</f>
        <v>2836</v>
      </c>
      <c r="Q71" s="135" t="n">
        <f aca="false">Q31</f>
        <v>2455</v>
      </c>
      <c r="R71" s="135" t="n">
        <f aca="false">R31</f>
        <v>-662</v>
      </c>
      <c r="S71" s="135" t="n">
        <f aca="false">S31</f>
        <v>2546</v>
      </c>
      <c r="T71" s="135" t="n">
        <f aca="false">T31</f>
        <v>1810</v>
      </c>
      <c r="U71" s="135" t="n">
        <f aca="false">U31</f>
        <v>6195</v>
      </c>
      <c r="V71" s="135" t="n">
        <f aca="false">V31</f>
        <v>-9167</v>
      </c>
      <c r="W71" s="135" t="n">
        <f aca="false">W31</f>
        <v>11469</v>
      </c>
      <c r="X71" s="135" t="n">
        <f aca="false">X31</f>
        <v>443.594848057124</v>
      </c>
      <c r="Y71" s="135" t="n">
        <f aca="false">Y31</f>
        <v>3372.04120626513</v>
      </c>
      <c r="Z71" s="135" t="n">
        <f aca="false">Z31</f>
        <v>2158.0138436962</v>
      </c>
      <c r="AA71" s="135" t="n">
        <f aca="false">AA31</f>
        <v>2134.30229032275</v>
      </c>
      <c r="AB71" s="135" t="n">
        <f aca="false">AB31</f>
        <v>-1099.77314715993</v>
      </c>
      <c r="AC71" s="135" t="n">
        <f aca="false">AC31</f>
        <v>2438.79315735631</v>
      </c>
      <c r="AD71" s="135" t="n">
        <f aca="false">AD31</f>
        <v>1274.8588106608</v>
      </c>
      <c r="AE71" s="135" t="n">
        <f aca="false">AE31</f>
        <v>813.900493987712</v>
      </c>
      <c r="AF71" s="135" t="n">
        <f aca="false">AF31</f>
        <v>4354.3817618663</v>
      </c>
      <c r="AG71" s="135" t="n">
        <f aca="false">AG31</f>
        <v>4500.24954567094</v>
      </c>
      <c r="AH71" s="135" t="n">
        <f aca="false">AH31</f>
        <v>21313</v>
      </c>
      <c r="AI71" s="135" t="n">
        <f aca="false">AI31</f>
        <v>26215</v>
      </c>
    </row>
    <row r="72" customFormat="false" ht="14.25" hidden="false" customHeight="true" outlineLevel="0" collapsed="false">
      <c r="B72" s="33" t="s">
        <v>276</v>
      </c>
      <c r="F72" s="122" t="n">
        <f aca="false">F32</f>
        <v>0.156686097862568</v>
      </c>
      <c r="G72" s="122" t="n">
        <f aca="false">G32</f>
        <v>0.0382664822498847</v>
      </c>
      <c r="H72" s="122" t="n">
        <f aca="false">H32</f>
        <v>0.0270308320427988</v>
      </c>
      <c r="I72" s="122" t="n">
        <f aca="false">I32</f>
        <v>0.0510270836059139</v>
      </c>
      <c r="J72" s="122" t="n">
        <f aca="false">J32</f>
        <v>0.0469353281853282</v>
      </c>
      <c r="K72" s="122" t="n">
        <f aca="false">K32</f>
        <v>0.0569809069212411</v>
      </c>
      <c r="L72" s="122" t="n">
        <f aca="false">L32</f>
        <v>0.0703085483055134</v>
      </c>
      <c r="M72" s="122" t="n">
        <f aca="false">M32</f>
        <v>-0.00165261940175178</v>
      </c>
      <c r="N72" s="122" t="n">
        <f aca="false">N32</f>
        <v>-0.12666852057842</v>
      </c>
      <c r="O72" s="122" t="n">
        <f aca="false">O32</f>
        <v>0.0100688531872362</v>
      </c>
      <c r="P72" s="122" t="n">
        <f aca="false">P32</f>
        <v>0.156512141280353</v>
      </c>
      <c r="Q72" s="122" t="n">
        <f aca="false">Q32</f>
        <v>0.111070895353572</v>
      </c>
      <c r="R72" s="122" t="n">
        <f aca="false">R32</f>
        <v>-0.025418522500384</v>
      </c>
      <c r="S72" s="122" t="n">
        <f aca="false">S32</f>
        <v>0.0847536617842876</v>
      </c>
      <c r="T72" s="122" t="n">
        <f aca="false">T32</f>
        <v>0.0515934097257853</v>
      </c>
      <c r="U72" s="122" t="n">
        <f aca="false">U32</f>
        <v>0.157509343774631</v>
      </c>
      <c r="V72" s="122" t="n">
        <f aca="false">V32</f>
        <v>-0.208047750896464</v>
      </c>
      <c r="W72" s="122" t="n">
        <f aca="false">W32</f>
        <v>0.245362942044798</v>
      </c>
      <c r="X72" s="136" t="n">
        <f aca="false">X32</f>
        <v>0.00868676259993292</v>
      </c>
      <c r="Y72" s="136" t="n">
        <f aca="false">Y32</f>
        <v>0.0610923747486587</v>
      </c>
      <c r="Z72" s="136" t="n">
        <f aca="false">Z32</f>
        <v>0.0358238818555519</v>
      </c>
      <c r="AA72" s="136" t="n">
        <f aca="false">AA32</f>
        <v>0.0330993072137093</v>
      </c>
      <c r="AB72" s="136" t="n">
        <f aca="false">AB32</f>
        <v>-0.0172536147203225</v>
      </c>
      <c r="AC72" s="136" t="n">
        <f aca="false">AC32</f>
        <v>0.0354580263940134</v>
      </c>
      <c r="AD72" s="136" t="n">
        <f aca="false">AD32</f>
        <v>0.0179824779209284</v>
      </c>
      <c r="AE72" s="136" t="n">
        <f aca="false">AE32</f>
        <v>0.0111479043030076</v>
      </c>
      <c r="AF72" s="136" t="n">
        <f aca="false">AF32</f>
        <v>0.0526120983722475</v>
      </c>
      <c r="AG72" s="136" t="n">
        <f aca="false">AG32</f>
        <v>0.0483221762075304</v>
      </c>
      <c r="AH72" s="136" t="n">
        <f aca="false">AH32</f>
        <v>0.0819976762259447</v>
      </c>
      <c r="AI72" s="136" t="n">
        <f aca="false">AI32</f>
        <v>0.0819987488270253</v>
      </c>
    </row>
    <row r="74" customFormat="false" ht="14.25" hidden="false" customHeight="true" outlineLevel="0" collapsed="false">
      <c r="B74" s="139" t="s">
        <v>302</v>
      </c>
      <c r="C74" s="51"/>
      <c r="D74" s="51"/>
      <c r="E74" s="51"/>
      <c r="F74" s="51"/>
      <c r="G74" s="51"/>
      <c r="H74" s="51"/>
      <c r="I74" s="51"/>
      <c r="J74" s="51"/>
      <c r="K74" s="51"/>
      <c r="L74" s="51"/>
      <c r="M74" s="51"/>
      <c r="N74" s="51"/>
      <c r="O74" s="51"/>
      <c r="P74" s="51"/>
      <c r="Q74" s="51"/>
      <c r="R74" s="51"/>
      <c r="S74" s="51"/>
      <c r="T74" s="51"/>
      <c r="U74" s="51"/>
      <c r="V74" s="51"/>
      <c r="W74" s="51"/>
      <c r="X74" s="82" t="n">
        <f aca="false">X63+X65-X68-X71</f>
        <v>25841.3083246837</v>
      </c>
      <c r="Y74" s="82" t="n">
        <f aca="false">Y63+Y65-Y68-Y71</f>
        <v>25987.169107267</v>
      </c>
      <c r="Z74" s="82" t="n">
        <f aca="false">Z63+Z65-Z68-Z71</f>
        <v>30325.3092871005</v>
      </c>
      <c r="AA74" s="82" t="n">
        <f aca="false">AA63+AA65-AA68-AA71</f>
        <v>32096.3166419489</v>
      </c>
      <c r="AB74" s="82" t="n">
        <f aca="false">AB63+AB65-AB68-AB71</f>
        <v>34955.511846884</v>
      </c>
      <c r="AC74" s="82" t="n">
        <f aca="false">AC63+AC65-AC68-AC71</f>
        <v>32555.1554541444</v>
      </c>
      <c r="AD74" s="82" t="n">
        <f aca="false">AD63+AD65-AD68-AD71</f>
        <v>37772.6010452571</v>
      </c>
      <c r="AE74" s="82" t="n">
        <f aca="false">AE63+AE65-AE68-AE71</f>
        <v>37944.4264879266</v>
      </c>
      <c r="AF74" s="82" t="n">
        <f aca="false">AF63+AF65-AF68-AF71</f>
        <v>38462.3987990263</v>
      </c>
      <c r="AG74" s="82" t="n">
        <f aca="false">AG63+AG65-AG68-AG71</f>
        <v>41663.3213385059</v>
      </c>
      <c r="AH74" s="82" t="n">
        <f aca="false">AH63+AH65-AH68-AH71</f>
        <v>103833.925062914</v>
      </c>
      <c r="AI74" s="140" t="n">
        <f aca="false">AI63+AI65-AI68-AI71</f>
        <v>127713.499706119</v>
      </c>
    </row>
    <row r="75" customFormat="false" ht="14.25" hidden="false" customHeight="true" outlineLevel="0" collapsed="false">
      <c r="B75" s="141" t="s">
        <v>303</v>
      </c>
      <c r="C75" s="35"/>
      <c r="D75" s="35"/>
      <c r="E75" s="35"/>
      <c r="F75" s="35"/>
      <c r="G75" s="35"/>
      <c r="H75" s="35"/>
      <c r="I75" s="35"/>
      <c r="J75" s="35"/>
      <c r="K75" s="35"/>
      <c r="L75" s="35"/>
      <c r="M75" s="35"/>
      <c r="N75" s="35"/>
      <c r="O75" s="35"/>
      <c r="P75" s="35"/>
      <c r="X75" s="142" t="n">
        <f aca="false">X74/(1+$D$42)^X78</f>
        <v>23651.7735529626</v>
      </c>
      <c r="Y75" s="142" t="n">
        <f aca="false">Y74/(1+$D$42)^Y78</f>
        <v>23836.0983506786</v>
      </c>
      <c r="Z75" s="142" t="n">
        <f aca="false">Z74/(1+$D$42)^Z78</f>
        <v>27873.1510859282</v>
      </c>
      <c r="AA75" s="142" t="n">
        <f aca="false">AA74/(1+$D$42)^AA78</f>
        <v>29560.9815544381</v>
      </c>
      <c r="AB75" s="142" t="n">
        <f aca="false">AB74/(1+$D$42)^AB78</f>
        <v>32258.2543329148</v>
      </c>
      <c r="AC75" s="142" t="n">
        <f aca="false">AC74/(1+$D$42)^AC78</f>
        <v>30101.3338434679</v>
      </c>
      <c r="AD75" s="142" t="n">
        <f aca="false">AD74/(1+$D$42)^AD78</f>
        <v>34991.5644564033</v>
      </c>
      <c r="AE75" s="142" t="n">
        <f aca="false">AE74/(1+$D$42)^AE78</f>
        <v>35215.6072797172</v>
      </c>
      <c r="AF75" s="142" t="n">
        <f aca="false">AF74/(1+$D$42)^AF78</f>
        <v>35760.6144327872</v>
      </c>
      <c r="AG75" s="142" t="n">
        <f aca="false">AG74/(1+$D$42)^AG78</f>
        <v>38804.7662714008</v>
      </c>
      <c r="AH75" s="142" t="n">
        <f aca="false">AH74/(1+$D$42)^AH78</f>
        <v>97351.1983043788</v>
      </c>
      <c r="AI75" s="143" t="n">
        <f aca="false">AI74/(1+$D$42)^AI78</f>
        <v>120459.953177794</v>
      </c>
    </row>
    <row r="76" customFormat="false" ht="14.25" hidden="false" customHeight="true" outlineLevel="0" collapsed="false">
      <c r="Q76" s="51"/>
      <c r="R76" s="51"/>
      <c r="S76" s="51"/>
      <c r="T76" s="51"/>
      <c r="U76" s="51"/>
      <c r="V76" s="51"/>
      <c r="W76" s="51"/>
    </row>
    <row r="77" customFormat="false" ht="14.25" hidden="false" customHeight="true" outlineLevel="0" collapsed="false">
      <c r="B77" s="1" t="s">
        <v>304</v>
      </c>
      <c r="X77" s="144" t="n">
        <v>1</v>
      </c>
      <c r="Y77" s="144" t="n">
        <f aca="false">X77 + 0.25</f>
        <v>1.25</v>
      </c>
      <c r="Z77" s="144" t="n">
        <f aca="false">Y77 + 0.25</f>
        <v>1.5</v>
      </c>
      <c r="AA77" s="144" t="n">
        <f aca="false">Z77 + 0.25</f>
        <v>1.75</v>
      </c>
      <c r="AB77" s="144" t="n">
        <f aca="false">AA77 + 0.25</f>
        <v>2</v>
      </c>
      <c r="AC77" s="144" t="n">
        <f aca="false">AB77 + 0.25</f>
        <v>2.25</v>
      </c>
      <c r="AD77" s="144" t="n">
        <f aca="false">AC77 + 0.25</f>
        <v>2.5</v>
      </c>
      <c r="AE77" s="144" t="n">
        <f aca="false">AD77 + 0.25</f>
        <v>2.75</v>
      </c>
      <c r="AF77" s="144" t="n">
        <f aca="false">AE77 + 0.25</f>
        <v>3</v>
      </c>
      <c r="AG77" s="144" t="n">
        <f aca="false">AF77 + 0.25</f>
        <v>3.25</v>
      </c>
      <c r="AH77" s="144" t="n">
        <f aca="false">AG77 + 1</f>
        <v>4.25</v>
      </c>
      <c r="AI77" s="144" t="n">
        <f aca="false">AH77 + 1</f>
        <v>5.25</v>
      </c>
    </row>
    <row r="78" customFormat="false" ht="14.25" hidden="false" customHeight="true" outlineLevel="0" collapsed="false">
      <c r="B78" s="1" t="s">
        <v>305</v>
      </c>
      <c r="X78" s="144" t="n">
        <f aca="false">1 / (1 + $D$42) ^ X77</f>
        <v>0.906998482007512</v>
      </c>
      <c r="Y78" s="144" t="n">
        <f aca="false">1 / (1 + $D$42) ^ Y77</f>
        <v>0.885132322557276</v>
      </c>
      <c r="Z78" s="144" t="n">
        <f aca="false">1 / (1 + $D$42) ^ Z77</f>
        <v>0.86379331826616</v>
      </c>
      <c r="AA78" s="144" t="n">
        <f aca="false">1 / (1 + $D$42) ^ AA77</f>
        <v>0.842968760338069</v>
      </c>
      <c r="AB78" s="144" t="n">
        <f aca="false">1 / (1 + $D$42) ^ AB77</f>
        <v>0.822646246363931</v>
      </c>
      <c r="AC78" s="144" t="n">
        <f aca="false">1 / (1 + $D$42) ^ AC77</f>
        <v>0.802813672935233</v>
      </c>
      <c r="AD78" s="144" t="n">
        <f aca="false">1 / (1 + $D$42) ^ AD77</f>
        <v>0.783459228435638</v>
      </c>
      <c r="AE78" s="144" t="n">
        <f aca="false">1 / (1 + $D$42) ^ AE77</f>
        <v>0.764571386006383</v>
      </c>
      <c r="AF78" s="144" t="n">
        <f aca="false">1 / (1 + $D$42) ^ AF77</f>
        <v>0.746138896681263</v>
      </c>
      <c r="AG78" s="144" t="n">
        <f aca="false">1 / (1 + $D$42) ^ AG77</f>
        <v>0.728150782687132</v>
      </c>
      <c r="AH78" s="144" t="n">
        <f aca="false">1 / (1 + $D$42) ^ AH77</f>
        <v>0.66043165456981</v>
      </c>
      <c r="AI78" s="144" t="n">
        <f aca="false">1 / (1 + $D$42) ^ AI77</f>
        <v>0.599010508164527</v>
      </c>
    </row>
    <row r="80" customFormat="false" ht="14.25" hidden="false" customHeight="true" outlineLevel="0" collapsed="false">
      <c r="B80" s="1" t="s">
        <v>306</v>
      </c>
      <c r="E80" s="145" t="n">
        <f aca="false">(AI74*(1+D43))/(D42-D43)</f>
        <v>1957181.18777634</v>
      </c>
    </row>
    <row r="81" customFormat="false" ht="14.25" hidden="false" customHeight="true" outlineLevel="0" collapsed="false">
      <c r="B81" s="1" t="s">
        <v>307</v>
      </c>
      <c r="E81" s="145" t="n">
        <f aca="false">E80/(1+D42)^AI77</f>
        <v>1172372.09785996</v>
      </c>
    </row>
    <row r="82" customFormat="false" ht="14.25" hidden="false" customHeight="true" outlineLevel="0" collapsed="false">
      <c r="B82" s="1" t="s">
        <v>308</v>
      </c>
      <c r="E82" s="145" t="n">
        <f aca="false">E81+SUM(X75:AI75)</f>
        <v>1702237.39450283</v>
      </c>
    </row>
    <row r="83" customFormat="false" ht="14.25" hidden="false" customHeight="true" outlineLevel="0" collapsed="false">
      <c r="B83" s="1" t="s">
        <v>309</v>
      </c>
      <c r="E83" s="145" t="n">
        <f aca="false">'Balance Sheet'!T11+'Balance Sheet'!T12</f>
        <v>56791</v>
      </c>
    </row>
    <row r="84" customFormat="false" ht="14.25" hidden="false" customHeight="true" outlineLevel="0" collapsed="false">
      <c r="B84" s="1" t="s">
        <v>310</v>
      </c>
      <c r="E84" s="145" t="n">
        <f aca="false">Debt!U8</f>
        <v>8466</v>
      </c>
    </row>
    <row r="85" customFormat="false" ht="14.25" hidden="false" customHeight="true" outlineLevel="0" collapsed="false">
      <c r="B85" s="1" t="s">
        <v>311</v>
      </c>
      <c r="E85" s="145" t="n">
        <f aca="false">E82+E83-E84</f>
        <v>1750562.39450283</v>
      </c>
    </row>
    <row r="87" customFormat="false" ht="14.25" hidden="false" customHeight="true" outlineLevel="0" collapsed="false">
      <c r="B87" s="1" t="s">
        <v>312</v>
      </c>
      <c r="E87" s="29" t="n">
        <v>24540</v>
      </c>
    </row>
    <row r="88" customFormat="false" ht="14.25" hidden="false" customHeight="true" outlineLevel="0" collapsed="false">
      <c r="B88" s="1" t="s">
        <v>313</v>
      </c>
      <c r="E88" s="146" t="n">
        <f aca="false">E85/E87</f>
        <v>71.3350609006857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Michael Mattsson</dc:creator>
  <dc:description/>
  <dc:language>en-US</dc:language>
  <cp:lastModifiedBy>Den Den</cp:lastModifiedBy>
  <dcterms:modified xsi:type="dcterms:W3CDTF">2026-08-25T21:52:56Z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0x010100974F7C26DD76B342A462C8EC9166CA1F</vt:lpwstr>
  </property>
</Properties>
</file>